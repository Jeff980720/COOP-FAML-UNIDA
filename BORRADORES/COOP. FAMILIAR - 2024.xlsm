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3216F037-639B-4674-8113-DC5359393E69}" xr6:coauthVersionLast="47" xr6:coauthVersionMax="47" xr10:uidLastSave="{00000000-0000-0000-0000-000000000000}"/>
  <bookViews>
    <workbookView xWindow="-108" yWindow="-108" windowWidth="23256" windowHeight="14616" firstSheet="1" activeTab="7" xr2:uid="{432CEF09-D5A9-4C02-8634-C8C653D7B7A9}"/>
  </bookViews>
  <sheets>
    <sheet name="LINEAMIENTOS" sheetId="1" r:id="rId1"/>
    <sheet name="SOCIOS" sheetId="2" r:id="rId2"/>
    <sheet name="REGISTRO" sheetId="17" r:id="rId3"/>
    <sheet name="PRESTAMOS" sheetId="3" r:id="rId4"/>
    <sheet name="PAGOS" sheetId="18" r:id="rId5"/>
    <sheet name="REPORTE" sheetId="39" r:id="rId6"/>
    <sheet name="ESTADO" sheetId="22" r:id="rId7"/>
    <sheet name="HISTORIAL E.R" sheetId="38" r:id="rId8"/>
    <sheet name="HISTORIAL E.R (2)" sheetId="40" state="hidden" r:id="rId9"/>
    <sheet name="Tabla Amortización" sheetId="29" state="hidden" r:id="rId10"/>
    <sheet name="Hoja2" sheetId="21" state="hidden" r:id="rId11"/>
    <sheet name="01" sheetId="4" state="hidden" r:id="rId12"/>
    <sheet name="02" sheetId="5" state="hidden" r:id="rId13"/>
    <sheet name="03" sheetId="6" state="hidden" r:id="rId14"/>
    <sheet name="04" sheetId="7" state="hidden" r:id="rId15"/>
    <sheet name="05" sheetId="8" state="hidden" r:id="rId16"/>
    <sheet name="06" sheetId="9" state="hidden" r:id="rId17"/>
    <sheet name="07" sheetId="10" state="hidden" r:id="rId18"/>
    <sheet name="08" sheetId="11" state="hidden" r:id="rId19"/>
    <sheet name="09" sheetId="12" state="hidden" r:id="rId20"/>
    <sheet name="10" sheetId="13" state="hidden" r:id="rId21"/>
    <sheet name="11" sheetId="14" state="hidden" r:id="rId22"/>
    <sheet name="12" sheetId="15" state="hidden" r:id="rId23"/>
    <sheet name="13" sheetId="16" state="hidden" r:id="rId24"/>
  </sheets>
  <externalReferences>
    <externalReference r:id="rId25"/>
  </externalReferences>
  <definedNames>
    <definedName name="_xlnm._FilterDatabase" localSheetId="4" hidden="1">PAGOS!$A$2:$K$227</definedName>
    <definedName name="_xlnm._FilterDatabase" localSheetId="3" hidden="1">PRESTAMOS!$A$2:$K$67</definedName>
    <definedName name="_xlnm._FilterDatabase" localSheetId="1" hidden="1">SOCIOS!$B$4:$D$18</definedName>
    <definedName name="_xlnm.Extract" localSheetId="3">PRESTAMOS!$O$6:$Z$6</definedName>
    <definedName name="_xlnm.Print_Area" localSheetId="11">'01'!$A$1:$L$36</definedName>
    <definedName name="_xlnm.Print_Area" localSheetId="12">'02'!$A$1:$L$36</definedName>
    <definedName name="_xlnm.Print_Area" localSheetId="13">'03'!$A$1:$L$36</definedName>
    <definedName name="_xlnm.Print_Area" localSheetId="14">'04'!$A$1:$L$36</definedName>
    <definedName name="_xlnm.Print_Area" localSheetId="15">'05'!$A$1:$L$36</definedName>
    <definedName name="_xlnm.Print_Area" localSheetId="16">'06'!$A$1:$L$36</definedName>
    <definedName name="_xlnm.Print_Area" localSheetId="17">'07'!$A$1:$L$36</definedName>
    <definedName name="_xlnm.Print_Area" localSheetId="18">'08'!$A$1:$L$36</definedName>
    <definedName name="_xlnm.Print_Area" localSheetId="19">'09'!$A$1:$L$36</definedName>
    <definedName name="_xlnm.Print_Area" localSheetId="20">'10'!$A$1:$L$36</definedName>
    <definedName name="_xlnm.Print_Area" localSheetId="21">'11'!$A$1:$L$36</definedName>
    <definedName name="_xlnm.Print_Area" localSheetId="22">'12'!$A$1:$L$36</definedName>
    <definedName name="_xlnm.Print_Area" localSheetId="23">'13'!$A$1:$L$36</definedName>
    <definedName name="_xlnm.Print_Area" localSheetId="9">'Tabla Amortización'!$A$1:$G$46</definedName>
    <definedName name="_xlnm.Criteria" localSheetId="3">PRESTAMOS!$N$3:$N$4</definedName>
    <definedName name="_xlnm.Print_Titles" localSheetId="7">'HISTORIAL E.R'!$1:$5</definedName>
  </definedNames>
  <calcPr calcId="191029"/>
  <pivotCaches>
    <pivotCache cacheId="0" r:id="rId26"/>
    <pivotCache cacheId="1" r:id="rId27"/>
    <pivotCache cacheId="2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2" i="15" l="1"/>
  <c r="O12" i="15" s="1"/>
  <c r="P12" i="15"/>
  <c r="Q12" i="15" s="1"/>
  <c r="H67" i="3"/>
  <c r="I67" i="3" s="1"/>
  <c r="K67" i="3"/>
  <c r="N13" i="9"/>
  <c r="O13" i="9" s="1"/>
  <c r="P13" i="9"/>
  <c r="Q13" i="9" s="1"/>
  <c r="N14" i="13"/>
  <c r="O14" i="13" s="1"/>
  <c r="P14" i="13"/>
  <c r="Q14" i="13" s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H66" i="3"/>
  <c r="I66" i="3" s="1"/>
  <c r="K66" i="3"/>
  <c r="H65" i="3"/>
  <c r="I65" i="3" s="1"/>
  <c r="K65" i="3"/>
  <c r="AH18" i="2"/>
  <c r="K8" i="17"/>
  <c r="C8" i="17"/>
  <c r="N10" i="16"/>
  <c r="O10" i="16" s="1"/>
  <c r="P10" i="16"/>
  <c r="Q10" i="16" s="1"/>
  <c r="N11" i="15"/>
  <c r="O11" i="15" s="1"/>
  <c r="P11" i="15"/>
  <c r="Q11" i="15" s="1"/>
  <c r="N11" i="12"/>
  <c r="O11" i="12" s="1"/>
  <c r="P11" i="12"/>
  <c r="Q11" i="12" s="1"/>
  <c r="N9" i="11"/>
  <c r="O9" i="11" s="1"/>
  <c r="P9" i="11"/>
  <c r="Q9" i="11" s="1"/>
  <c r="N9" i="10"/>
  <c r="O9" i="10" s="1"/>
  <c r="P9" i="10"/>
  <c r="Q9" i="10" s="1"/>
  <c r="N8" i="5"/>
  <c r="O8" i="5" s="1"/>
  <c r="P8" i="5"/>
  <c r="Q8" i="5" s="1"/>
  <c r="E19" i="22"/>
  <c r="J5" i="22"/>
  <c r="H64" i="3"/>
  <c r="I64" i="3" s="1"/>
  <c r="K64" i="3"/>
  <c r="R8" i="3"/>
  <c r="R9" i="3"/>
  <c r="R10" i="3"/>
  <c r="R11" i="3"/>
  <c r="R12" i="3"/>
  <c r="R13" i="3"/>
  <c r="R14" i="3"/>
  <c r="R15" i="3"/>
  <c r="R16" i="3"/>
  <c r="R17" i="3"/>
  <c r="R18" i="3"/>
  <c r="R19" i="3"/>
  <c r="R7" i="3"/>
  <c r="H63" i="3"/>
  <c r="I63" i="3" s="1"/>
  <c r="K63" i="3"/>
  <c r="H62" i="3"/>
  <c r="I62" i="3" s="1"/>
  <c r="K62" i="3"/>
  <c r="AG18" i="2"/>
  <c r="B48" i="2"/>
  <c r="H61" i="3"/>
  <c r="I61" i="3" s="1"/>
  <c r="K61" i="3"/>
  <c r="H60" i="3"/>
  <c r="I60" i="3" s="1"/>
  <c r="K60" i="3"/>
  <c r="H59" i="3"/>
  <c r="I59" i="3" s="1"/>
  <c r="K59" i="3"/>
  <c r="AF18" i="2"/>
  <c r="E20" i="22" l="1"/>
  <c r="E13" i="22"/>
  <c r="E16" i="22"/>
  <c r="J7" i="22" s="1"/>
  <c r="E8" i="22"/>
  <c r="J4" i="22" s="1"/>
  <c r="E6" i="22"/>
  <c r="E12" i="17"/>
  <c r="E19" i="17" s="1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N7" i="12"/>
  <c r="O7" i="12" s="1"/>
  <c r="P10" i="12"/>
  <c r="Q10" i="12" s="1"/>
  <c r="N10" i="12"/>
  <c r="O10" i="12" s="1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N7" i="7"/>
  <c r="O7" i="7" s="1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E21" i="22"/>
  <c r="E15" i="22"/>
  <c r="M16" i="17"/>
  <c r="M12" i="17"/>
  <c r="B47" i="2"/>
  <c r="H55" i="3"/>
  <c r="I55" i="3" s="1"/>
  <c r="H58" i="3"/>
  <c r="I58" i="3" s="1"/>
  <c r="H57" i="3"/>
  <c r="I57" i="3" s="1"/>
  <c r="H56" i="3"/>
  <c r="I56" i="3" s="1"/>
  <c r="AE18" i="2"/>
  <c r="H54" i="3"/>
  <c r="I54" i="3" s="1"/>
  <c r="B46" i="2"/>
  <c r="AD18" i="2"/>
  <c r="C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21" i="2"/>
  <c r="H53" i="3"/>
  <c r="I53" i="3" s="1"/>
  <c r="H52" i="3"/>
  <c r="I52" i="3" s="1"/>
  <c r="AC18" i="2"/>
  <c r="H51" i="3"/>
  <c r="I51" i="3" s="1"/>
  <c r="H50" i="3"/>
  <c r="I50" i="3" s="1"/>
  <c r="AB18" i="2"/>
  <c r="H49" i="3"/>
  <c r="I49" i="3" s="1"/>
  <c r="H48" i="3"/>
  <c r="I48" i="3" s="1"/>
  <c r="AA18" i="2"/>
  <c r="E12" i="22"/>
  <c r="E7" i="22"/>
  <c r="H47" i="3"/>
  <c r="I47" i="3" s="1"/>
  <c r="H46" i="3"/>
  <c r="I46" i="3" s="1"/>
  <c r="Z18" i="2"/>
  <c r="H45" i="3"/>
  <c r="I45" i="3" s="1"/>
  <c r="H44" i="3"/>
  <c r="I44" i="3" s="1"/>
  <c r="Y18" i="2"/>
  <c r="H43" i="3"/>
  <c r="I43" i="3" s="1"/>
  <c r="H42" i="3"/>
  <c r="I42" i="3" s="1"/>
  <c r="H41" i="3"/>
  <c r="I41" i="3" s="1"/>
  <c r="H40" i="3"/>
  <c r="I40" i="3" s="1"/>
  <c r="X18" i="2"/>
  <c r="H39" i="3"/>
  <c r="I39" i="3" s="1"/>
  <c r="E5" i="29"/>
  <c r="E4" i="29"/>
  <c r="M12" i="39"/>
  <c r="M5" i="39"/>
  <c r="N9" i="39"/>
  <c r="N6" i="39"/>
  <c r="N12" i="39"/>
  <c r="M10" i="39"/>
  <c r="N15" i="39"/>
  <c r="M8" i="39"/>
  <c r="N17" i="39"/>
  <c r="N11" i="39"/>
  <c r="M13" i="39"/>
  <c r="N5" i="39"/>
  <c r="N10" i="39"/>
  <c r="M17" i="39"/>
  <c r="M14" i="39"/>
  <c r="M16" i="39"/>
  <c r="N16" i="39"/>
  <c r="N7" i="39"/>
  <c r="M7" i="39"/>
  <c r="M9" i="39"/>
  <c r="N13" i="39"/>
  <c r="M11" i="39"/>
  <c r="M15" i="39"/>
  <c r="N8" i="39"/>
  <c r="M6" i="39"/>
  <c r="N14" i="39"/>
  <c r="M18" i="39" l="1"/>
  <c r="N18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E18" i="17"/>
  <c r="C15" i="17"/>
  <c r="C11" i="17" s="1"/>
  <c r="D18" i="2"/>
  <c r="E14" i="22"/>
  <c r="E6" i="29"/>
  <c r="E7" i="29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I38" i="3" s="1"/>
  <c r="W18" i="2"/>
  <c r="A7" i="4" a="1"/>
  <c r="A7" i="4" s="1"/>
  <c r="S9" i="22"/>
  <c r="S10" i="22"/>
  <c r="S11" i="22"/>
  <c r="S12" i="22"/>
  <c r="S13" i="22"/>
  <c r="S8" i="22"/>
  <c r="S4" i="22"/>
  <c r="S5" i="22"/>
  <c r="S6" i="22"/>
  <c r="S3" i="22"/>
  <c r="H21" i="22"/>
  <c r="I21" i="22"/>
  <c r="J21" i="22"/>
  <c r="H22" i="22"/>
  <c r="I22" i="22"/>
  <c r="J22" i="22"/>
  <c r="H23" i="22"/>
  <c r="I23" i="22"/>
  <c r="J23" i="22"/>
  <c r="H24" i="22"/>
  <c r="I24" i="22"/>
  <c r="J24" i="22"/>
  <c r="H25" i="22"/>
  <c r="I25" i="22"/>
  <c r="J25" i="22"/>
  <c r="J20" i="22"/>
  <c r="I20" i="22"/>
  <c r="H20" i="22"/>
  <c r="H16" i="22"/>
  <c r="I16" i="22"/>
  <c r="J16" i="22"/>
  <c r="H17" i="22"/>
  <c r="I17" i="22"/>
  <c r="J17" i="22"/>
  <c r="H18" i="22"/>
  <c r="I18" i="22"/>
  <c r="J18" i="22"/>
  <c r="J15" i="22"/>
  <c r="I15" i="22"/>
  <c r="H15" i="22"/>
  <c r="K24" i="22" l="1"/>
  <c r="K21" i="22"/>
  <c r="K25" i="22"/>
  <c r="K22" i="22"/>
  <c r="K23" i="22"/>
  <c r="K17" i="22"/>
  <c r="K15" i="22"/>
  <c r="K20" i="22"/>
  <c r="K16" i="22"/>
  <c r="K18" i="22"/>
  <c r="K19" i="22" l="1"/>
  <c r="K14" i="22"/>
  <c r="H37" i="3"/>
  <c r="I37" i="3" s="1"/>
  <c r="J9" i="22"/>
  <c r="J10" i="22"/>
  <c r="H36" i="3"/>
  <c r="I36" i="3" s="1"/>
  <c r="U18" i="2"/>
  <c r="V18" i="2"/>
  <c r="T18" i="2"/>
  <c r="H35" i="3"/>
  <c r="I35" i="3" s="1"/>
  <c r="H34" i="3"/>
  <c r="I34" i="3" s="1"/>
  <c r="H33" i="3"/>
  <c r="I33" i="3" s="1"/>
  <c r="H32" i="3"/>
  <c r="I32" i="3" s="1"/>
  <c r="H31" i="3"/>
  <c r="I31" i="3" s="1"/>
  <c r="S18" i="2"/>
  <c r="H13" i="22" l="1"/>
  <c r="J11" i="22"/>
  <c r="H30" i="3"/>
  <c r="I30" i="3" s="1"/>
  <c r="H29" i="3"/>
  <c r="I29" i="3" s="1"/>
  <c r="H28" i="3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H5" i="3"/>
  <c r="I5" i="3" s="1"/>
  <c r="H4" i="3"/>
  <c r="I4" i="3" s="1"/>
  <c r="E25" i="22" l="1"/>
  <c r="I6" i="3"/>
  <c r="E10" i="22"/>
  <c r="J6" i="22" s="1"/>
  <c r="I28" i="3"/>
  <c r="H3" i="3" l="1"/>
  <c r="E9" i="22" s="1"/>
  <c r="E24" i="22" s="1"/>
  <c r="E17" i="22" l="1"/>
  <c r="E26" i="22" s="1"/>
  <c r="I3" i="3"/>
  <c r="K18" i="2"/>
  <c r="L18" i="2"/>
  <c r="M18" i="2"/>
  <c r="N18" i="2"/>
  <c r="O18" i="2"/>
  <c r="P18" i="2"/>
  <c r="Q18" i="2"/>
  <c r="R18" i="2"/>
  <c r="A7" i="15" l="1" a="1"/>
  <c r="A7" i="15" s="1"/>
  <c r="A7" i="11" a="1"/>
  <c r="A7" i="11" s="1"/>
  <c r="A7" i="14" a="1"/>
  <c r="A7" i="14" s="1"/>
  <c r="A7" i="10" a="1"/>
  <c r="A7" i="10" s="1"/>
  <c r="A7" i="6" a="1"/>
  <c r="A7" i="6" s="1"/>
  <c r="A7" i="9" a="1"/>
  <c r="A7" i="9" s="1"/>
  <c r="A7" i="8" a="1"/>
  <c r="A7" i="8" s="1"/>
  <c r="A7" i="13" a="1"/>
  <c r="A7" i="13" s="1"/>
  <c r="A7" i="16" a="1"/>
  <c r="A7" i="16" s="1"/>
  <c r="A7" i="12" a="1"/>
  <c r="A7" i="12" s="1"/>
  <c r="A7" i="5" a="1"/>
  <c r="A7" i="5" s="1"/>
  <c r="A7" i="7" a="1"/>
  <c r="A7" i="7" s="1"/>
  <c r="I18" i="2"/>
  <c r="F18" i="2"/>
  <c r="J18" i="2"/>
  <c r="G18" i="2"/>
  <c r="E18" i="2"/>
  <c r="D50" i="2" s="1"/>
  <c r="H18" i="2"/>
  <c r="D48" i="2" l="1"/>
  <c r="D49" i="2"/>
  <c r="D46" i="2"/>
  <c r="D47" i="2"/>
  <c r="D25" i="2"/>
  <c r="D33" i="2"/>
  <c r="D41" i="2"/>
  <c r="D27" i="2"/>
  <c r="D35" i="2"/>
  <c r="D43" i="2"/>
  <c r="D23" i="2"/>
  <c r="D31" i="2"/>
  <c r="D39" i="2"/>
  <c r="D28" i="2"/>
  <c r="D36" i="2"/>
  <c r="D44" i="2"/>
  <c r="D21" i="2"/>
  <c r="D29" i="2"/>
  <c r="D37" i="2"/>
  <c r="D45" i="2"/>
  <c r="D22" i="2"/>
  <c r="D30" i="2"/>
  <c r="D38" i="2"/>
  <c r="D24" i="2"/>
  <c r="D32" i="2"/>
  <c r="D40" i="2"/>
  <c r="D26" i="2"/>
  <c r="D34" i="2"/>
  <c r="D42" i="2"/>
  <c r="E4" i="22" l="1"/>
  <c r="E22" i="22" s="1"/>
  <c r="E27" i="22" s="1"/>
  <c r="E23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FDFD3562-B03D-49A6-A903-973C0A0EADE8}">
      <text>
        <r>
          <rPr>
            <b/>
            <sz val="9"/>
            <color indexed="81"/>
            <rFont val="Tahoma"/>
            <charset val="1"/>
          </rPr>
          <t>Jefferson Toaquiza:</t>
        </r>
        <r>
          <rPr>
            <sz val="9"/>
            <color indexed="81"/>
            <rFont val="Tahoma"/>
            <charset val="1"/>
          </rPr>
          <t xml:space="preserve">
MONTO DE 200 POSIBLE ERROR DE DIGITACION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<sst xmlns="http://schemas.openxmlformats.org/spreadsheetml/2006/main" count="2790" uniqueCount="375">
  <si>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</si>
  <si>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</si>
  <si>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</si>
  <si>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</si>
  <si>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</si>
  <si>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</si>
  <si>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</si>
  <si>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</si>
  <si>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</si>
  <si>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</si>
  <si>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</si>
  <si>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</si>
  <si>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</si>
  <si>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</si>
  <si>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</si>
  <si>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</si>
  <si>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</si>
  <si>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</si>
  <si>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</si>
  <si>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</si>
  <si>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</si>
  <si>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</si>
  <si>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</si>
  <si>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</si>
  <si>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</si>
  <si>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</si>
  <si>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</si>
  <si>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</si>
  <si>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</si>
  <si>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</si>
  <si>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</si>
  <si>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</si>
  <si>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</si>
  <si>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</si>
  <si>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</si>
  <si>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</si>
  <si>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</si>
  <si>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</si>
  <si>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</si>
  <si>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</si>
  <si>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</si>
  <si>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</si>
  <si>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</si>
  <si>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</si>
  <si>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</si>
  <si>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</si>
  <si>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</si>
  <si>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</si>
  <si>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</si>
  <si>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</si>
  <si>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</si>
  <si>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</si>
  <si>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</si>
  <si>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NINGUNO</t>
  </si>
  <si>
    <t>T. INT</t>
  </si>
  <si>
    <t>INTERESES</t>
  </si>
  <si>
    <t>SOCIO</t>
  </si>
  <si>
    <t>MONTO AMORTIZACION</t>
  </si>
  <si>
    <t>CUOTA</t>
  </si>
  <si>
    <t>DINERO PRESTADO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</si>
  <si>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</si>
  <si>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</si>
  <si>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</si>
  <si>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</si>
  <si>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</si>
  <si>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</si>
  <si>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</si>
  <si>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</si>
  <si>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</si>
  <si>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</si>
  <si>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</si>
  <si>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</si>
  <si>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</si>
  <si>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CODIGOCLIENTE</t>
  </si>
  <si>
    <t>MONTO</t>
  </si>
  <si>
    <t>SOCIOS INGRESOS</t>
  </si>
  <si>
    <t>SOCIOS GASTOS</t>
  </si>
  <si>
    <t>VIAJE DE LOS SOCIOS AL DIQUE DE MERA</t>
  </si>
  <si>
    <t>PAGO DE INTERES DE MENSUAL MONTO AL FINAL DEL PLAZO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</si>
  <si>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</si>
  <si>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</si>
  <si>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</si>
  <si>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</si>
  <si>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</si>
  <si>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</si>
  <si>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</si>
  <si>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</si>
  <si>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</si>
  <si>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</si>
  <si>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</si>
  <si>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</si>
  <si>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</si>
  <si>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</si>
  <si>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</si>
  <si>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</si>
  <si>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</si>
  <si>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</si>
  <si>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</si>
  <si>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</si>
  <si>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</si>
  <si>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</si>
  <si>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</si>
  <si>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</si>
  <si>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</si>
  <si>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</si>
  <si>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</si>
  <si>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</si>
  <si>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</si>
  <si>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</si>
  <si>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</si>
  <si>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</si>
  <si>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</si>
  <si>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</si>
  <si>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</si>
  <si>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</si>
  <si>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</si>
  <si>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</si>
  <si>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</si>
  <si>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>PAGO INTERES MENSUAL MONTO AL FINAL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</si>
  <si>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</si>
  <si>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</si>
  <si>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</si>
  <si>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</si>
  <si>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</si>
  <si>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</si>
  <si>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</si>
  <si>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</si>
  <si>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</si>
  <si>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</si>
  <si>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</si>
  <si>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</si>
  <si>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</si>
  <si>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TOTAL INTERESES GENERADO</t>
  </si>
  <si>
    <t>PAGO DEL TERCER INTERES</t>
  </si>
  <si>
    <t>PAGO DE LA TERCERA Y CUARTA CUOTA</t>
  </si>
  <si>
    <t>PAGO DEL SEGUNGO INTERES Y EL MONTO TOTAL POR HACER REEPRESTAMO</t>
  </si>
  <si>
    <t>REEPRESTAMO PAGO INTERESES MENSUALES Y EL MONTO AL FINAL</t>
  </si>
  <si>
    <t>DINERO EN CAJA ACTUAL</t>
  </si>
  <si>
    <t>EGRESO2</t>
  </si>
  <si>
    <t>ANULACION DE PAGO DE INTERESES POR REPRESTAMO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</si>
  <si>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</si>
  <si>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</si>
  <si>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</si>
  <si>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</si>
  <si>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</si>
  <si>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</si>
  <si>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</si>
  <si>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</si>
  <si>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</si>
  <si>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</si>
  <si>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</si>
  <si>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</si>
  <si>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</si>
  <si>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</si>
  <si>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</si>
  <si>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</si>
  <si>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</si>
  <si>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</si>
  <si>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</si>
  <si>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</si>
  <si>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</si>
  <si>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</si>
  <si>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</si>
  <si>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</si>
  <si>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</si>
  <si>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</si>
  <si>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</si>
  <si>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</si>
  <si>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</si>
  <si>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</si>
  <si>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</si>
  <si>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</si>
  <si>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</si>
  <si>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</si>
  <si>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</si>
  <si>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</si>
  <si>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</si>
  <si>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</si>
  <si>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</si>
  <si>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</si>
  <si>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</si>
  <si>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</si>
  <si>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</si>
  <si>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</si>
  <si>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</si>
  <si>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</si>
  <si>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</si>
  <si>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</si>
  <si>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</si>
  <si>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</si>
  <si>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</si>
  <si>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</si>
  <si>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</si>
  <si>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</si>
  <si>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</si>
  <si>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</si>
  <si>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</si>
  <si>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</si>
  <si>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</si>
  <si>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</si>
  <si>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</si>
  <si>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</si>
  <si>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</si>
  <si>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</si>
  <si>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</si>
  <si>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</si>
  <si>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</si>
  <si>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</si>
  <si>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</si>
  <si>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</si>
  <si>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</si>
  <si>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</si>
  <si>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20</t>
  </si>
  <si>
    <t>PAGO DE LA QUINTA CUOTA</t>
  </si>
  <si>
    <t xml:space="preserve">PAGO DE LA PRIMERA CUOTA E INTERES </t>
  </si>
  <si>
    <t>PAGO DEL SEXTO INTERES CANCELA PRESTAMO TOMA A CARGO ANA</t>
  </si>
  <si>
    <t>PAGO DEL SEGUNDO INTERES Y MONTO CANCELA PRESTAMO TOMA A CARGO LUPE</t>
  </si>
  <si>
    <t>PAGO DEL TERCER INTERES HACE REPRESTAMO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</si>
  <si>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</si>
  <si>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</si>
  <si>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</si>
  <si>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</si>
  <si>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</si>
  <si>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</si>
  <si>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</si>
  <si>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</si>
  <si>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21</t>
  </si>
  <si>
    <t>PAGO DE LA SEXTA CUOTA</t>
  </si>
  <si>
    <t>PAGO DE INTERES Y CAPITAL AL FINAL</t>
  </si>
  <si>
    <t>PREST042</t>
  </si>
  <si>
    <t>AYUDA PARA EL SOCIO ROCIO TOAQUIZA POR ENFERMEDAD</t>
  </si>
  <si>
    <t>22</t>
  </si>
  <si>
    <t>PAGO DE LA SEPTIMA CUOTA</t>
  </si>
  <si>
    <t>PAGO DE MONTO E INTERES MENSUAL</t>
  </si>
  <si>
    <t>PREST043</t>
  </si>
  <si>
    <t>INGRESO5</t>
  </si>
  <si>
    <t>PREST044</t>
  </si>
  <si>
    <t>MES</t>
  </si>
  <si>
    <t>23</t>
  </si>
  <si>
    <t>EGRESO4</t>
  </si>
  <si>
    <t>CUOTA04</t>
  </si>
  <si>
    <t>ANULACION DE PAGO DE INTERESES Y MONTO POR REPRESTAMO</t>
  </si>
  <si>
    <t>PREST045</t>
  </si>
  <si>
    <t>PAGO TERCERA CUOTA (ANUL ULTIMA CUOTA)</t>
  </si>
  <si>
    <t>24</t>
  </si>
  <si>
    <t>PAGO DEL PRESTAMO</t>
  </si>
  <si>
    <t>PAGO DE LA QUITA CUOTA</t>
  </si>
  <si>
    <t>INTERES Y CAPITAL MENSUAL</t>
  </si>
  <si>
    <t>PREST046</t>
  </si>
  <si>
    <t>PREST047</t>
  </si>
  <si>
    <t>25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</si>
  <si>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</si>
  <si>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</si>
  <si>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</si>
  <si>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</si>
  <si>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</si>
  <si>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</si>
  <si>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</si>
  <si>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</si>
  <si>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</si>
  <si>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EGRESOS POR REPRESTAMOS / VIAJES</t>
  </si>
  <si>
    <t>26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</si>
  <si>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</si>
  <si>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</si>
  <si>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</si>
  <si>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</si>
  <si>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</si>
  <si>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</si>
  <si>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</si>
  <si>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27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</si>
  <si>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</si>
  <si>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</si>
  <si>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</si>
  <si>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</si>
  <si>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</si>
  <si>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</si>
  <si>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</si>
  <si>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</si>
  <si>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</si>
  <si>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</si>
  <si>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</si>
  <si>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</si>
  <si>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</si>
  <si>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</si>
  <si>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</si>
  <si>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PRESTAMO AL FINAL DEL PERIODO</t>
  </si>
  <si>
    <t>PAGO AL FINAL DEL PERIODO</t>
  </si>
  <si>
    <t>PAGO DEL CUARTO INTERES Y EL MONTO</t>
  </si>
  <si>
    <t>PAGO DE PRIMER INTERES</t>
  </si>
  <si>
    <t>PAGO COMPLETO DEL PRESTAMO</t>
  </si>
  <si>
    <t>PAGO EL TERCERO INTERES</t>
  </si>
  <si>
    <t>CAPITAL P.</t>
  </si>
  <si>
    <t>SALDO</t>
  </si>
  <si>
    <t>INTERES P.</t>
  </si>
  <si>
    <t>PAGOS DEL SOCIO</t>
  </si>
  <si>
    <t>ESTATUS</t>
  </si>
  <si>
    <t>AYUDA01</t>
  </si>
  <si>
    <t>AYUDA02</t>
  </si>
  <si>
    <t>AYUDA03</t>
  </si>
  <si>
    <t>PENDIENTE</t>
  </si>
  <si>
    <t>ANULACION DEL PAGO DEL QUINTO INTERES POR REEPRESTAMO</t>
  </si>
  <si>
    <t>DINERO ACUMULADO</t>
  </si>
  <si>
    <t>DINERO COBRADO</t>
  </si>
  <si>
    <t>DINERO FALTANTE</t>
  </si>
  <si>
    <t>(Varios elementos)</t>
  </si>
  <si>
    <t>APORTES</t>
  </si>
  <si>
    <t>AMORT</t>
  </si>
  <si>
    <t>SOCIOS</t>
  </si>
  <si>
    <t>CAPITAL POR PAGAR</t>
  </si>
  <si>
    <t>INTERES POR PAGAR</t>
  </si>
  <si>
    <t>Total general</t>
  </si>
  <si>
    <t>28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</si>
  <si>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</si>
  <si>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</si>
  <si>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</si>
  <si>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</si>
  <si>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</si>
  <si>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</si>
  <si>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PAGO DE LA ULTIMA LETRA QUE SALE DEL REPRESTAMO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</si>
  <si>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</si>
  <si>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</si>
  <si>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</si>
  <si>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</si>
  <si>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</si>
  <si>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</si>
  <si>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</si>
  <si>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</si>
  <si>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</si>
  <si>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</si>
  <si>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</si>
  <si>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</si>
  <si>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</si>
  <si>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</si>
  <si>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29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</si>
  <si>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</si>
  <si>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</si>
  <si>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</si>
  <si>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</si>
  <si>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</si>
  <si>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</si>
  <si>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</si>
  <si>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</si>
  <si>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</si>
  <si>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PAGO DE LA CUARTA LETRA (REEPRESTAMO)</t>
  </si>
  <si>
    <t>EGRESO11</t>
  </si>
  <si>
    <t>CANCELACION DEL PAGO DEL ULTIMO INTERES POR (REEPRESTAMO)</t>
  </si>
  <si>
    <t>CLIENT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</si>
  <si>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</si>
  <si>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</si>
  <si>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</si>
  <si>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</si>
  <si>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</si>
  <si>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</si>
  <si>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30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</si>
  <si>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</si>
  <si>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</si>
  <si>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</si>
  <si>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</si>
  <si>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</si>
  <si>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</si>
  <si>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</si>
  <si>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</si>
  <si>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</si>
  <si>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</si>
  <si>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</si>
  <si>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</si>
  <si>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</si>
  <si>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</si>
  <si>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</si>
  <si>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MONTO E INTRES MENSUAL PRESTAMO A TERCEROS</t>
  </si>
  <si>
    <t>PAGO DE LA SEGUNDA LETRA (CON PAGO DE UN REPRESTAMO)</t>
  </si>
  <si>
    <t>PAGO DE LA QUINTA LETRA (PAGO CON REPRESTAMO)</t>
  </si>
  <si>
    <t>PAGO DE LA SEXTA CUOTA (PAGO CON REPRESTAMO)</t>
  </si>
  <si>
    <t>PAGO DE LA CUARTA LETRA PAGO CON REPRESTAMO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</si>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</sst>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7" formatCode="&quot;$&quot;#,##0.00;&quot;$&quot;\-#,##0.00"/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&quot;PREST&quot;000"/>
    <numFmt numFmtId="166" formatCode="&quot;PAGOS&quot;000"/>
    <numFmt numFmtId="167" formatCode="00"/>
    <numFmt numFmtId="168" formatCode="&quot;CUOTA &quot;00"/>
    <numFmt numFmtId="169" formatCode="&quot;INTERES &quot;00"/>
    <numFmt numFmtId="170" formatCode="&quot;MESES &quot;00"/>
    <numFmt numFmtId="171" formatCode="&quot;CUOTA&quot;00"/>
    <numFmt numFmtId="172" formatCode="&quot;INTERES&quot;00"/>
    <numFmt numFmtId="173" formatCode="0.000"/>
    <numFmt numFmtId="174" formatCode="&quot;$&quot;#,##0.00;[Red]\-&quot;$&quot;#,##0.00"/>
    <numFmt numFmtId="175" formatCode="000"/>
    <numFmt numFmtId="176" formatCode="_-* #,##0.00\ _€_-;\-* #,##0.00\ _€_-;_-* &quot;-&quot;??\ _€_-;_-@_-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6" fillId="15" borderId="42" applyNumberFormat="0" applyAlignment="0" applyProtection="0"/>
    <xf numFmtId="0" fontId="17" fillId="16" borderId="42" applyNumberFormat="0" applyAlignment="0" applyProtection="0"/>
    <xf numFmtId="0" fontId="18" fillId="17" borderId="0" applyNumberFormat="0" applyBorder="0" applyAlignment="0" applyProtection="0"/>
    <xf numFmtId="43" fontId="9" fillId="0" borderId="0" applyFont="0" applyFill="0" applyBorder="0" applyAlignment="0" applyProtection="0"/>
  </cellStyleXfs>
  <cellXfs count="298">
    <xf numFmtId="0" fontId="0" fillId="0" borderId="0" xfId="0"/>
    <xf numFmtId="49" fontId="0" fillId="2" borderId="0" xfId="0" applyNumberFormat="1" applyFill="1"/>
    <xf numFmtId="0" fontId="0" fillId="2" borderId="0" xfId="0" applyFill="1"/>
    <xf numFmtId="164" fontId="0" fillId="2" borderId="1" xfId="0" applyNumberFormat="1" applyFill="1" applyBorder="1"/>
    <xf numFmtId="164" fontId="5" fillId="2" borderId="3" xfId="0" applyNumberFormat="1" applyFont="1" applyFill="1" applyBorder="1"/>
    <xf numFmtId="0" fontId="4" fillId="2" borderId="5" xfId="0" applyFont="1" applyFill="1" applyBorder="1" applyAlignment="1">
      <alignment horizontal="center" vertical="center" wrapText="1"/>
    </xf>
    <xf numFmtId="0" fontId="1" fillId="2" borderId="3" xfId="0" applyFont="1" applyFill="1" applyBorder="1"/>
    <xf numFmtId="14" fontId="2" fillId="2" borderId="1" xfId="0" applyNumberFormat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164" fontId="8" fillId="2" borderId="1" xfId="0" applyNumberFormat="1" applyFont="1" applyFill="1" applyBorder="1"/>
    <xf numFmtId="49" fontId="6" fillId="2" borderId="0" xfId="0" applyNumberFormat="1" applyFont="1" applyFill="1" applyAlignment="1">
      <alignment horizontal="left" vertical="center"/>
    </xf>
    <xf numFmtId="164" fontId="7" fillId="2" borderId="1" xfId="0" applyNumberFormat="1" applyFont="1" applyFill="1" applyBorder="1"/>
    <xf numFmtId="164" fontId="8" fillId="2" borderId="1" xfId="0" applyNumberFormat="1" applyFont="1" applyFill="1" applyBorder="1" applyAlignment="1">
      <alignment horizontal="center"/>
    </xf>
    <xf numFmtId="49" fontId="1" fillId="2" borderId="4" xfId="0" applyNumberFormat="1" applyFont="1" applyFill="1" applyBorder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10" fillId="6" borderId="18" xfId="0" applyFont="1" applyFill="1" applyBorder="1"/>
    <xf numFmtId="0" fontId="10" fillId="6" borderId="19" xfId="0" applyFont="1" applyFill="1" applyBorder="1"/>
    <xf numFmtId="0" fontId="10" fillId="6" borderId="20" xfId="0" applyFont="1" applyFill="1" applyBorder="1"/>
    <xf numFmtId="0" fontId="0" fillId="0" borderId="0" xfId="0" applyAlignment="1">
      <alignment horizontal="left"/>
    </xf>
    <xf numFmtId="44" fontId="0" fillId="0" borderId="1" xfId="2" applyFont="1" applyBorder="1"/>
    <xf numFmtId="44" fontId="0" fillId="0" borderId="0" xfId="0" applyNumberFormat="1"/>
    <xf numFmtId="164" fontId="0" fillId="2" borderId="0" xfId="0" applyNumberFormat="1" applyFill="1"/>
    <xf numFmtId="164" fontId="5" fillId="2" borderId="5" xfId="0" applyNumberFormat="1" applyFont="1" applyFill="1" applyBorder="1"/>
    <xf numFmtId="0" fontId="0" fillId="2" borderId="6" xfId="0" applyFill="1" applyBorder="1" applyProtection="1">
      <protection locked="0"/>
    </xf>
    <xf numFmtId="14" fontId="0" fillId="2" borderId="6" xfId="0" applyNumberFormat="1" applyFill="1" applyBorder="1" applyAlignment="1" applyProtection="1">
      <alignment wrapText="1"/>
      <protection locked="0"/>
    </xf>
    <xf numFmtId="14" fontId="0" fillId="2" borderId="6" xfId="0" applyNumberFormat="1" applyFill="1" applyBorder="1" applyProtection="1">
      <protection locked="0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0" xfId="0" applyFill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2" fillId="2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10" fillId="10" borderId="19" xfId="0" applyFont="1" applyFill="1" applyBorder="1"/>
    <xf numFmtId="0" fontId="10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1" xfId="0" applyFont="1" applyFill="1" applyBorder="1" applyAlignment="1" applyProtection="1">
      <alignment horizontal="left" vertical="center" wrapText="1"/>
      <protection locked="0"/>
    </xf>
    <xf numFmtId="0" fontId="2" fillId="2" borderId="21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5" fontId="0" fillId="2" borderId="6" xfId="0" applyNumberFormat="1" applyFill="1" applyBorder="1" applyAlignment="1" applyProtection="1">
      <alignment horizontal="center"/>
      <protection locked="0"/>
    </xf>
    <xf numFmtId="166" fontId="0" fillId="2" borderId="6" xfId="0" applyNumberFormat="1" applyFill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right"/>
    </xf>
    <xf numFmtId="168" fontId="0" fillId="2" borderId="6" xfId="0" applyNumberFormat="1" applyFill="1" applyBorder="1" applyProtection="1">
      <protection locked="0"/>
    </xf>
    <xf numFmtId="169" fontId="0" fillId="2" borderId="6" xfId="0" applyNumberFormat="1" applyFill="1" applyBorder="1" applyProtection="1">
      <protection locked="0"/>
    </xf>
    <xf numFmtId="164" fontId="0" fillId="2" borderId="6" xfId="0" applyNumberFormat="1" applyFill="1" applyBorder="1" applyProtection="1">
      <protection locked="0"/>
    </xf>
    <xf numFmtId="164" fontId="0" fillId="2" borderId="6" xfId="0" applyNumberFormat="1" applyFill="1" applyBorder="1" applyAlignment="1" applyProtection="1">
      <alignment wrapText="1"/>
      <protection locked="0"/>
    </xf>
    <xf numFmtId="170" fontId="0" fillId="2" borderId="6" xfId="0" applyNumberFormat="1" applyFill="1" applyBorder="1" applyProtection="1">
      <protection locked="0"/>
    </xf>
    <xf numFmtId="164" fontId="0" fillId="0" borderId="1" xfId="0" applyNumberForma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7" fontId="0" fillId="0" borderId="2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65" fontId="0" fillId="0" borderId="1" xfId="0" applyNumberFormat="1" applyBorder="1"/>
    <xf numFmtId="167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4" fontId="0" fillId="0" borderId="1" xfId="0" applyNumberFormat="1" applyBorder="1"/>
    <xf numFmtId="170" fontId="0" fillId="0" borderId="1" xfId="0" applyNumberFormat="1" applyBorder="1"/>
    <xf numFmtId="164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65" fontId="0" fillId="0" borderId="2" xfId="0" applyNumberFormat="1" applyBorder="1" applyAlignment="1">
      <alignment horizontal="right"/>
    </xf>
    <xf numFmtId="167" fontId="0" fillId="0" borderId="2" xfId="0" applyNumberFormat="1" applyBorder="1"/>
    <xf numFmtId="164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0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4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2" xfId="0" applyBorder="1" applyAlignment="1">
      <alignment horizontal="right"/>
    </xf>
    <xf numFmtId="14" fontId="0" fillId="2" borderId="22" xfId="0" applyNumberFormat="1" applyFill="1" applyBorder="1" applyAlignment="1">
      <alignment horizontal="right"/>
    </xf>
    <xf numFmtId="0" fontId="0" fillId="0" borderId="22" xfId="0" applyBorder="1" applyAlignment="1">
      <alignment horizontal="left"/>
    </xf>
    <xf numFmtId="0" fontId="0" fillId="2" borderId="22" xfId="0" applyFill="1" applyBorder="1" applyAlignment="1" applyProtection="1">
      <alignment horizontal="right"/>
      <protection locked="0"/>
    </xf>
    <xf numFmtId="14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2" borderId="23" xfId="0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2" xfId="0" applyNumberFormat="1" applyBorder="1" applyAlignment="1">
      <alignment horizontal="right"/>
    </xf>
    <xf numFmtId="171" fontId="0" fillId="2" borderId="22" xfId="0" applyNumberFormat="1" applyFill="1" applyBorder="1" applyAlignment="1" applyProtection="1">
      <alignment horizontal="right"/>
      <protection locked="0"/>
    </xf>
    <xf numFmtId="171" fontId="0" fillId="2" borderId="23" xfId="0" applyNumberFormat="1" applyFill="1" applyBorder="1" applyAlignment="1" applyProtection="1">
      <alignment horizontal="right"/>
      <protection locked="0"/>
    </xf>
    <xf numFmtId="172" fontId="0" fillId="2" borderId="1" xfId="0" applyNumberFormat="1" applyFill="1" applyBorder="1" applyAlignment="1">
      <alignment horizontal="right"/>
    </xf>
    <xf numFmtId="172" fontId="0" fillId="2" borderId="22" xfId="0" applyNumberFormat="1" applyFill="1" applyBorder="1" applyAlignment="1">
      <alignment horizontal="right"/>
    </xf>
    <xf numFmtId="172" fontId="0" fillId="2" borderId="22" xfId="0" applyNumberFormat="1" applyFill="1" applyBorder="1" applyAlignment="1" applyProtection="1">
      <alignment horizontal="right"/>
      <protection locked="0"/>
    </xf>
    <xf numFmtId="172" fontId="0" fillId="2" borderId="23" xfId="0" applyNumberFormat="1" applyFill="1" applyBorder="1" applyAlignment="1" applyProtection="1">
      <alignment horizontal="right"/>
      <protection locked="0"/>
    </xf>
    <xf numFmtId="167" fontId="0" fillId="0" borderId="1" xfId="0" applyNumberFormat="1" applyBorder="1" applyAlignment="1">
      <alignment horizontal="right"/>
    </xf>
    <xf numFmtId="167" fontId="0" fillId="0" borderId="22" xfId="0" applyNumberFormat="1" applyBorder="1" applyAlignment="1">
      <alignment horizontal="right"/>
    </xf>
    <xf numFmtId="167" fontId="0" fillId="2" borderId="22" xfId="0" applyNumberFormat="1" applyFill="1" applyBorder="1" applyAlignment="1" applyProtection="1">
      <alignment horizontal="right"/>
      <protection locked="0"/>
    </xf>
    <xf numFmtId="167" fontId="0" fillId="2" borderId="23" xfId="0" applyNumberFormat="1" applyFill="1" applyBorder="1" applyAlignment="1" applyProtection="1">
      <alignment horizontal="right"/>
      <protection locked="0"/>
    </xf>
    <xf numFmtId="164" fontId="0" fillId="0" borderId="22" xfId="0" applyNumberFormat="1" applyBorder="1" applyAlignment="1">
      <alignment horizontal="right"/>
    </xf>
    <xf numFmtId="164" fontId="0" fillId="2" borderId="22" xfId="0" applyNumberFormat="1" applyFill="1" applyBorder="1" applyAlignment="1" applyProtection="1">
      <alignment horizontal="right"/>
      <protection locked="0"/>
    </xf>
    <xf numFmtId="164" fontId="0" fillId="2" borderId="23" xfId="0" applyNumberForma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166" fontId="0" fillId="0" borderId="22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1" fontId="0" fillId="0" borderId="2" xfId="0" applyNumberFormat="1" applyBorder="1" applyAlignment="1">
      <alignment horizontal="right"/>
    </xf>
    <xf numFmtId="172" fontId="0" fillId="2" borderId="2" xfId="0" applyNumberFormat="1" applyFill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170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4" xfId="0" applyFill="1" applyBorder="1"/>
    <xf numFmtId="0" fontId="0" fillId="2" borderId="27" xfId="0" applyFill="1" applyBorder="1"/>
    <xf numFmtId="0" fontId="0" fillId="2" borderId="28" xfId="0" applyFill="1" applyBorder="1"/>
    <xf numFmtId="0" fontId="0" fillId="2" borderId="29" xfId="0" applyFill="1" applyBorder="1"/>
    <xf numFmtId="0" fontId="2" fillId="2" borderId="30" xfId="0" applyFont="1" applyFill="1" applyBorder="1" applyAlignment="1">
      <alignment horizontal="centerContinuous"/>
    </xf>
    <xf numFmtId="0" fontId="0" fillId="2" borderId="31" xfId="0" applyFill="1" applyBorder="1" applyAlignment="1">
      <alignment horizontal="centerContinuous"/>
    </xf>
    <xf numFmtId="14" fontId="0" fillId="2" borderId="32" xfId="0" applyNumberFormat="1" applyFill="1" applyBorder="1" applyAlignment="1">
      <alignment horizontal="centerContinuous"/>
    </xf>
    <xf numFmtId="0" fontId="0" fillId="2" borderId="28" xfId="0" applyFill="1" applyBorder="1" applyAlignment="1">
      <alignment horizontal="centerContinuous"/>
    </xf>
    <xf numFmtId="0" fontId="0" fillId="2" borderId="30" xfId="0" applyFill="1" applyBorder="1"/>
    <xf numFmtId="0" fontId="0" fillId="2" borderId="31" xfId="0" applyFill="1" applyBorder="1"/>
    <xf numFmtId="44" fontId="6" fillId="2" borderId="33" xfId="0" applyNumberFormat="1" applyFont="1" applyFill="1" applyBorder="1"/>
    <xf numFmtId="44" fontId="0" fillId="2" borderId="33" xfId="0" applyNumberFormat="1" applyFill="1" applyBorder="1"/>
    <xf numFmtId="44" fontId="0" fillId="0" borderId="33" xfId="0" applyNumberFormat="1" applyBorder="1"/>
    <xf numFmtId="44" fontId="0" fillId="4" borderId="33" xfId="0" applyNumberFormat="1" applyFill="1" applyBorder="1"/>
    <xf numFmtId="44" fontId="0" fillId="0" borderId="34" xfId="0" applyNumberFormat="1" applyBorder="1"/>
    <xf numFmtId="44" fontId="2" fillId="11" borderId="35" xfId="0" applyNumberFormat="1" applyFont="1" applyFill="1" applyBorder="1"/>
    <xf numFmtId="0" fontId="2" fillId="2" borderId="28" xfId="0" applyFont="1" applyFill="1" applyBorder="1" applyAlignment="1">
      <alignment horizontal="centerContinuous"/>
    </xf>
    <xf numFmtId="0" fontId="2" fillId="2" borderId="27" xfId="0" applyFont="1" applyFill="1" applyBorder="1" applyAlignment="1">
      <alignment horizontal="centerContinuous"/>
    </xf>
    <xf numFmtId="0" fontId="0" fillId="13" borderId="0" xfId="0" applyFill="1"/>
    <xf numFmtId="44" fontId="0" fillId="13" borderId="0" xfId="0" applyNumberFormat="1" applyFill="1"/>
    <xf numFmtId="0" fontId="0" fillId="2" borderId="26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44" fontId="1" fillId="2" borderId="36" xfId="0" applyNumberFormat="1" applyFont="1" applyFill="1" applyBorder="1"/>
    <xf numFmtId="44" fontId="1" fillId="2" borderId="37" xfId="0" applyNumberFormat="1" applyFont="1" applyFill="1" applyBorder="1"/>
    <xf numFmtId="44" fontId="1" fillId="2" borderId="38" xfId="0" applyNumberFormat="1" applyFont="1" applyFill="1" applyBorder="1"/>
    <xf numFmtId="44" fontId="0" fillId="4" borderId="34" xfId="0" applyNumberFormat="1" applyFill="1" applyBorder="1"/>
    <xf numFmtId="0" fontId="4" fillId="2" borderId="23" xfId="0" applyFont="1" applyFill="1" applyBorder="1" applyAlignment="1">
      <alignment horizontal="center" vertical="center" wrapText="1"/>
    </xf>
    <xf numFmtId="14" fontId="2" fillId="2" borderId="1" xfId="0" applyNumberFormat="1" applyFont="1" applyFill="1" applyBorder="1"/>
    <xf numFmtId="8" fontId="0" fillId="0" borderId="0" xfId="0" applyNumberFormat="1"/>
    <xf numFmtId="14" fontId="10" fillId="14" borderId="32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8" fontId="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8" fontId="14" fillId="0" borderId="1" xfId="0" applyNumberFormat="1" applyFont="1" applyBorder="1"/>
    <xf numFmtId="0" fontId="2" fillId="0" borderId="40" xfId="0" applyFont="1" applyBorder="1" applyAlignment="1">
      <alignment horizontal="centerContinuous"/>
    </xf>
    <xf numFmtId="8" fontId="14" fillId="0" borderId="22" xfId="0" applyNumberFormat="1" applyFont="1" applyBorder="1"/>
    <xf numFmtId="0" fontId="0" fillId="0" borderId="1" xfId="0" applyBorder="1" applyAlignment="1">
      <alignment horizontal="centerContinuous"/>
    </xf>
    <xf numFmtId="0" fontId="2" fillId="0" borderId="41" xfId="0" applyFont="1" applyBorder="1" applyAlignment="1">
      <alignment horizontal="centerContinuous"/>
    </xf>
    <xf numFmtId="8" fontId="0" fillId="13" borderId="0" xfId="0" applyNumberFormat="1" applyFill="1"/>
    <xf numFmtId="8" fontId="6" fillId="0" borderId="1" xfId="0" applyNumberFormat="1" applyFont="1" applyBorder="1"/>
    <xf numFmtId="1" fontId="14" fillId="0" borderId="22" xfId="0" applyNumberFormat="1" applyFont="1" applyBorder="1"/>
    <xf numFmtId="1" fontId="14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8" fontId="6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8" fontId="15" fillId="2" borderId="39" xfId="0" applyNumberFormat="1" applyFont="1" applyFill="1" applyBorder="1" applyAlignment="1">
      <alignment horizontal="centerContinuous"/>
    </xf>
    <xf numFmtId="0" fontId="0" fillId="2" borderId="40" xfId="0" applyFill="1" applyBorder="1" applyAlignment="1">
      <alignment horizontal="centerContinuous"/>
    </xf>
    <xf numFmtId="2" fontId="1" fillId="0" borderId="0" xfId="0" applyNumberFormat="1" applyFont="1"/>
    <xf numFmtId="173" fontId="1" fillId="0" borderId="0" xfId="0" applyNumberFormat="1" applyFont="1"/>
    <xf numFmtId="0" fontId="19" fillId="0" borderId="0" xfId="0" applyFont="1"/>
    <xf numFmtId="0" fontId="2" fillId="0" borderId="1" xfId="0" applyFont="1" applyBorder="1"/>
    <xf numFmtId="14" fontId="20" fillId="18" borderId="3" xfId="4" applyNumberFormat="1" applyFont="1" applyFill="1" applyBorder="1" applyAlignment="1"/>
    <xf numFmtId="9" fontId="20" fillId="18" borderId="1" xfId="4" applyNumberFormat="1" applyFont="1" applyFill="1" applyBorder="1" applyAlignment="1"/>
    <xf numFmtId="0" fontId="20" fillId="18" borderId="3" xfId="4" applyFont="1" applyFill="1" applyBorder="1" applyAlignment="1">
      <alignment horizontal="right"/>
    </xf>
    <xf numFmtId="164" fontId="20" fillId="18" borderId="1" xfId="2" applyNumberFormat="1" applyFont="1" applyFill="1" applyBorder="1" applyAlignment="1"/>
    <xf numFmtId="0" fontId="16" fillId="0" borderId="0" xfId="4" applyFill="1" applyBorder="1" applyAlignment="1"/>
    <xf numFmtId="174" fontId="20" fillId="18" borderId="1" xfId="5" applyNumberFormat="1" applyFont="1" applyFill="1" applyBorder="1" applyAlignment="1"/>
    <xf numFmtId="174" fontId="17" fillId="0" borderId="0" xfId="5" applyNumberFormat="1" applyFill="1" applyBorder="1" applyAlignment="1"/>
    <xf numFmtId="1" fontId="20" fillId="18" borderId="43" xfId="4" applyNumberFormat="1" applyFont="1" applyFill="1" applyBorder="1" applyAlignment="1"/>
    <xf numFmtId="164" fontId="20" fillId="18" borderId="1" xfId="4" applyNumberFormat="1" applyFont="1" applyFill="1" applyBorder="1" applyAlignment="1"/>
    <xf numFmtId="1" fontId="16" fillId="0" borderId="0" xfId="4" applyNumberFormat="1" applyFill="1" applyBorder="1" applyAlignment="1"/>
    <xf numFmtId="0" fontId="10" fillId="17" borderId="0" xfId="6" applyFont="1"/>
    <xf numFmtId="0" fontId="20" fillId="18" borderId="1" xfId="4" applyFont="1" applyFill="1" applyBorder="1" applyAlignment="1">
      <alignment horizontal="right"/>
    </xf>
    <xf numFmtId="174" fontId="20" fillId="18" borderId="44" xfId="5" applyNumberFormat="1" applyFont="1" applyFill="1" applyBorder="1" applyAlignment="1"/>
    <xf numFmtId="174" fontId="20" fillId="16" borderId="1" xfId="5" applyNumberFormat="1" applyFont="1" applyBorder="1" applyAlignment="1">
      <alignment horizontal="right"/>
    </xf>
    <xf numFmtId="0" fontId="2" fillId="18" borderId="39" xfId="0" applyFont="1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0" fontId="0" fillId="18" borderId="41" xfId="0" applyFill="1" applyBorder="1" applyAlignment="1">
      <alignment horizontal="centerContinuous"/>
    </xf>
    <xf numFmtId="8" fontId="0" fillId="18" borderId="40" xfId="0" applyNumberFormat="1" applyFill="1" applyBorder="1" applyAlignment="1">
      <alignment horizontal="centerContinuous"/>
    </xf>
    <xf numFmtId="8" fontId="0" fillId="18" borderId="1" xfId="0" applyNumberFormat="1" applyFill="1" applyBorder="1" applyAlignment="1">
      <alignment horizontal="centerContinuous"/>
    </xf>
    <xf numFmtId="14" fontId="0" fillId="18" borderId="40" xfId="7" applyNumberFormat="1" applyFont="1" applyFill="1" applyBorder="1" applyAlignment="1">
      <alignment horizontal="centerContinuous"/>
    </xf>
    <xf numFmtId="0" fontId="10" fillId="6" borderId="19" xfId="0" applyFont="1" applyFill="1" applyBorder="1" applyAlignment="1">
      <alignment horizontal="left"/>
    </xf>
    <xf numFmtId="1" fontId="20" fillId="0" borderId="0" xfId="4" applyNumberFormat="1" applyFont="1" applyFill="1" applyBorder="1" applyAlignment="1"/>
    <xf numFmtId="174" fontId="20" fillId="0" borderId="0" xfId="5" applyNumberFormat="1" applyFont="1" applyFill="1" applyBorder="1" applyAlignment="1">
      <alignment horizontal="right"/>
    </xf>
    <xf numFmtId="1" fontId="20" fillId="18" borderId="39" xfId="4" applyNumberFormat="1" applyFont="1" applyFill="1" applyBorder="1" applyAlignment="1"/>
    <xf numFmtId="1" fontId="20" fillId="18" borderId="40" xfId="4" applyNumberFormat="1" applyFont="1" applyFill="1" applyBorder="1" applyAlignment="1"/>
    <xf numFmtId="1" fontId="20" fillId="18" borderId="41" xfId="4" applyNumberFormat="1" applyFont="1" applyFill="1" applyBorder="1" applyAlignment="1"/>
    <xf numFmtId="44" fontId="0" fillId="0" borderId="0" xfId="2" applyFont="1"/>
    <xf numFmtId="44" fontId="1" fillId="0" borderId="0" xfId="2" applyFont="1"/>
    <xf numFmtId="165" fontId="0" fillId="0" borderId="1" xfId="0" applyNumberFormat="1" applyBorder="1" applyAlignment="1">
      <alignment horizontal="left"/>
    </xf>
    <xf numFmtId="8" fontId="0" fillId="0" borderId="1" xfId="0" applyNumberFormat="1" applyBorder="1"/>
    <xf numFmtId="8" fontId="1" fillId="0" borderId="1" xfId="0" applyNumberFormat="1" applyFont="1" applyBorder="1"/>
    <xf numFmtId="0" fontId="12" fillId="8" borderId="10" xfId="3" applyFont="1" applyFill="1" applyBorder="1" applyAlignment="1" applyProtection="1">
      <alignment horizontal="center"/>
    </xf>
    <xf numFmtId="0" fontId="12" fillId="8" borderId="0" xfId="3" applyFont="1" applyFill="1" applyBorder="1" applyAlignment="1" applyProtection="1">
      <alignment horizontal="center"/>
    </xf>
    <xf numFmtId="0" fontId="0" fillId="8" borderId="10" xfId="0" applyFill="1" applyBorder="1"/>
    <xf numFmtId="0" fontId="0" fillId="8" borderId="0" xfId="0" applyFill="1"/>
    <xf numFmtId="0" fontId="2" fillId="8" borderId="0" xfId="0" applyFont="1" applyFill="1"/>
    <xf numFmtId="0" fontId="12" fillId="8" borderId="11" xfId="3" applyFont="1" applyFill="1" applyBorder="1" applyAlignment="1" applyProtection="1">
      <alignment horizontal="center"/>
    </xf>
    <xf numFmtId="0" fontId="0" fillId="8" borderId="11" xfId="0" applyFill="1" applyBorder="1"/>
    <xf numFmtId="0" fontId="0" fillId="8" borderId="14" xfId="0" applyFill="1" applyBorder="1"/>
    <xf numFmtId="0" fontId="0" fillId="8" borderId="13" xfId="0" applyFill="1" applyBorder="1"/>
    <xf numFmtId="167" fontId="1" fillId="8" borderId="0" xfId="0" applyNumberFormat="1" applyFont="1" applyFill="1" applyAlignment="1" applyProtection="1">
      <alignment horizontal="center"/>
      <protection locked="0"/>
    </xf>
    <xf numFmtId="0" fontId="2" fillId="8" borderId="0" xfId="0" applyFont="1" applyFill="1" applyAlignment="1">
      <alignment wrapText="1"/>
    </xf>
    <xf numFmtId="14" fontId="1" fillId="8" borderId="0" xfId="0" applyNumberFormat="1" applyFont="1" applyFill="1" applyAlignment="1" applyProtection="1">
      <alignment horizontal="center"/>
      <protection locked="0"/>
    </xf>
    <xf numFmtId="0" fontId="0" fillId="8" borderId="12" xfId="0" applyFill="1" applyBorder="1"/>
    <xf numFmtId="7" fontId="0" fillId="0" borderId="1" xfId="0" applyNumberFormat="1" applyBorder="1"/>
    <xf numFmtId="9" fontId="0" fillId="2" borderId="6" xfId="1" applyFont="1" applyFill="1" applyBorder="1" applyProtection="1">
      <protection locked="0"/>
    </xf>
    <xf numFmtId="44" fontId="0" fillId="0" borderId="45" xfId="0" applyNumberFormat="1" applyBorder="1"/>
    <xf numFmtId="44" fontId="0" fillId="0" borderId="35" xfId="0" applyNumberFormat="1" applyBorder="1"/>
    <xf numFmtId="0" fontId="7" fillId="2" borderId="0" xfId="0" applyFont="1" applyFill="1"/>
    <xf numFmtId="0" fontId="23" fillId="2" borderId="0" xfId="0" applyFont="1" applyFill="1"/>
    <xf numFmtId="175" fontId="23" fillId="2" borderId="0" xfId="0" applyNumberFormat="1" applyFont="1" applyFill="1"/>
    <xf numFmtId="175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6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44" fontId="0" fillId="0" borderId="32" xfId="0" applyNumberFormat="1" applyBorder="1" applyAlignment="1">
      <alignment horizontal="centerContinuous"/>
    </xf>
    <xf numFmtId="44" fontId="0" fillId="0" borderId="46" xfId="0" applyNumberFormat="1" applyBorder="1"/>
    <xf numFmtId="0" fontId="2" fillId="2" borderId="30" xfId="0" applyFont="1" applyFill="1" applyBorder="1" applyAlignment="1">
      <alignment horizontal="centerContinuous" vertical="center"/>
    </xf>
    <xf numFmtId="0" fontId="13" fillId="2" borderId="31" xfId="0" applyFont="1" applyFill="1" applyBorder="1" applyAlignment="1">
      <alignment horizontal="centerContinuous"/>
    </xf>
    <xf numFmtId="0" fontId="13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7" xfId="0" applyFill="1" applyBorder="1"/>
    <xf numFmtId="0" fontId="13" fillId="2" borderId="36" xfId="0" applyFont="1" applyFill="1" applyBorder="1" applyAlignment="1">
      <alignment horizontal="centerContinuous"/>
    </xf>
    <xf numFmtId="0" fontId="0" fillId="2" borderId="32" xfId="0" applyFill="1" applyBorder="1"/>
    <xf numFmtId="44" fontId="10" fillId="12" borderId="46" xfId="0" applyNumberFormat="1" applyFont="1" applyFill="1" applyBorder="1"/>
    <xf numFmtId="44" fontId="2" fillId="7" borderId="25" xfId="0" applyNumberFormat="1" applyFont="1" applyFill="1" applyBorder="1"/>
    <xf numFmtId="175" fontId="0" fillId="2" borderId="47" xfId="0" applyNumberFormat="1" applyFill="1" applyBorder="1"/>
    <xf numFmtId="14" fontId="2" fillId="2" borderId="2" xfId="0" applyNumberFormat="1" applyFont="1" applyFill="1" applyBorder="1" applyAlignment="1">
      <alignment horizontal="left"/>
    </xf>
    <xf numFmtId="164" fontId="0" fillId="2" borderId="5" xfId="0" applyNumberFormat="1" applyFill="1" applyBorder="1"/>
    <xf numFmtId="8" fontId="10" fillId="12" borderId="46" xfId="0" applyNumberFormat="1" applyFont="1" applyFill="1" applyBorder="1"/>
    <xf numFmtId="165" fontId="0" fillId="2" borderId="6" xfId="0" applyNumberFormat="1" applyFill="1" applyBorder="1" applyProtection="1">
      <protection locked="0"/>
    </xf>
    <xf numFmtId="165" fontId="0" fillId="0" borderId="22" xfId="0" applyNumberFormat="1" applyBorder="1" applyAlignment="1">
      <alignment horizontal="right"/>
    </xf>
    <xf numFmtId="165" fontId="0" fillId="2" borderId="22" xfId="0" applyNumberFormat="1" applyFill="1" applyBorder="1" applyAlignment="1" applyProtection="1">
      <alignment horizontal="right"/>
      <protection locked="0"/>
    </xf>
    <xf numFmtId="165" fontId="0" fillId="2" borderId="23" xfId="0" applyNumberFormat="1" applyFill="1" applyBorder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4" fontId="0" fillId="8" borderId="0" xfId="0" applyNumberFormat="1" applyFill="1"/>
    <xf numFmtId="14" fontId="0" fillId="8" borderId="0" xfId="0" applyNumberFormat="1" applyFill="1"/>
    <xf numFmtId="14" fontId="0" fillId="8" borderId="0" xfId="0" applyNumberFormat="1" applyFill="1" applyAlignment="1">
      <alignment vertical="center"/>
    </xf>
    <xf numFmtId="14" fontId="0" fillId="8" borderId="13" xfId="0" applyNumberFormat="1" applyFill="1" applyBorder="1" applyAlignment="1">
      <alignment vertical="center"/>
    </xf>
    <xf numFmtId="0" fontId="0" fillId="2" borderId="0" xfId="0" applyFill="1" applyProtection="1">
      <protection locked="0"/>
    </xf>
    <xf numFmtId="0" fontId="2" fillId="2" borderId="29" xfId="0" applyFont="1" applyFill="1" applyBorder="1" applyAlignment="1" applyProtection="1">
      <alignment horizontal="center" vertical="center" wrapText="1"/>
      <protection locked="0"/>
    </xf>
    <xf numFmtId="0" fontId="0" fillId="0" borderId="39" xfId="0" applyBorder="1"/>
    <xf numFmtId="0" fontId="0" fillId="0" borderId="3" xfId="0" applyBorder="1"/>
    <xf numFmtId="0" fontId="0" fillId="0" borderId="3" xfId="0" applyBorder="1" applyAlignment="1">
      <alignment horizontal="left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8" fontId="0" fillId="2" borderId="1" xfId="0" applyNumberFormat="1" applyFill="1" applyBorder="1"/>
    <xf numFmtId="0" fontId="18" fillId="9" borderId="0" xfId="0" applyFont="1" applyFill="1" applyProtection="1">
      <protection locked="0"/>
    </xf>
    <xf numFmtId="0" fontId="18" fillId="9" borderId="0" xfId="0" applyFont="1" applyFill="1"/>
    <xf numFmtId="0" fontId="2" fillId="9" borderId="21" xfId="0" applyFont="1" applyFill="1" applyBorder="1" applyAlignment="1" applyProtection="1">
      <alignment horizontal="center" vertical="center" wrapText="1"/>
      <protection locked="0"/>
    </xf>
    <xf numFmtId="165" fontId="0" fillId="9" borderId="2" xfId="0" applyNumberFormat="1" applyFill="1" applyBorder="1" applyAlignment="1">
      <alignment horizontal="right"/>
    </xf>
    <xf numFmtId="164" fontId="0" fillId="8" borderId="0" xfId="0" applyNumberFormat="1" applyFill="1" applyAlignment="1">
      <alignment wrapText="1"/>
    </xf>
    <xf numFmtId="44" fontId="10" fillId="19" borderId="25" xfId="0" applyNumberFormat="1" applyFont="1" applyFill="1" applyBorder="1"/>
    <xf numFmtId="44" fontId="0" fillId="0" borderId="1" xfId="2" applyFont="1" applyFill="1" applyBorder="1"/>
    <xf numFmtId="44" fontId="1" fillId="0" borderId="1" xfId="2" applyFont="1" applyFill="1" applyBorder="1"/>
    <xf numFmtId="44" fontId="1" fillId="0" borderId="1" xfId="2" applyFont="1" applyBorder="1"/>
    <xf numFmtId="164" fontId="0" fillId="0" borderId="1" xfId="2" applyNumberFormat="1" applyFont="1" applyBorder="1"/>
    <xf numFmtId="164" fontId="1" fillId="0" borderId="1" xfId="2" applyNumberFormat="1" applyFont="1" applyBorder="1"/>
    <xf numFmtId="164" fontId="1" fillId="0" borderId="1" xfId="0" applyNumberFormat="1" applyFont="1" applyBorder="1"/>
    <xf numFmtId="0" fontId="2" fillId="3" borderId="0" xfId="0" applyFont="1" applyFill="1" applyAlignment="1">
      <alignment horizontal="centerContinuous"/>
    </xf>
    <xf numFmtId="0" fontId="2" fillId="7" borderId="0" xfId="0" applyFont="1" applyFill="1" applyAlignment="1">
      <alignment horizontal="centerContinuous"/>
    </xf>
    <xf numFmtId="0" fontId="2" fillId="4" borderId="0" xfId="0" applyFont="1" applyFill="1" applyAlignment="1">
      <alignment horizontal="centerContinuous"/>
    </xf>
    <xf numFmtId="0" fontId="10" fillId="9" borderId="48" xfId="0" applyFont="1" applyFill="1" applyBorder="1" applyAlignment="1">
      <alignment horizontal="centerContinuous"/>
    </xf>
    <xf numFmtId="0" fontId="2" fillId="8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20" borderId="19" xfId="0" applyFont="1" applyFill="1" applyBorder="1" applyAlignment="1">
      <alignment horizontal="left"/>
    </xf>
    <xf numFmtId="44" fontId="2" fillId="8" borderId="1" xfId="0" applyNumberFormat="1" applyFont="1" applyFill="1" applyBorder="1"/>
    <xf numFmtId="0" fontId="0" fillId="0" borderId="0" xfId="0" pivotButton="1"/>
    <xf numFmtId="176" fontId="0" fillId="13" borderId="0" xfId="0" applyNumberFormat="1" applyFill="1"/>
    <xf numFmtId="0" fontId="0" fillId="0" borderId="2" xfId="0" applyBorder="1"/>
    <xf numFmtId="8" fontId="0" fillId="2" borderId="2" xfId="0" applyNumberFormat="1" applyFill="1" applyBorder="1"/>
    <xf numFmtId="164" fontId="24" fillId="0" borderId="2" xfId="0" applyNumberFormat="1" applyFont="1" applyBorder="1" applyAlignment="1">
      <alignment horizontal="right"/>
    </xf>
    <xf numFmtId="14" fontId="0" fillId="13" borderId="0" xfId="0" applyNumberFormat="1" applyFill="1"/>
    <xf numFmtId="167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0" fontId="12" fillId="5" borderId="15" xfId="3" applyFont="1" applyFill="1" applyBorder="1" applyAlignment="1" applyProtection="1">
      <alignment horizontal="center"/>
      <protection locked="0"/>
    </xf>
    <xf numFmtId="0" fontId="12" fillId="5" borderId="16" xfId="3" applyFont="1" applyFill="1" applyBorder="1" applyAlignment="1" applyProtection="1">
      <alignment horizontal="center"/>
      <protection locked="0"/>
    </xf>
    <xf numFmtId="0" fontId="12" fillId="5" borderId="17" xfId="3" applyFont="1" applyFill="1" applyBorder="1" applyAlignment="1" applyProtection="1">
      <alignment horizontal="center"/>
      <protection locked="0"/>
    </xf>
    <xf numFmtId="0" fontId="12" fillId="4" borderId="15" xfId="3" applyFont="1" applyFill="1" applyBorder="1" applyAlignment="1" applyProtection="1">
      <alignment horizontal="center"/>
      <protection locked="0"/>
    </xf>
    <xf numFmtId="0" fontId="12" fillId="4" borderId="16" xfId="3" applyFont="1" applyFill="1" applyBorder="1" applyAlignment="1" applyProtection="1">
      <alignment horizontal="center"/>
      <protection locked="0"/>
    </xf>
    <xf numFmtId="0" fontId="12" fillId="4" borderId="17" xfId="3" applyFont="1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left" wrapText="1"/>
      <protection locked="0"/>
    </xf>
    <xf numFmtId="0" fontId="0" fillId="2" borderId="8" xfId="0" applyFill="1" applyBorder="1" applyAlignment="1" applyProtection="1">
      <alignment horizontal="left" wrapText="1"/>
      <protection locked="0"/>
    </xf>
    <xf numFmtId="0" fontId="0" fillId="2" borderId="9" xfId="0" applyFill="1" applyBorder="1" applyAlignment="1" applyProtection="1">
      <alignment horizontal="left" wrapText="1"/>
      <protection locked="0"/>
    </xf>
    <xf numFmtId="0" fontId="0" fillId="2" borderId="12" xfId="0" applyFill="1" applyBorder="1" applyAlignment="1" applyProtection="1">
      <alignment horizontal="left" wrapText="1"/>
      <protection locked="0"/>
    </xf>
    <xf numFmtId="0" fontId="0" fillId="2" borderId="13" xfId="0" applyFill="1" applyBorder="1" applyAlignment="1" applyProtection="1">
      <alignment horizontal="left" wrapText="1"/>
      <protection locked="0"/>
    </xf>
    <xf numFmtId="0" fontId="0" fillId="2" borderId="14" xfId="0" applyFill="1" applyBorder="1" applyAlignment="1" applyProtection="1">
      <alignment horizontal="left" wrapText="1"/>
      <protection locked="0"/>
    </xf>
    <xf numFmtId="0" fontId="12" fillId="0" borderId="0" xfId="3" applyFont="1" applyBorder="1" applyAlignment="1" applyProtection="1">
      <alignment horizontal="left"/>
      <protection locked="0"/>
    </xf>
    <xf numFmtId="0" fontId="12" fillId="0" borderId="0" xfId="3" applyFont="1" applyAlignment="1" applyProtection="1">
      <alignment horizontal="left"/>
      <protection locked="0"/>
    </xf>
    <xf numFmtId="0" fontId="2" fillId="2" borderId="26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PAGOS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2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64" formatCode="&quot;$&quot;#,##0.00"/>
      <fill>
        <patternFill patternType="solid">
          <fgColor indexed="64"/>
          <bgColor theme="0"/>
        </patternFill>
      </fill>
      <border>
        <left style="thin">
          <color indexed="64"/>
        </left>
      </border>
    </dxf>
    <dxf>
      <font>
        <b/>
      </font>
      <numFmt numFmtId="19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000"/>
      <fill>
        <patternFill patternType="solid">
          <fgColor indexed="64"/>
          <bgColor theme="0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theme="4" tint="0.3999755851924192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REGISTRO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REPORT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6.svg"/><Relationship Id="rId7" Type="http://schemas.openxmlformats.org/officeDocument/2006/relationships/hyperlink" Target="#REPORTE!A1"/><Relationship Id="rId2" Type="http://schemas.openxmlformats.org/officeDocument/2006/relationships/image" Target="../media/image5.png"/><Relationship Id="rId1" Type="http://schemas.openxmlformats.org/officeDocument/2006/relationships/hyperlink" Target="#SOCIOS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ESTADO!A1"/><Relationship Id="rId9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SOCIOS!A1"/><Relationship Id="rId5" Type="http://schemas.openxmlformats.org/officeDocument/2006/relationships/image" Target="../media/image14.sv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svg"/><Relationship Id="rId2" Type="http://schemas.openxmlformats.org/officeDocument/2006/relationships/image" Target="../media/image15.png"/><Relationship Id="rId1" Type="http://schemas.openxmlformats.org/officeDocument/2006/relationships/hyperlink" Target="#REGISTR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6350</xdr:rowOff>
    </xdr:from>
    <xdr:to>
      <xdr:col>0</xdr:col>
      <xdr:colOff>355600</xdr:colOff>
      <xdr:row>5</xdr:row>
      <xdr:rowOff>171450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0" y="9271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355600</xdr:colOff>
      <xdr:row>6</xdr:row>
      <xdr:rowOff>165100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0" y="11049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355600</xdr:colOff>
      <xdr:row>7</xdr:row>
      <xdr:rowOff>165100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0" y="12890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355600</xdr:colOff>
      <xdr:row>8</xdr:row>
      <xdr:rowOff>165100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0" y="14732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355600</xdr:colOff>
      <xdr:row>9</xdr:row>
      <xdr:rowOff>165100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0" y="16573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355600</xdr:colOff>
      <xdr:row>10</xdr:row>
      <xdr:rowOff>165100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0" y="18415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355600</xdr:colOff>
      <xdr:row>11</xdr:row>
      <xdr:rowOff>165100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0" y="202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355600</xdr:colOff>
      <xdr:row>12</xdr:row>
      <xdr:rowOff>165100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0" y="22098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355600</xdr:colOff>
      <xdr:row>13</xdr:row>
      <xdr:rowOff>165100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0" y="23939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355600</xdr:colOff>
      <xdr:row>14</xdr:row>
      <xdr:rowOff>165100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0" y="25781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355600</xdr:colOff>
      <xdr:row>15</xdr:row>
      <xdr:rowOff>165100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0" y="27622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355600</xdr:colOff>
      <xdr:row>16</xdr:row>
      <xdr:rowOff>165100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0" y="2946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0" y="736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127000</xdr:colOff>
      <xdr:row>2</xdr:row>
      <xdr:rowOff>165100</xdr:rowOff>
    </xdr:to>
    <xdr:pic>
      <xdr:nvPicPr>
        <xdr:cNvPr id="3" name="Gráfico 2" descr="Lis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9EAF5-A757-4CD9-B315-5DD9F436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9050"/>
          <a:ext cx="5143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0</xdr:row>
      <xdr:rowOff>38100</xdr:rowOff>
    </xdr:from>
    <xdr:to>
      <xdr:col>2</xdr:col>
      <xdr:colOff>209550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14</xdr:col>
      <xdr:colOff>482600</xdr:colOff>
      <xdr:row>2</xdr:row>
      <xdr:rowOff>88900</xdr:rowOff>
    </xdr:from>
    <xdr:to>
      <xdr:col>14</xdr:col>
      <xdr:colOff>1022350</xdr:colOff>
      <xdr:row>5</xdr:row>
      <xdr:rowOff>63500</xdr:rowOff>
    </xdr:to>
    <xdr:pic>
      <xdr:nvPicPr>
        <xdr:cNvPr id="9" name="Gráfico 8" descr="Reun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E3D645-B5DF-49B7-AFD7-C72C0A93C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40850" y="469900"/>
          <a:ext cx="539750" cy="539750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214993</xdr:colOff>
      <xdr:row>8</xdr:row>
      <xdr:rowOff>152400</xdr:rowOff>
    </xdr:from>
    <xdr:to>
      <xdr:col>15</xdr:col>
      <xdr:colOff>1258341</xdr:colOff>
      <xdr:row>11</xdr:row>
      <xdr:rowOff>57150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679793" y="1663700"/>
          <a:ext cx="1043348" cy="4635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227693</xdr:colOff>
      <xdr:row>12</xdr:row>
      <xdr:rowOff>25400</xdr:rowOff>
    </xdr:from>
    <xdr:to>
      <xdr:col>15</xdr:col>
      <xdr:colOff>1271041</xdr:colOff>
      <xdr:row>14</xdr:row>
      <xdr:rowOff>133350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692493" y="2286000"/>
          <a:ext cx="1043348" cy="4762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15</xdr:col>
      <xdr:colOff>342900</xdr:colOff>
      <xdr:row>2</xdr:row>
      <xdr:rowOff>38100</xdr:rowOff>
    </xdr:from>
    <xdr:to>
      <xdr:col>15</xdr:col>
      <xdr:colOff>914400</xdr:colOff>
      <xdr:row>5</xdr:row>
      <xdr:rowOff>44450</xdr:rowOff>
    </xdr:to>
    <xdr:pic>
      <xdr:nvPicPr>
        <xdr:cNvPr id="6" name="Gráfico 5" descr="Gráfico de barras con tendencia alcista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273A93-BCF3-4F33-843D-5ACE5A1EE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66400" y="4191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1111250</xdr:colOff>
      <xdr:row>2</xdr:row>
      <xdr:rowOff>57150</xdr:rowOff>
    </xdr:from>
    <xdr:to>
      <xdr:col>15</xdr:col>
      <xdr:colOff>234950</xdr:colOff>
      <xdr:row>4</xdr:row>
      <xdr:rowOff>165100</xdr:rowOff>
    </xdr:to>
    <xdr:pic>
      <xdr:nvPicPr>
        <xdr:cNvPr id="10" name="Gráfico 9" descr="Documento con rellen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9C5B36-88B1-4285-B16A-058A355B9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69500" y="438150"/>
          <a:ext cx="488950" cy="488950"/>
        </a:xfrm>
        <a:prstGeom prst="rect">
          <a:avLst/>
        </a:prstGeom>
      </xdr:spPr>
    </xdr:pic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6904</xdr:colOff>
      <xdr:row>0</xdr:row>
      <xdr:rowOff>171122</xdr:rowOff>
    </xdr:from>
    <xdr:to>
      <xdr:col>0</xdr:col>
      <xdr:colOff>421033</xdr:colOff>
      <xdr:row>3</xdr:row>
      <xdr:rowOff>30578</xdr:rowOff>
    </xdr:to>
    <xdr:pic>
      <xdr:nvPicPr>
        <xdr:cNvPr id="2" name="Gráfico 1" descr="Documento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E293DA-1ABF-4D14-A35A-64B53CB9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04" y="171122"/>
          <a:ext cx="414129" cy="411906"/>
        </a:xfrm>
        <a:prstGeom prst="rect">
          <a:avLst/>
        </a:prstGeom>
      </xdr:spPr>
    </xdr:pic>
    <xdr:clientData/>
  </xdr:twoCellAnchor>
  <xdr:twoCellAnchor editAs="oneCell">
    <xdr:from>
      <xdr:col>0</xdr:col>
      <xdr:colOff>503859</xdr:colOff>
      <xdr:row>0</xdr:row>
      <xdr:rowOff>172554</xdr:rowOff>
    </xdr:from>
    <xdr:to>
      <xdr:col>0</xdr:col>
      <xdr:colOff>904185</xdr:colOff>
      <xdr:row>3</xdr:row>
      <xdr:rowOff>13804</xdr:rowOff>
    </xdr:to>
    <xdr:pic macro="[1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03859" y="172554"/>
          <a:ext cx="400326" cy="393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0</xdr:row>
      <xdr:rowOff>63500</xdr:rowOff>
    </xdr:from>
    <xdr:to>
      <xdr:col>11</xdr:col>
      <xdr:colOff>50800</xdr:colOff>
      <xdr:row>3</xdr:row>
      <xdr:rowOff>114300</xdr:rowOff>
    </xdr:to>
    <xdr:pic>
      <xdr:nvPicPr>
        <xdr:cNvPr id="3" name="Gráfico 2" descr="Lista de comprobac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21EC-D15D-42D6-8D6C-D5FCA74DB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91350" y="63500"/>
          <a:ext cx="635000" cy="635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TRO\Documents\COOPERATIVA\COOP.%20FAMILIAR%20-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NEAMIENTOS"/>
      <sheetName val="SOCIOS"/>
      <sheetName val="REGISTRO"/>
      <sheetName val="PRESTAMOS"/>
      <sheetName val="PAGOS"/>
      <sheetName val="REPORTE"/>
      <sheetName val="ESTADO"/>
      <sheetName val="150923"/>
      <sheetName val="151023"/>
      <sheetName val="Hoja2"/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COOP. FAMILIAR - 2023"/>
    </sheetNames>
    <definedNames>
      <definedName name="ActulizarT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TRO" refreshedDate="45658.84486597222" createdVersion="7" refreshedVersion="7" minRefreshableVersion="3" recordCount="13" xr:uid="{FD4889E4-155A-4812-901D-074C0AFB232B}">
  <cacheSource type="worksheet">
    <worksheetSource name="CLIENTES[[COD]:[APORTADO]]"/>
  </cacheSource>
  <cacheFields count="3">
    <cacheField name="COD" numFmtId="49">
      <sharedItems/>
    </cacheField>
    <cacheField name="NOMBRE" numFmtId="0">
      <sharedItems count="13">
        <s v="CESAR TOAQUIZA"/>
        <s v="TERESA VILCA"/>
        <s v="ANA TOAQUIZA"/>
        <s v="MARLENE TOAQUIZA "/>
        <s v="SEGUNDO GUAYTA "/>
        <s v="MAYRA TOAQUIZA"/>
        <s v="MARCIAL CHILIQUINGA"/>
        <s v="LUIS TOAQUIZA"/>
        <s v="DIEGO TOAQUIZA"/>
        <s v="ROCIO TOAQUIZA"/>
        <s v="GUADALUPE TOAQUIZA"/>
        <s v="JEFFERSON TOAQUIZA"/>
        <s v="DANNY ALMACHI"/>
      </sharedItems>
    </cacheField>
    <cacheField name="APORTADO" numFmtId="164">
      <sharedItems containsSemiMixedTypes="0" containsString="0" containsNumber="1" containsInteger="1" minValue="290" maxValue="2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TRO" refreshedDate="45672.901324768522" createdVersion="7" refreshedVersion="7" minRefreshableVersion="3" recordCount="64" xr:uid="{66DF28D3-69EA-4667-8836-B060D4B9D67D}">
  <cacheSource type="worksheet">
    <worksheetSource name="PRESTAMOS"/>
  </cacheSource>
  <cacheFields count="11">
    <cacheField name="REG" numFmtId="165">
      <sharedItems containsMixedTypes="1" containsNumber="1" containsInteger="1" minValue="1" maxValue="61" count="64">
        <n v="1"/>
        <n v="2"/>
        <s v="AYUDA01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s v="AYUDA02"/>
        <n v="42"/>
        <n v="43"/>
        <n v="44"/>
        <n v="45"/>
        <n v="46"/>
        <n v="47"/>
        <n v="48"/>
        <n v="49"/>
        <n v="50"/>
        <s v="AYUDA03"/>
        <n v="51"/>
        <n v="52"/>
        <n v="53"/>
        <n v="54"/>
        <n v="55"/>
        <n v="56"/>
        <n v="57"/>
        <n v="58"/>
        <n v="59"/>
        <n v="60"/>
        <n v="61"/>
      </sharedItems>
    </cacheField>
    <cacheField name="CODIGOCLIENTE" numFmtId="167">
      <sharedItems containsSemiMixedTypes="0" containsString="0" containsNumber="1" containsInteger="1" minValue="1" maxValue="15"/>
    </cacheField>
    <cacheField name="NOMBRE CLIENTE" numFmtId="0">
      <sharedItems count="14">
        <s v="MAYRA TOAQUIZA"/>
        <s v="ANA TOAQUIZA"/>
        <s v="SOCIOS GASTOS"/>
        <s v="MARLENE TOAQUIZA "/>
        <s v="JEFFERSON TOAQUIZA"/>
        <s v="LUIS TOAQUIZA"/>
        <s v="CESAR TOAQUIZA"/>
        <s v="DIEGO TOAQUIZA"/>
        <s v="ROCIO TOAQUIZA"/>
        <s v="GUADALUPE TOAQUIZA"/>
        <s v="MARCIAL CHILIQUINGA"/>
        <s v="DANNY ALMACHI"/>
        <s v="SEGUNDO GUAYTA "/>
        <s v="TERESA VILCA"/>
      </sharedItems>
    </cacheField>
    <cacheField name="MONTO AMORTIZACION" numFmtId="164">
      <sharedItems containsSemiMixedTypes="0" containsString="0" containsNumber="1" containsInteger="1" minValue="60" maxValue="1000"/>
    </cacheField>
    <cacheField name="FECHA DEL PRESTAMO" numFmtId="14">
      <sharedItems containsSemiMixedTypes="0" containsNonDate="0" containsDate="1" containsString="0" minDate="2022-09-15T00:00:00" maxDate="2025-01-16T00:00:00" count="31">
        <d v="2022-09-15T00:00:00"/>
        <d v="2022-10-15T00:00:00"/>
        <d v="2022-11-15T00:00:00"/>
        <d v="2022-12-15T00:00:00"/>
        <d v="2023-01-15T00:00:00"/>
        <d v="2023-02-15T00:00:00"/>
        <d v="2023-03-15T00:00:00"/>
        <d v="2023-04-15T00:00:00"/>
        <d v="2023-05-15T00:00:00"/>
        <d v="2023-06-15T00:00:00"/>
        <d v="2023-07-21T00:00:00"/>
        <d v="2023-08-15T00:00:00"/>
        <d v="2023-09-15T00:00:00"/>
        <d v="2023-10-15T00:00:00"/>
        <d v="2023-11-15T00:00:00"/>
        <d v="2024-01-15T00:00:00"/>
        <d v="2024-01-20T00:00:00"/>
        <d v="2024-02-15T00:00:00"/>
        <d v="2024-02-19T00:00:00"/>
        <d v="2024-03-15T00:00:00"/>
        <d v="2024-04-15T00:00:00"/>
        <d v="2024-05-15T00:00:00"/>
        <d v="2024-06-15T00:00:00"/>
        <d v="2024-07-15T00:00:00"/>
        <d v="2024-08-15T00:00:00"/>
        <d v="2024-09-15T00:00:00"/>
        <d v="2024-10-15T00:00:00"/>
        <d v="2024-11-15T00:00:00"/>
        <d v="2024-12-15T00:00:00"/>
        <d v="2024-12-17T00:00:00"/>
        <d v="2025-01-15T00:00:00"/>
      </sharedItems>
    </cacheField>
    <cacheField name="CUOTAS" numFmtId="170">
      <sharedItems containsSemiMixedTypes="0" containsString="0" containsNumber="1" containsInteger="1" minValue="0" maxValue="12"/>
    </cacheField>
    <cacheField name="INTERES" numFmtId="9">
      <sharedItems containsSemiMixedTypes="0" containsString="0" containsNumber="1" minValue="0" maxValue="0.02"/>
    </cacheField>
    <cacheField name="T. INT" numFmtId="164">
      <sharedItems containsSemiMixedTypes="0" containsString="0" containsNumber="1" minValue="0" maxValue="200"/>
    </cacheField>
    <cacheField name="CUOTA" numFmtId="164">
      <sharedItems containsSemiMixedTypes="0" containsString="0" containsNumber="1" minValue="62.4" maxValue="1200"/>
    </cacheField>
    <cacheField name="OBSERVACION" numFmtId="0">
      <sharedItems containsBlank="1"/>
    </cacheField>
    <cacheField name="ESTATUS" numFmtId="8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TRO" refreshedDate="45672.901514467594" createdVersion="7" refreshedVersion="7" minRefreshableVersion="3" recordCount="225" xr:uid="{C6595879-5C91-4FAE-BB80-9C4E4BB722C9}">
  <cacheSource type="worksheet">
    <worksheetSource name="PAGOS"/>
  </cacheSource>
  <cacheFields count="11">
    <cacheField name="REG" numFmtId="166">
      <sharedItems containsMixedTypes="1" containsNumber="1" containsInteger="1" minValue="1" maxValue="197" count="225">
        <n v="1"/>
        <n v="2"/>
        <n v="3"/>
        <s v="INGRESO1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s v="EGRESO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s v="INGRESO2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s v="EGRESO2"/>
        <n v="84"/>
        <n v="85"/>
        <n v="86"/>
        <n v="87"/>
        <n v="88"/>
        <n v="89"/>
        <s v="INGRESO3"/>
        <s v="INGRESO4"/>
        <n v="90"/>
        <n v="91"/>
        <n v="92"/>
        <n v="93"/>
        <n v="94"/>
        <n v="95"/>
        <n v="96"/>
        <s v="EGRESO3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s v="INGRESO5"/>
        <n v="111"/>
        <n v="112"/>
        <n v="113"/>
        <n v="114"/>
        <n v="115"/>
        <n v="116"/>
        <n v="117"/>
        <n v="118"/>
        <s v="EGRESO4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s v="INGRESO6"/>
        <s v="INGRESO7"/>
        <s v="EGRESO5"/>
        <s v="EGRESO6"/>
        <n v="156"/>
        <n v="157"/>
        <n v="158"/>
        <n v="159"/>
        <n v="160"/>
        <n v="161"/>
        <n v="162"/>
        <n v="163"/>
        <n v="164"/>
        <n v="165"/>
        <n v="166"/>
        <s v="EGRESO7"/>
        <s v="INGRESO8"/>
        <s v="INGRESO9"/>
        <s v="INGRESO10"/>
        <s v="INGRESO11"/>
        <s v="INGRESO12"/>
        <s v="INGRESO13"/>
        <s v="INGRESO14"/>
        <s v="INGRESO15"/>
        <n v="167"/>
        <n v="168"/>
        <n v="169"/>
        <n v="170"/>
        <n v="171"/>
        <n v="172"/>
        <n v="173"/>
        <n v="174"/>
        <n v="175"/>
        <n v="176"/>
        <n v="177"/>
        <n v="178"/>
        <s v="INGRESO16"/>
        <s v="INGRESO17"/>
        <n v="179"/>
        <n v="180"/>
        <s v="EGRESO10"/>
        <n v="181"/>
        <s v="EGRESO1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s v="EGRESO8"/>
        <n v="195"/>
        <n v="196"/>
        <s v="EGRESO9"/>
        <n v="197"/>
      </sharedItems>
    </cacheField>
    <cacheField name="CODIGO CLIENTE" numFmtId="167">
      <sharedItems containsMixedTypes="1" containsNumber="1" containsInteger="1" minValue="1" maxValue="15"/>
    </cacheField>
    <cacheField name="NOMBRE CLIENTE" numFmtId="0">
      <sharedItems count="15">
        <s v="ANA TOAQUIZA"/>
        <s v="MAYRA TOAQUIZA"/>
        <s v="MARLENE TOAQUIZA "/>
        <s v="SOCIOS INGRESOS"/>
        <s v="ROCIO TOAQUIZA"/>
        <s v="LUIS TOAQUIZA"/>
        <s v="GUADALUPE TOAQUIZA"/>
        <s v="JEFFERSON TOAQUIZA"/>
        <s v="MARCIAL CHILIQUINGA"/>
        <s v="DANNY ALMACHI"/>
        <s v="DIEGO TOAQUIZA"/>
        <s v="CESAR TOAQUIZA"/>
        <s v="SEGUNDO GUAYTA "/>
        <s v="SOCIOS GASTOS"/>
        <s v="TERESA VILCA"/>
      </sharedItems>
    </cacheField>
    <cacheField name="# PESTAMO" numFmtId="165">
      <sharedItems containsString="0" containsBlank="1" containsNumber="1" containsInteger="1" minValue="1" maxValue="59"/>
    </cacheField>
    <cacheField name="PAGO DEL MONTO" numFmtId="164">
      <sharedItems containsString="0" containsBlank="1" containsNumber="1" minValue="0" maxValue="600"/>
    </cacheField>
    <cacheField name="FECHA PAGO DEL MONTO" numFmtId="14">
      <sharedItems containsNonDate="0" containsDate="1" containsString="0" containsBlank="1" minDate="2022-10-15T00:00:00" maxDate="2025-01-16T00:00:00" count="29">
        <d v="2022-10-15T00:00:00"/>
        <d v="2022-11-15T00:00:00"/>
        <d v="2022-12-26T00:00:00"/>
        <d v="2023-01-15T00:00:00"/>
        <d v="2023-02-15T00:00:00"/>
        <d v="2023-03-15T00:00:00"/>
        <d v="2023-04-15T00:00:00"/>
        <d v="2023-05-15T00:00:00"/>
        <d v="2023-06-15T00:00:00"/>
        <d v="2023-07-15T00:00:00"/>
        <d v="2023-08-15T00:00:00"/>
        <d v="2023-09-15T00:00:00"/>
        <m/>
        <d v="2023-10-15T00:00:00"/>
        <d v="2023-11-15T00:00:00"/>
        <d v="2023-12-15T00:00:00"/>
        <d v="2024-01-15T00:00:00"/>
        <d v="2024-02-15T00:00:00"/>
        <d v="2024-03-15T00:00:00"/>
        <d v="2024-04-15T00:00:00"/>
        <d v="2024-05-15T00:00:00"/>
        <d v="2024-06-15T00:00:00"/>
        <d v="2024-07-15T00:00:00"/>
        <d v="2024-08-15T00:00:00"/>
        <d v="2024-09-15T00:00:00"/>
        <d v="2024-10-15T00:00:00"/>
        <d v="2024-11-15T00:00:00"/>
        <d v="2024-12-15T00:00:00"/>
        <d v="2025-01-15T00:00:00"/>
      </sharedItems>
    </cacheField>
    <cacheField name="# DE CUOTA DEL MONTO" numFmtId="171">
      <sharedItems containsBlank="1" containsMixedTypes="1" containsNumber="1" containsInteger="1" minValue="1" maxValue="10"/>
    </cacheField>
    <cacheField name="PAGO DEL INTERES" numFmtId="164">
      <sharedItems containsString="0" containsBlank="1" containsNumber="1" minValue="0" maxValue="250"/>
    </cacheField>
    <cacheField name="FECHA PAGO INTERES" numFmtId="14">
      <sharedItems containsNonDate="0" containsDate="1" containsString="0" containsBlank="1" minDate="2022-10-15T00:00:00" maxDate="2025-01-16T00:00:00"/>
    </cacheField>
    <cacheField name="# DE CUOTA DE INTERES" numFmtId="172">
      <sharedItems containsString="0" containsBlank="1" containsNumber="1" containsInteger="1" minValue="0" maxValue="50"/>
    </cacheField>
    <cacheField name="COMENTARI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01"/>
    <x v="0"/>
    <n v="290"/>
  </r>
  <r>
    <s v="02"/>
    <x v="1"/>
    <n v="290"/>
  </r>
  <r>
    <s v="03"/>
    <x v="2"/>
    <n v="290"/>
  </r>
  <r>
    <s v="04"/>
    <x v="3"/>
    <n v="290"/>
  </r>
  <r>
    <s v="05"/>
    <x v="4"/>
    <n v="290"/>
  </r>
  <r>
    <s v="06"/>
    <x v="5"/>
    <n v="290"/>
  </r>
  <r>
    <s v="07"/>
    <x v="6"/>
    <n v="290"/>
  </r>
  <r>
    <s v="08"/>
    <x v="7"/>
    <n v="290"/>
  </r>
  <r>
    <s v="09"/>
    <x v="8"/>
    <n v="290"/>
  </r>
  <r>
    <s v="10"/>
    <x v="9"/>
    <n v="290"/>
  </r>
  <r>
    <s v="11"/>
    <x v="10"/>
    <n v="290"/>
  </r>
  <r>
    <s v="12"/>
    <x v="11"/>
    <n v="290"/>
  </r>
  <r>
    <s v="13"/>
    <x v="12"/>
    <n v="29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n v="6"/>
    <x v="0"/>
    <n v="60"/>
    <x v="0"/>
    <n v="2"/>
    <n v="0.02"/>
    <n v="2.4"/>
    <n v="62.4"/>
    <s v="PAGO DE CUOTAS MENSUALES"/>
    <s v="PAGADO"/>
  </r>
  <r>
    <x v="1"/>
    <n v="3"/>
    <x v="1"/>
    <n v="100"/>
    <x v="0"/>
    <n v="2"/>
    <n v="0.02"/>
    <n v="4"/>
    <n v="104"/>
    <m/>
    <s v="PAGADO"/>
  </r>
  <r>
    <x v="2"/>
    <n v="15"/>
    <x v="2"/>
    <n v="100"/>
    <x v="0"/>
    <n v="0"/>
    <n v="0"/>
    <n v="0"/>
    <n v="100"/>
    <s v="AYUDA PARA EL SOCIO DIEGO TOAQUIZA POR ENFERMEDAD"/>
    <s v="PAGADO"/>
  </r>
  <r>
    <x v="3"/>
    <n v="4"/>
    <x v="3"/>
    <n v="200"/>
    <x v="1"/>
    <n v="1"/>
    <n v="0.02"/>
    <n v="4"/>
    <n v="204"/>
    <m/>
    <s v="PAGADO"/>
  </r>
  <r>
    <x v="4"/>
    <n v="12"/>
    <x v="4"/>
    <n v="200"/>
    <x v="2"/>
    <n v="2"/>
    <n v="0.02"/>
    <n v="8"/>
    <n v="208"/>
    <m/>
    <s v="PAGADO"/>
  </r>
  <r>
    <x v="5"/>
    <n v="8"/>
    <x v="5"/>
    <n v="200"/>
    <x v="2"/>
    <n v="1"/>
    <n v="0.02"/>
    <n v="4"/>
    <n v="204"/>
    <m/>
    <s v="PAGADO"/>
  </r>
  <r>
    <x v="6"/>
    <n v="1"/>
    <x v="6"/>
    <n v="100"/>
    <x v="3"/>
    <n v="4"/>
    <n v="0.02"/>
    <n v="8"/>
    <n v="108"/>
    <m/>
    <s v="PAGADO"/>
  </r>
  <r>
    <x v="7"/>
    <n v="9"/>
    <x v="7"/>
    <n v="100"/>
    <x v="3"/>
    <n v="4"/>
    <n v="0.02"/>
    <n v="8"/>
    <n v="108"/>
    <m/>
    <s v="PAGADO"/>
  </r>
  <r>
    <x v="8"/>
    <n v="10"/>
    <x v="8"/>
    <n v="170"/>
    <x v="3"/>
    <n v="5"/>
    <n v="0.02"/>
    <n v="17"/>
    <n v="187"/>
    <m/>
    <s v="PAGADO"/>
  </r>
  <r>
    <x v="9"/>
    <n v="11"/>
    <x v="9"/>
    <n v="250"/>
    <x v="4"/>
    <n v="3"/>
    <n v="0.02"/>
    <n v="15"/>
    <n v="265"/>
    <m/>
    <s v="PAGADO"/>
  </r>
  <r>
    <x v="10"/>
    <n v="6"/>
    <x v="0"/>
    <n v="100"/>
    <x v="4"/>
    <n v="4"/>
    <n v="0.02"/>
    <n v="8"/>
    <n v="108"/>
    <m/>
    <s v="PAGADO"/>
  </r>
  <r>
    <x v="11"/>
    <n v="3"/>
    <x v="1"/>
    <n v="300"/>
    <x v="5"/>
    <n v="3"/>
    <n v="0.02"/>
    <n v="18"/>
    <n v="318"/>
    <m/>
    <s v="PAGADO"/>
  </r>
  <r>
    <x v="12"/>
    <n v="7"/>
    <x v="10"/>
    <n v="100"/>
    <x v="5"/>
    <n v="4"/>
    <n v="0.02"/>
    <n v="8"/>
    <n v="108"/>
    <m/>
    <s v="PAGADO"/>
  </r>
  <r>
    <x v="13"/>
    <n v="4"/>
    <x v="3"/>
    <n v="400"/>
    <x v="6"/>
    <n v="4"/>
    <n v="0.02"/>
    <n v="32"/>
    <n v="432"/>
    <m/>
    <s v="PAGADO"/>
  </r>
  <r>
    <x v="14"/>
    <n v="13"/>
    <x v="11"/>
    <n v="80"/>
    <x v="6"/>
    <n v="1"/>
    <n v="0.02"/>
    <n v="1.6"/>
    <n v="81.599999999999994"/>
    <m/>
    <s v="PAGADO"/>
  </r>
  <r>
    <x v="15"/>
    <n v="9"/>
    <x v="7"/>
    <n v="200"/>
    <x v="7"/>
    <n v="4"/>
    <n v="0.02"/>
    <n v="16"/>
    <n v="216"/>
    <m/>
    <s v="PAGADO"/>
  </r>
  <r>
    <x v="16"/>
    <n v="1"/>
    <x v="6"/>
    <n v="100"/>
    <x v="7"/>
    <n v="4"/>
    <n v="0.02"/>
    <n v="8"/>
    <n v="108"/>
    <m/>
    <s v="PAGADO"/>
  </r>
  <r>
    <x v="17"/>
    <n v="5"/>
    <x v="12"/>
    <n v="200"/>
    <x v="8"/>
    <n v="2"/>
    <n v="0.02"/>
    <n v="8"/>
    <n v="208"/>
    <m/>
    <s v="PAGADO"/>
  </r>
  <r>
    <x v="18"/>
    <n v="6"/>
    <x v="0"/>
    <n v="100"/>
    <x v="8"/>
    <n v="4"/>
    <n v="0.02"/>
    <n v="8"/>
    <n v="108"/>
    <m/>
    <s v="PAGADO"/>
  </r>
  <r>
    <x v="19"/>
    <n v="10"/>
    <x v="8"/>
    <n v="400"/>
    <x v="9"/>
    <n v="4"/>
    <n v="0.02"/>
    <n v="32"/>
    <n v="432"/>
    <m/>
    <s v="PAGADO"/>
  </r>
  <r>
    <x v="20"/>
    <n v="11"/>
    <x v="9"/>
    <n v="200"/>
    <x v="9"/>
    <n v="4"/>
    <n v="0.02"/>
    <n v="16"/>
    <n v="216"/>
    <m/>
    <s v="PAGADO"/>
  </r>
  <r>
    <x v="21"/>
    <n v="3"/>
    <x v="1"/>
    <n v="400"/>
    <x v="9"/>
    <n v="4"/>
    <n v="0.02"/>
    <n v="32"/>
    <n v="432"/>
    <m/>
    <s v="PAGADO"/>
  </r>
  <r>
    <x v="22"/>
    <n v="1"/>
    <x v="6"/>
    <n v="100"/>
    <x v="10"/>
    <n v="1"/>
    <n v="0.02"/>
    <n v="2"/>
    <n v="102"/>
    <m/>
    <s v="PAGADO"/>
  </r>
  <r>
    <x v="23"/>
    <n v="4"/>
    <x v="3"/>
    <n v="200"/>
    <x v="10"/>
    <n v="1"/>
    <n v="0.02"/>
    <n v="4"/>
    <n v="204"/>
    <m/>
    <s v="PAGADO"/>
  </r>
  <r>
    <x v="24"/>
    <n v="5"/>
    <x v="12"/>
    <n v="200"/>
    <x v="11"/>
    <n v="1"/>
    <n v="0.02"/>
    <n v="4"/>
    <n v="204"/>
    <m/>
    <s v="PAGADO"/>
  </r>
  <r>
    <x v="25"/>
    <n v="13"/>
    <x v="11"/>
    <n v="500"/>
    <x v="12"/>
    <n v="6"/>
    <n v="0.02"/>
    <n v="60"/>
    <n v="560"/>
    <s v="PAGO DE INTERES DE MENSUAL MONTO AL FINAL DEL PLAZO"/>
    <s v="PAGADO"/>
  </r>
  <r>
    <x v="26"/>
    <n v="4"/>
    <x v="3"/>
    <n v="100"/>
    <x v="12"/>
    <n v="1"/>
    <n v="0.02"/>
    <n v="2"/>
    <n v="102"/>
    <s v="PRESTAMO PARA UN MES PAGO LA CUOTA COMPLETA"/>
    <s v="PAGADO"/>
  </r>
  <r>
    <x v="27"/>
    <n v="2"/>
    <x v="13"/>
    <n v="100"/>
    <x v="12"/>
    <n v="4"/>
    <n v="0.02"/>
    <n v="8"/>
    <n v="108"/>
    <s v="PAGO ME AMORTIZACION E INTERES MENSUAL"/>
    <s v="PAGADO"/>
  </r>
  <r>
    <x v="28"/>
    <n v="6"/>
    <x v="0"/>
    <n v="600"/>
    <x v="13"/>
    <n v="4"/>
    <n v="0.02"/>
    <n v="48"/>
    <n v="648"/>
    <s v="PAGO INTERES MENSUAL MONTO AL FINAL"/>
    <s v="PAGADO"/>
  </r>
  <r>
    <x v="29"/>
    <n v="12"/>
    <x v="4"/>
    <n v="200"/>
    <x v="13"/>
    <n v="4"/>
    <n v="0.02"/>
    <n v="16"/>
    <n v="216"/>
    <s v="CUOTAS MENSUALES "/>
    <s v="PAGADO"/>
  </r>
  <r>
    <x v="30"/>
    <n v="9"/>
    <x v="7"/>
    <n v="400"/>
    <x v="13"/>
    <n v="7"/>
    <n v="0.02"/>
    <n v="56"/>
    <n v="456"/>
    <s v="PAGO DE CUOTA E INTERES MENSUAL"/>
    <s v="PAGADO"/>
  </r>
  <r>
    <x v="31"/>
    <n v="3"/>
    <x v="1"/>
    <n v="200"/>
    <x v="14"/>
    <n v="4"/>
    <n v="0.02"/>
    <n v="16"/>
    <n v="216"/>
    <s v="PAGO DE INTERESES MENSUALES CAPITAL AL FINAL"/>
    <s v="PAGADO"/>
  </r>
  <r>
    <x v="32"/>
    <n v="10"/>
    <x v="8"/>
    <n v="250"/>
    <x v="14"/>
    <n v="4"/>
    <n v="0.02"/>
    <n v="20"/>
    <n v="270"/>
    <s v="PAGO DE INTERESES MENSUALES CAPITAL AL FINAL"/>
    <s v="PAGADO"/>
  </r>
  <r>
    <x v="33"/>
    <n v="10"/>
    <x v="8"/>
    <n v="500"/>
    <x v="15"/>
    <n v="2"/>
    <n v="0.02"/>
    <n v="20"/>
    <n v="520"/>
    <s v="REEPRESTAMO PAGO INTERESES MENSUALES Y EL MONTO AL FINAL"/>
    <s v="PAGADO"/>
  </r>
  <r>
    <x v="34"/>
    <n v="11"/>
    <x v="9"/>
    <n v="100"/>
    <x v="16"/>
    <n v="5"/>
    <n v="0.02"/>
    <n v="10"/>
    <n v="110"/>
    <s v="PAGOS MENSULES DE LOS INTERESES MONTO AL FINAL"/>
    <s v="PAGADO"/>
  </r>
  <r>
    <x v="35"/>
    <n v="6"/>
    <x v="0"/>
    <n v="600"/>
    <x v="17"/>
    <n v="5"/>
    <n v="0.02"/>
    <n v="60"/>
    <n v="660"/>
    <s v="RENOVACION DEL CREDITO PARA 5 MESES PAGO DE INTERES Y AMORT MENSUAL"/>
    <s v="PAGADO"/>
  </r>
  <r>
    <x v="36"/>
    <n v="1"/>
    <x v="6"/>
    <n v="100"/>
    <x v="18"/>
    <n v="4"/>
    <n v="0.02"/>
    <n v="8"/>
    <n v="108"/>
    <s v="PAGO DE AMORTIZACION E INTERES MENSUAL"/>
    <s v="PAGADO"/>
  </r>
  <r>
    <x v="37"/>
    <n v="3"/>
    <x v="1"/>
    <n v="1000"/>
    <x v="19"/>
    <n v="10"/>
    <n v="0.02"/>
    <n v="200"/>
    <n v="1200"/>
    <s v="PAGO DE INTERES Y MONTO MENSUAL"/>
    <s v="PAGADO"/>
  </r>
  <r>
    <x v="38"/>
    <n v="11"/>
    <x v="9"/>
    <n v="600"/>
    <x v="19"/>
    <n v="12"/>
    <n v="0.02"/>
    <n v="144"/>
    <n v="744"/>
    <s v="PAGO DE INTERES Y MONTO MENSUAL"/>
    <s v="PENDIENTE"/>
  </r>
  <r>
    <x v="39"/>
    <n v="10"/>
    <x v="8"/>
    <n v="400"/>
    <x v="19"/>
    <n v="4"/>
    <n v="0.02"/>
    <n v="32"/>
    <n v="432"/>
    <s v="PAGO DE INTERES Y CUOTA MENSUAL"/>
    <s v="PAGADO"/>
  </r>
  <r>
    <x v="40"/>
    <n v="7"/>
    <x v="10"/>
    <n v="100"/>
    <x v="19"/>
    <n v="5"/>
    <n v="0.02"/>
    <n v="10"/>
    <n v="110"/>
    <s v="PAGO DE INTERES Y MONTO MENSUAL"/>
    <s v="PAGADO"/>
  </r>
  <r>
    <x v="41"/>
    <n v="12"/>
    <x v="4"/>
    <n v="150"/>
    <x v="20"/>
    <n v="3"/>
    <n v="0.02"/>
    <n v="9"/>
    <n v="159"/>
    <s v="PAGO DE INTERES Y CAPITAL AL FINAL"/>
    <s v="PAGADO"/>
  </r>
  <r>
    <x v="42"/>
    <n v="15"/>
    <x v="2"/>
    <n v="100"/>
    <x v="20"/>
    <n v="0"/>
    <n v="0"/>
    <n v="0"/>
    <n v="100"/>
    <s v="AYUDA PARA EL SOCIO ROCIO TOAQUIZA POR ENFERMEDAD"/>
    <s v="PAGADO"/>
  </r>
  <r>
    <x v="43"/>
    <n v="9"/>
    <x v="7"/>
    <n v="600"/>
    <x v="21"/>
    <n v="7"/>
    <n v="0.02"/>
    <n v="84"/>
    <n v="684"/>
    <s v="PAGO DE INTERES Y MONTO MENSUAL"/>
    <s v="PAGADO"/>
  </r>
  <r>
    <x v="44"/>
    <n v="4"/>
    <x v="3"/>
    <n v="400"/>
    <x v="21"/>
    <n v="4"/>
    <n v="0.02"/>
    <n v="32"/>
    <n v="432"/>
    <s v="PAGO DE MONTO E INTERES MENSUAL"/>
    <s v="PAGADO"/>
  </r>
  <r>
    <x v="45"/>
    <n v="10"/>
    <x v="8"/>
    <n v="700"/>
    <x v="22"/>
    <n v="5"/>
    <n v="0.02"/>
    <n v="70"/>
    <n v="770"/>
    <s v="PAGO DE MONTO E INTERES MENSUAL"/>
    <s v="PAGADO"/>
  </r>
  <r>
    <x v="46"/>
    <n v="5"/>
    <x v="12"/>
    <n v="300"/>
    <x v="22"/>
    <n v="3"/>
    <n v="0.02"/>
    <n v="18"/>
    <n v="318"/>
    <s v="PAGO DE MONTO E INTERES MENSUAL"/>
    <s v="PAGADO"/>
  </r>
  <r>
    <x v="47"/>
    <n v="13"/>
    <x v="11"/>
    <n v="500"/>
    <x v="23"/>
    <n v="5"/>
    <n v="0.02"/>
    <n v="50"/>
    <n v="550"/>
    <s v="INTERES Y CAPITAL MENSUAL"/>
    <s v="PAGADO"/>
  </r>
  <r>
    <x v="48"/>
    <n v="12"/>
    <x v="4"/>
    <n v="500"/>
    <x v="23"/>
    <n v="12"/>
    <n v="0.02"/>
    <n v="120"/>
    <n v="620"/>
    <s v="PAGO DE CUOTA E INTERES MENSUAL"/>
    <s v="PENDIENTE"/>
  </r>
  <r>
    <x v="49"/>
    <n v="6"/>
    <x v="0"/>
    <n v="600"/>
    <x v="24"/>
    <n v="6"/>
    <n v="0.02"/>
    <n v="72"/>
    <n v="672"/>
    <s v="PAGOS MENSUALIZADOS"/>
    <s v="PAGADO"/>
  </r>
  <r>
    <x v="50"/>
    <n v="1"/>
    <x v="6"/>
    <n v="300"/>
    <x v="24"/>
    <n v="6"/>
    <n v="0.02"/>
    <n v="36"/>
    <n v="336"/>
    <s v="PAGOS DE CUOTAS MENSUALES"/>
    <s v="PENDIENTE"/>
  </r>
  <r>
    <x v="51"/>
    <n v="8"/>
    <x v="5"/>
    <n v="400"/>
    <x v="25"/>
    <n v="4"/>
    <n v="0.02"/>
    <n v="32"/>
    <n v="432"/>
    <s v="PAGO DE CUOTA E INTERES MENSUAL"/>
    <s v="PAGADO"/>
  </r>
  <r>
    <x v="52"/>
    <n v="15"/>
    <x v="6"/>
    <n v="260"/>
    <x v="25"/>
    <n v="0"/>
    <n v="0"/>
    <n v="0"/>
    <n v="260"/>
    <s v="AYUDA PARA EL SOCIO CESAR TOAQUIZA POR ENFERMEDAD SE GASTO 260$ (160$ SE REPONE ENTRE LOS 12 SOCIOS A 13.35 C/U)"/>
    <s v="PAGADO"/>
  </r>
  <r>
    <x v="53"/>
    <n v="4"/>
    <x v="3"/>
    <n v="250"/>
    <x v="26"/>
    <n v="4"/>
    <n v="0.02"/>
    <n v="20"/>
    <n v="270"/>
    <s v="PAGO DE CUOTA E INTERES MENSUAL"/>
    <s v="PENDIENTE"/>
  </r>
  <r>
    <x v="54"/>
    <n v="5"/>
    <x v="12"/>
    <n v="250"/>
    <x v="26"/>
    <n v="4"/>
    <n v="0.02"/>
    <n v="20"/>
    <n v="270"/>
    <s v="PAGO DE INTERES Y CUOTA MENSUAL"/>
    <s v="PENDIENTE"/>
  </r>
  <r>
    <x v="55"/>
    <n v="10"/>
    <x v="8"/>
    <n v="500"/>
    <x v="26"/>
    <n v="4"/>
    <n v="0.02"/>
    <n v="40"/>
    <n v="540"/>
    <s v="PAGO DE INTERES Y CUOTA MENSUAL"/>
    <s v="PAGADO"/>
  </r>
  <r>
    <x v="56"/>
    <n v="2"/>
    <x v="13"/>
    <n v="500"/>
    <x v="27"/>
    <n v="3"/>
    <n v="0.02"/>
    <n v="30"/>
    <n v="530"/>
    <s v="PAGO DE LA CUOTA EL INTERES MENSUAL"/>
    <s v="PENDIENTE"/>
  </r>
  <r>
    <x v="57"/>
    <n v="9"/>
    <x v="7"/>
    <n v="1000"/>
    <x v="27"/>
    <n v="10"/>
    <n v="0.02"/>
    <n v="200"/>
    <n v="1200"/>
    <s v="PAGO DE LA CUOTA Y EL INTERES MENSUAL"/>
    <s v="PENDIENTE"/>
  </r>
  <r>
    <x v="58"/>
    <n v="7"/>
    <x v="10"/>
    <n v="200"/>
    <x v="27"/>
    <n v="5"/>
    <n v="0.02"/>
    <n v="20"/>
    <n v="220"/>
    <s v="PAGO DE LA CUOTA Y EL INTERES MENSUAL"/>
    <s v="PENDIENTE"/>
  </r>
  <r>
    <x v="59"/>
    <n v="13"/>
    <x v="11"/>
    <n v="1000"/>
    <x v="28"/>
    <n v="10"/>
    <n v="0.02"/>
    <n v="200"/>
    <n v="1200"/>
    <s v="PAGO MENSUAL DE LA LETRA (REEPRESTAMO)"/>
    <s v="PENDIENTE"/>
  </r>
  <r>
    <x v="60"/>
    <n v="8"/>
    <x v="5"/>
    <n v="500"/>
    <x v="28"/>
    <n v="5"/>
    <n v="0.02"/>
    <n v="50"/>
    <n v="550"/>
    <s v="PAGOS MENSUALES (REEPRESTAMO)"/>
    <s v="PENDIENTE"/>
  </r>
  <r>
    <x v="61"/>
    <n v="12"/>
    <x v="4"/>
    <n v="80"/>
    <x v="29"/>
    <n v="1"/>
    <n v="0.02"/>
    <n v="1.6"/>
    <n v="81.599999999999994"/>
    <s v="PAGO DE CUOTA E INTERES AL FINAL DEL PERIODO (PRESTAMOS TERCEROS)"/>
    <s v="PAGADO"/>
  </r>
  <r>
    <x v="62"/>
    <n v="6"/>
    <x v="0"/>
    <n v="700"/>
    <x v="30"/>
    <n v="7"/>
    <n v="0.02"/>
    <n v="98"/>
    <n v="798"/>
    <s v="PAGO DE CUOTA E INTERES MENSUALES (REEPRESTAMO)"/>
    <s v="PENDIENTE"/>
  </r>
  <r>
    <x v="63"/>
    <n v="10"/>
    <x v="8"/>
    <n v="700"/>
    <x v="30"/>
    <n v="7"/>
    <n v="0.02"/>
    <n v="98"/>
    <n v="798"/>
    <s v="PAGO DE CUOTA E INTERES MENSUAL (REEPRESTAMO)"/>
    <s v="PENDIENTE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5">
  <r>
    <x v="0"/>
    <s v="03"/>
    <x v="0"/>
    <n v="2"/>
    <n v="100"/>
    <x v="0"/>
    <n v="2"/>
    <n v="4"/>
    <d v="2022-10-15T00:00:00"/>
    <n v="2"/>
    <s v="PAGO AL FINAL DEL PERIODO"/>
  </r>
  <r>
    <x v="1"/>
    <s v="06"/>
    <x v="1"/>
    <n v="1"/>
    <n v="60"/>
    <x v="0"/>
    <n v="2"/>
    <n v="2.4"/>
    <d v="2022-10-15T00:00:00"/>
    <n v="2"/>
    <s v="NINGUNO"/>
  </r>
  <r>
    <x v="2"/>
    <s v="03"/>
    <x v="2"/>
    <n v="3"/>
    <n v="200"/>
    <x v="1"/>
    <n v="1"/>
    <n v="4"/>
    <d v="2022-11-15T00:00:00"/>
    <n v="1"/>
    <m/>
  </r>
  <r>
    <x v="3"/>
    <n v="14"/>
    <x v="3"/>
    <m/>
    <n v="0"/>
    <x v="2"/>
    <m/>
    <n v="10"/>
    <d v="2022-12-26T00:00:00"/>
    <n v="0"/>
    <s v="MULTA DE CESAR, DANNY Y ANA TOAQUIZA 10$"/>
  </r>
  <r>
    <x v="4"/>
    <s v="10"/>
    <x v="4"/>
    <n v="8"/>
    <n v="34"/>
    <x v="3"/>
    <n v="1"/>
    <n v="3.4"/>
    <d v="2023-01-15T00:00:00"/>
    <n v="1"/>
    <m/>
  </r>
  <r>
    <x v="5"/>
    <s v="08"/>
    <x v="5"/>
    <n v="5"/>
    <n v="200"/>
    <x v="3"/>
    <n v="1"/>
    <n v="4"/>
    <d v="2023-02-15T00:00:00"/>
    <n v="1"/>
    <m/>
  </r>
  <r>
    <x v="6"/>
    <s v="06"/>
    <x v="1"/>
    <n v="10"/>
    <n v="25"/>
    <x v="4"/>
    <n v="1"/>
    <n v="2"/>
    <d v="2023-02-15T00:00:00"/>
    <n v="1"/>
    <s v="PAGO DE LA PRIMERA CUOTA"/>
  </r>
  <r>
    <x v="7"/>
    <s v="11"/>
    <x v="6"/>
    <n v="9"/>
    <n v="83.33"/>
    <x v="4"/>
    <n v="1"/>
    <n v="5"/>
    <d v="2023-02-15T00:00:00"/>
    <n v="1"/>
    <s v="PAGO DE LA PRIMERA CUOTA"/>
  </r>
  <r>
    <x v="8"/>
    <s v="10"/>
    <x v="4"/>
    <n v="8"/>
    <n v="34"/>
    <x v="4"/>
    <n v="2"/>
    <n v="3.4"/>
    <d v="2023-02-15T00:00:00"/>
    <n v="2"/>
    <m/>
  </r>
  <r>
    <x v="9"/>
    <s v="12"/>
    <x v="7"/>
    <n v="4"/>
    <n v="200"/>
    <x v="4"/>
    <n v="2"/>
    <n v="8"/>
    <d v="2023-02-15T00:00:00"/>
    <n v="2"/>
    <m/>
  </r>
  <r>
    <x v="10"/>
    <s v="07"/>
    <x v="8"/>
    <n v="12"/>
    <n v="25"/>
    <x v="5"/>
    <n v="1"/>
    <n v="2"/>
    <d v="2023-03-15T00:00:00"/>
    <n v="1"/>
    <s v="PAGO DE LA PRIMERA CUOTA"/>
  </r>
  <r>
    <x v="11"/>
    <s v="03"/>
    <x v="0"/>
    <n v="11"/>
    <n v="100"/>
    <x v="5"/>
    <n v="1"/>
    <n v="6"/>
    <d v="2023-03-15T00:00:00"/>
    <n v="1"/>
    <s v="PAGO DE LA PRIMERA CUOTA"/>
  </r>
  <r>
    <x v="12"/>
    <s v="06"/>
    <x v="1"/>
    <n v="10"/>
    <n v="25"/>
    <x v="5"/>
    <n v="2"/>
    <n v="2"/>
    <d v="2023-03-15T00:00:00"/>
    <n v="2"/>
    <s v="PAGO DE LA SEGUNDA CUOTA"/>
  </r>
  <r>
    <x v="13"/>
    <s v="11"/>
    <x v="6"/>
    <n v="9"/>
    <n v="83.33"/>
    <x v="5"/>
    <n v="2"/>
    <n v="5"/>
    <d v="2023-03-15T00:00:00"/>
    <n v="2"/>
    <s v="PAGO SEGUNDA CUOTA"/>
  </r>
  <r>
    <x v="14"/>
    <s v="10"/>
    <x v="4"/>
    <n v="8"/>
    <n v="34"/>
    <x v="5"/>
    <n v="3"/>
    <n v="3.4"/>
    <d v="2023-03-15T00:00:00"/>
    <n v="3"/>
    <m/>
  </r>
  <r>
    <x v="15"/>
    <s v="13"/>
    <x v="9"/>
    <n v="14"/>
    <n v="80"/>
    <x v="6"/>
    <n v="1"/>
    <n v="1.6"/>
    <d v="2023-04-15T00:00:00"/>
    <n v="1"/>
    <s v="PAGO DE LA CUOTA"/>
  </r>
  <r>
    <x v="16"/>
    <s v="04"/>
    <x v="2"/>
    <n v="13"/>
    <n v="100"/>
    <x v="6"/>
    <n v="1"/>
    <n v="8"/>
    <d v="2023-04-15T00:00:00"/>
    <n v="1"/>
    <s v="PAGO DE LA PRIMERA CUOTA"/>
  </r>
  <r>
    <x v="17"/>
    <s v="07"/>
    <x v="8"/>
    <n v="12"/>
    <n v="25"/>
    <x v="6"/>
    <n v="2"/>
    <n v="2"/>
    <d v="2023-04-15T00:00:00"/>
    <n v="2"/>
    <s v="PAGO DE LA SEGUNDA CUOTA"/>
  </r>
  <r>
    <x v="18"/>
    <s v="03"/>
    <x v="0"/>
    <n v="11"/>
    <n v="100"/>
    <x v="6"/>
    <n v="2"/>
    <n v="6"/>
    <d v="2023-04-15T00:00:00"/>
    <n v="2"/>
    <s v="PAGO DE LA SEGUNDA CUOTA"/>
  </r>
  <r>
    <x v="19"/>
    <s v="06"/>
    <x v="1"/>
    <n v="10"/>
    <n v="25"/>
    <x v="6"/>
    <n v="3"/>
    <n v="2"/>
    <d v="2023-04-15T00:00:00"/>
    <n v="3"/>
    <s v="PAGO DE LA TERCERA CUOTA"/>
  </r>
  <r>
    <x v="20"/>
    <s v="11"/>
    <x v="6"/>
    <n v="9"/>
    <n v="83.33"/>
    <x v="6"/>
    <n v="3"/>
    <n v="5"/>
    <d v="2023-04-15T00:00:00"/>
    <n v="3"/>
    <s v="PAGO DE LA TERCERA CUOTA "/>
  </r>
  <r>
    <x v="21"/>
    <s v="10"/>
    <x v="4"/>
    <n v="8"/>
    <n v="34"/>
    <x v="6"/>
    <n v="4"/>
    <n v="3.4"/>
    <d v="2023-04-15T00:00:00"/>
    <n v="4"/>
    <m/>
  </r>
  <r>
    <x v="22"/>
    <s v="09"/>
    <x v="10"/>
    <n v="7"/>
    <n v="100"/>
    <x v="6"/>
    <n v="4"/>
    <n v="8"/>
    <d v="2023-04-15T00:00:00"/>
    <n v="4"/>
    <s v="PAGO COMPLETO DEL PRESTAMO"/>
  </r>
  <r>
    <x v="23"/>
    <s v="01"/>
    <x v="11"/>
    <n v="6"/>
    <n v="100"/>
    <x v="6"/>
    <n v="4"/>
    <n v="8"/>
    <d v="2023-04-15T00:00:00"/>
    <n v="4"/>
    <s v="PAGO DEL PRESTAMO AL FINAL DEL PERIODO"/>
  </r>
  <r>
    <x v="24"/>
    <s v="01"/>
    <x v="11"/>
    <n v="16"/>
    <n v="25"/>
    <x v="7"/>
    <n v="1"/>
    <n v="2"/>
    <d v="2023-05-15T00:00:00"/>
    <n v="1"/>
    <s v="PAGO DE LA PRIMERA CUOTA"/>
  </r>
  <r>
    <x v="25"/>
    <s v="09"/>
    <x v="10"/>
    <n v="15"/>
    <n v="50"/>
    <x v="7"/>
    <n v="1"/>
    <n v="4"/>
    <d v="2023-05-15T00:00:00"/>
    <n v="1"/>
    <s v="PAGO DE LA PRIMERA CUOTA"/>
  </r>
  <r>
    <x v="26"/>
    <s v="04"/>
    <x v="2"/>
    <n v="13"/>
    <n v="100"/>
    <x v="7"/>
    <n v="2"/>
    <n v="8"/>
    <d v="2023-05-15T00:00:00"/>
    <n v="2"/>
    <s v="PAGO DE LA SEGUNDA CUOTA"/>
  </r>
  <r>
    <x v="27"/>
    <s v="07"/>
    <x v="8"/>
    <n v="12"/>
    <n v="25"/>
    <x v="7"/>
    <n v="3"/>
    <n v="2"/>
    <d v="2023-05-15T00:00:00"/>
    <n v="3"/>
    <s v="PAGO DE LA TERCERA CUOTA"/>
  </r>
  <r>
    <x v="28"/>
    <s v="03"/>
    <x v="0"/>
    <n v="11"/>
    <n v="100"/>
    <x v="7"/>
    <n v="3"/>
    <n v="6"/>
    <d v="2023-05-15T00:00:00"/>
    <n v="3"/>
    <s v="PAGO DE LA TERCERA CUOTA"/>
  </r>
  <r>
    <x v="29"/>
    <s v="06"/>
    <x v="1"/>
    <n v="10"/>
    <n v="25"/>
    <x v="7"/>
    <n v="4"/>
    <n v="2"/>
    <d v="2023-05-15T00:00:00"/>
    <n v="4"/>
    <s v="PAGO DE LA CUARTA CUOTA"/>
  </r>
  <r>
    <x v="30"/>
    <s v="10"/>
    <x v="4"/>
    <n v="8"/>
    <n v="34"/>
    <x v="7"/>
    <n v="5"/>
    <n v="3.4"/>
    <d v="2023-05-15T00:00:00"/>
    <n v="5"/>
    <m/>
  </r>
  <r>
    <x v="31"/>
    <s v="06"/>
    <x v="1"/>
    <n v="18"/>
    <n v="25"/>
    <x v="8"/>
    <n v="1"/>
    <n v="2"/>
    <d v="2023-06-15T00:00:00"/>
    <n v="1"/>
    <s v="PAGO DE LA PRIMERA CUOTA"/>
  </r>
  <r>
    <x v="32"/>
    <s v="05"/>
    <x v="12"/>
    <n v="17"/>
    <n v="100"/>
    <x v="8"/>
    <n v="1"/>
    <n v="4"/>
    <d v="2023-06-15T00:00:00"/>
    <n v="1"/>
    <s v="PAGO DE LA PRIMERA CUOTA"/>
  </r>
  <r>
    <x v="33"/>
    <s v="01"/>
    <x v="11"/>
    <n v="16"/>
    <n v="25"/>
    <x v="8"/>
    <n v="2"/>
    <n v="2"/>
    <d v="2023-06-15T00:00:00"/>
    <n v="2"/>
    <s v="PAGO DE LA SEGUNDA CUOTA"/>
  </r>
  <r>
    <x v="34"/>
    <s v="09"/>
    <x v="10"/>
    <n v="15"/>
    <n v="50"/>
    <x v="8"/>
    <n v="2"/>
    <n v="4"/>
    <d v="2023-06-15T00:00:00"/>
    <n v="2"/>
    <s v="PAGO DE LA SEGUNDA CUOTA"/>
  </r>
  <r>
    <x v="35"/>
    <s v="04"/>
    <x v="2"/>
    <n v="13"/>
    <n v="100"/>
    <x v="8"/>
    <n v="3"/>
    <n v="8"/>
    <d v="2023-06-15T00:00:00"/>
    <n v="3"/>
    <s v="PAGO DE LA TERCERA CUOTA "/>
  </r>
  <r>
    <x v="36"/>
    <s v="07"/>
    <x v="8"/>
    <n v="12"/>
    <n v="25"/>
    <x v="8"/>
    <n v="4"/>
    <n v="2"/>
    <d v="2023-06-15T00:00:00"/>
    <n v="4"/>
    <s v="PAGO DE LA CUARTA CUOTA"/>
  </r>
  <r>
    <x v="37"/>
    <s v="03"/>
    <x v="0"/>
    <n v="21"/>
    <n v="0"/>
    <x v="9"/>
    <n v="1"/>
    <n v="8"/>
    <d v="2023-07-15T00:00:00"/>
    <n v="1"/>
    <s v="PAGO DEL PRIMER INTERES"/>
  </r>
  <r>
    <x v="38"/>
    <s v="11"/>
    <x v="6"/>
    <n v="20"/>
    <n v="0"/>
    <x v="9"/>
    <m/>
    <n v="4"/>
    <d v="2023-07-15T00:00:00"/>
    <n v="1"/>
    <s v="PAGO DEL PRIMER INTERES"/>
  </r>
  <r>
    <x v="39"/>
    <s v="10"/>
    <x v="4"/>
    <n v="19"/>
    <n v="0"/>
    <x v="9"/>
    <m/>
    <n v="8"/>
    <d v="2023-07-15T00:00:00"/>
    <n v="1"/>
    <s v="PAGO DEL PRIMER INTERES"/>
  </r>
  <r>
    <x v="40"/>
    <s v="06"/>
    <x v="1"/>
    <n v="18"/>
    <n v="25"/>
    <x v="9"/>
    <n v="2"/>
    <n v="2"/>
    <d v="2023-07-15T00:00:00"/>
    <n v="2"/>
    <s v="PAGO DE LA SEGUNDA CUOTA"/>
  </r>
  <r>
    <x v="41"/>
    <s v="05"/>
    <x v="12"/>
    <n v="17"/>
    <n v="100"/>
    <x v="9"/>
    <n v="2"/>
    <n v="4"/>
    <d v="2023-07-15T00:00:00"/>
    <n v="2"/>
    <s v="PAGO DE LA SEGUNDA CUOTA"/>
  </r>
  <r>
    <x v="42"/>
    <s v="01"/>
    <x v="11"/>
    <n v="16"/>
    <n v="25"/>
    <x v="9"/>
    <n v="3"/>
    <n v="2"/>
    <d v="2023-07-15T00:00:00"/>
    <n v="3"/>
    <s v="PAGO DE LA TERCERA CUOTA"/>
  </r>
  <r>
    <x v="43"/>
    <s v="09"/>
    <x v="10"/>
    <n v="15"/>
    <n v="50"/>
    <x v="9"/>
    <n v="3"/>
    <n v="4"/>
    <d v="2023-07-15T00:00:00"/>
    <n v="3"/>
    <s v="PAGO DE LA TERCERA CUOTA"/>
  </r>
  <r>
    <x v="44"/>
    <s v="04"/>
    <x v="2"/>
    <n v="13"/>
    <n v="100"/>
    <x v="9"/>
    <n v="4"/>
    <n v="8"/>
    <d v="2023-07-15T00:00:00"/>
    <n v="4"/>
    <s v="PAGO DE LA CUARTA CUOTA"/>
  </r>
  <r>
    <x v="45"/>
    <s v="04"/>
    <x v="2"/>
    <n v="23"/>
    <n v="200"/>
    <x v="10"/>
    <n v="1"/>
    <n v="4"/>
    <d v="2023-08-15T00:00:00"/>
    <n v="1"/>
    <s v="PAGO DE LA CUOTA"/>
  </r>
  <r>
    <x v="46"/>
    <s v="03"/>
    <x v="0"/>
    <n v="21"/>
    <n v="0"/>
    <x v="10"/>
    <n v="2"/>
    <n v="8"/>
    <d v="2023-08-15T00:00:00"/>
    <n v="2"/>
    <s v="PAGO DEL SEGUNDO INTERES"/>
  </r>
  <r>
    <x v="47"/>
    <s v="11"/>
    <x v="6"/>
    <n v="20"/>
    <n v="0"/>
    <x v="10"/>
    <m/>
    <n v="4"/>
    <d v="2023-08-15T00:00:00"/>
    <n v="2"/>
    <s v="PAGO DEL SEGUNDO INTERES"/>
  </r>
  <r>
    <x v="48"/>
    <s v="10"/>
    <x v="4"/>
    <n v="19"/>
    <n v="0"/>
    <x v="10"/>
    <m/>
    <n v="8"/>
    <d v="2023-08-15T00:00:00"/>
    <n v="2"/>
    <s v="PAGO DEL SEGUNDO INTERES"/>
  </r>
  <r>
    <x v="49"/>
    <s v="06"/>
    <x v="1"/>
    <n v="18"/>
    <n v="25"/>
    <x v="10"/>
    <n v="3"/>
    <n v="2"/>
    <d v="2023-08-15T00:00:00"/>
    <n v="3"/>
    <s v="PAGO DE LA TERCERA CUOTA"/>
  </r>
  <r>
    <x v="50"/>
    <s v="01"/>
    <x v="11"/>
    <n v="16"/>
    <n v="25"/>
    <x v="10"/>
    <n v="4"/>
    <n v="2"/>
    <d v="2023-08-15T00:00:00"/>
    <n v="4"/>
    <s v="PAGO DE LA CUARTA CUOTA"/>
  </r>
  <r>
    <x v="51"/>
    <s v="09"/>
    <x v="10"/>
    <n v="15"/>
    <n v="50"/>
    <x v="10"/>
    <n v="4"/>
    <n v="4"/>
    <d v="2023-08-15T00:00:00"/>
    <n v="4"/>
    <s v="PAGO DE LA CUARTA CUOTA"/>
  </r>
  <r>
    <x v="52"/>
    <n v="15"/>
    <x v="13"/>
    <m/>
    <n v="0"/>
    <x v="10"/>
    <m/>
    <n v="250"/>
    <d v="2023-08-15T00:00:00"/>
    <m/>
    <s v="VIAJE DE LOS SOCIOS AL DIQUE DE MERA"/>
  </r>
  <r>
    <x v="53"/>
    <s v="01"/>
    <x v="11"/>
    <n v="22"/>
    <n v="100"/>
    <x v="11"/>
    <n v="1"/>
    <n v="2"/>
    <d v="2023-09-15T00:00:00"/>
    <n v="1"/>
    <s v="PAGO DE LA UNICA CUOTA "/>
  </r>
  <r>
    <x v="54"/>
    <s v="05"/>
    <x v="12"/>
    <n v="24"/>
    <n v="200"/>
    <x v="11"/>
    <n v="1"/>
    <n v="4"/>
    <d v="2023-09-15T00:00:00"/>
    <n v="1"/>
    <s v="PAGO DE LA UNICA CUOTA DEL PRESTAMO"/>
  </r>
  <r>
    <x v="55"/>
    <s v="10"/>
    <x v="4"/>
    <n v="19"/>
    <n v="0"/>
    <x v="11"/>
    <m/>
    <n v="8"/>
    <d v="2023-09-15T00:00:00"/>
    <n v="3"/>
    <s v="PAGO DEL INTERES DE LA TERCERA CUOTA"/>
  </r>
  <r>
    <x v="56"/>
    <s v="06"/>
    <x v="1"/>
    <n v="18"/>
    <n v="25"/>
    <x v="11"/>
    <n v="4"/>
    <n v="2"/>
    <d v="2023-09-15T00:00:00"/>
    <n v="4"/>
    <s v="PAGO DE LA CUARTA CUOTA"/>
  </r>
  <r>
    <x v="57"/>
    <n v="11"/>
    <x v="6"/>
    <n v="20"/>
    <n v="0"/>
    <x v="11"/>
    <m/>
    <n v="4"/>
    <d v="2023-09-15T00:00:00"/>
    <n v="3"/>
    <s v="PAGO DE INTERESES DE LA TERCERA CUOTA"/>
  </r>
  <r>
    <x v="58"/>
    <n v="3"/>
    <x v="0"/>
    <n v="21"/>
    <n v="0"/>
    <x v="11"/>
    <n v="3"/>
    <n v="8"/>
    <d v="2023-09-15T00:00:00"/>
    <n v="3"/>
    <s v="PAGO DEL TERCER INTERES"/>
  </r>
  <r>
    <x v="59"/>
    <n v="2"/>
    <x v="14"/>
    <m/>
    <n v="0"/>
    <x v="12"/>
    <m/>
    <n v="0"/>
    <m/>
    <m/>
    <s v="APERTURA"/>
  </r>
  <r>
    <x v="60"/>
    <n v="3"/>
    <x v="0"/>
    <n v="21"/>
    <n v="400"/>
    <x v="13"/>
    <n v="4"/>
    <n v="8"/>
    <d v="2023-10-15T00:00:00"/>
    <n v="4"/>
    <s v="PAGO DEL CUARTO INTERES Y EL MONTO"/>
  </r>
  <r>
    <x v="61"/>
    <n v="13"/>
    <x v="9"/>
    <n v="25"/>
    <n v="0"/>
    <x v="13"/>
    <n v="1"/>
    <n v="10"/>
    <d v="2023-10-15T00:00:00"/>
    <n v="1"/>
    <s v="PAGO DEL PRIMER INTERES "/>
  </r>
  <r>
    <x v="62"/>
    <n v="4"/>
    <x v="2"/>
    <n v="26"/>
    <n v="100"/>
    <x v="13"/>
    <n v="1"/>
    <n v="2"/>
    <d v="2023-10-15T00:00:00"/>
    <n v="1"/>
    <s v="PAGO DE LA CUOTA E INTERES "/>
  </r>
  <r>
    <x v="63"/>
    <n v="10"/>
    <x v="4"/>
    <n v="19"/>
    <n v="400"/>
    <x v="13"/>
    <n v="4"/>
    <n v="8"/>
    <d v="2023-10-15T00:00:00"/>
    <n v="4"/>
    <s v="PAGO DE TODAS LAS CUOTAS Y EL 4 INTERES"/>
  </r>
  <r>
    <x v="64"/>
    <n v="2"/>
    <x v="14"/>
    <n v="27"/>
    <n v="25"/>
    <x v="13"/>
    <n v="1"/>
    <n v="2"/>
    <d v="2023-10-15T00:00:00"/>
    <n v="1"/>
    <s v="PAGO DE LA PRIMEA CUOTA Y LETRA"/>
  </r>
  <r>
    <x v="65"/>
    <n v="11"/>
    <x v="6"/>
    <n v="20"/>
    <n v="200"/>
    <x v="13"/>
    <n v="4"/>
    <n v="4"/>
    <d v="2023-10-15T00:00:00"/>
    <n v="4"/>
    <s v="PAGO DE TODAS LAS CUOTAS Y EL ULTIMO INTERES"/>
  </r>
  <r>
    <x v="66"/>
    <n v="2"/>
    <x v="14"/>
    <n v="27"/>
    <n v="25"/>
    <x v="14"/>
    <n v="2"/>
    <n v="2"/>
    <d v="2023-11-15T00:00:00"/>
    <n v="2"/>
    <s v="PAGO DEL SEGUNDO PAGO"/>
  </r>
  <r>
    <x v="67"/>
    <n v="6"/>
    <x v="1"/>
    <n v="28"/>
    <n v="0"/>
    <x v="14"/>
    <n v="1"/>
    <n v="12"/>
    <d v="2023-11-15T00:00:00"/>
    <n v="1"/>
    <s v="PAGO DEL PAGO DEL INTERES 1"/>
  </r>
  <r>
    <x v="68"/>
    <n v="9"/>
    <x v="10"/>
    <n v="30"/>
    <n v="57.14"/>
    <x v="14"/>
    <n v="1"/>
    <n v="8"/>
    <d v="2023-11-15T00:00:00"/>
    <n v="1"/>
    <s v="PAGO DE LA PRIMERA CUOTA "/>
  </r>
  <r>
    <x v="69"/>
    <n v="12"/>
    <x v="7"/>
    <n v="29"/>
    <n v="50"/>
    <x v="14"/>
    <n v="1"/>
    <n v="4"/>
    <d v="2023-11-15T00:00:00"/>
    <n v="1"/>
    <s v="PAGO DE LA PRIMERA LETRA "/>
  </r>
  <r>
    <x v="70"/>
    <n v="13"/>
    <x v="9"/>
    <n v="25"/>
    <n v="0"/>
    <x v="14"/>
    <n v="1"/>
    <n v="10"/>
    <d v="2023-11-15T00:00:00"/>
    <n v="1"/>
    <s v="PAGO DEL SEGUNDO INTERES"/>
  </r>
  <r>
    <x v="71"/>
    <n v="14"/>
    <x v="3"/>
    <m/>
    <n v="0"/>
    <x v="14"/>
    <m/>
    <n v="1.5"/>
    <d v="2023-11-15T00:00:00"/>
    <n v="1"/>
    <s v="PAGO DE MULTAS POR ATRASO DE ANA TOAQUIZA, DANNY ALMACHI Y DIEGO TOAQUIZA"/>
  </r>
  <r>
    <x v="72"/>
    <n v="3"/>
    <x v="0"/>
    <n v="31"/>
    <n v="0"/>
    <x v="15"/>
    <n v="2"/>
    <n v="4"/>
    <d v="2023-12-15T00:00:00"/>
    <n v="2"/>
    <s v="PAGO DE PRIMER INTERES"/>
  </r>
  <r>
    <x v="73"/>
    <n v="3"/>
    <x v="0"/>
    <n v="31"/>
    <n v="0"/>
    <x v="16"/>
    <n v="3"/>
    <n v="4"/>
    <d v="2024-01-15T00:00:00"/>
    <n v="3"/>
    <s v="PAGO DEL SEGUNDO INTERES"/>
  </r>
  <r>
    <x v="74"/>
    <n v="13"/>
    <x v="9"/>
    <n v="25"/>
    <n v="0"/>
    <x v="15"/>
    <n v="2"/>
    <n v="10"/>
    <d v="2023-12-15T00:00:00"/>
    <n v="2"/>
    <s v="PAGO EL TERCERO INTERES"/>
  </r>
  <r>
    <x v="75"/>
    <n v="13"/>
    <x v="9"/>
    <n v="25"/>
    <n v="0"/>
    <x v="16"/>
    <n v="3"/>
    <n v="10"/>
    <d v="2024-01-15T00:00:00"/>
    <n v="3"/>
    <s v="PAGO DEL CUARTO INTERES"/>
  </r>
  <r>
    <x v="76"/>
    <n v="9"/>
    <x v="10"/>
    <n v="30"/>
    <n v="57.14"/>
    <x v="15"/>
    <n v="2"/>
    <n v="8"/>
    <d v="2023-12-15T00:00:00"/>
    <n v="2"/>
    <s v="PAGO DE LA SEGUNDA CUOTA"/>
  </r>
  <r>
    <x v="77"/>
    <n v="9"/>
    <x v="10"/>
    <n v="30"/>
    <n v="57.14"/>
    <x v="16"/>
    <n v="3"/>
    <n v="8"/>
    <d v="2024-01-15T00:00:00"/>
    <n v="3"/>
    <s v="PAGO DE LA TERCERA CUOTA"/>
  </r>
  <r>
    <x v="78"/>
    <n v="12"/>
    <x v="7"/>
    <n v="29"/>
    <n v="50"/>
    <x v="15"/>
    <n v="2"/>
    <n v="4"/>
    <d v="2023-12-15T00:00:00"/>
    <n v="2"/>
    <s v="PAGO DE LA SEGUNDA CUOTA"/>
  </r>
  <r>
    <x v="79"/>
    <n v="12"/>
    <x v="7"/>
    <n v="29"/>
    <n v="100"/>
    <x v="16"/>
    <n v="4"/>
    <n v="8"/>
    <d v="2024-01-15T00:00:00"/>
    <n v="4"/>
    <s v="PAGO DE LA TERCERA Y CUARTA CUOTA"/>
  </r>
  <r>
    <x v="80"/>
    <n v="6"/>
    <x v="1"/>
    <n v="28"/>
    <n v="0"/>
    <x v="15"/>
    <n v="2"/>
    <n v="12"/>
    <d v="2023-12-15T00:00:00"/>
    <n v="2"/>
    <s v="PAGO DEL SEGUNDO INTERES"/>
  </r>
  <r>
    <x v="81"/>
    <n v="6"/>
    <x v="1"/>
    <n v="28"/>
    <n v="0"/>
    <x v="16"/>
    <n v="3"/>
    <n v="12"/>
    <d v="2024-01-15T00:00:00"/>
    <n v="3"/>
    <s v="PAGO DE LA TERCERA CUOTA"/>
  </r>
  <r>
    <x v="82"/>
    <n v="10"/>
    <x v="4"/>
    <n v="32"/>
    <n v="0"/>
    <x v="15"/>
    <n v="1"/>
    <n v="5"/>
    <d v="2023-12-15T00:00:00"/>
    <n v="2"/>
    <s v="PAGO DEL PRIMER INTERES"/>
  </r>
  <r>
    <x v="83"/>
    <n v="10"/>
    <x v="4"/>
    <n v="32"/>
    <n v="250"/>
    <x v="16"/>
    <n v="2"/>
    <n v="5"/>
    <d v="2024-01-15T00:00:00"/>
    <n v="3"/>
    <s v="PAGO DEL SEGUNGO INTERES Y EL MONTO TOTAL POR HACER REEPRESTAMO"/>
  </r>
  <r>
    <x v="84"/>
    <n v="2"/>
    <x v="14"/>
    <n v="27"/>
    <n v="25"/>
    <x v="15"/>
    <n v="2"/>
    <n v="2"/>
    <d v="2023-12-15T00:00:00"/>
    <n v="2"/>
    <s v="PAGO DE LA SEGUNDA CUOTA"/>
  </r>
  <r>
    <x v="85"/>
    <n v="2"/>
    <x v="14"/>
    <n v="27"/>
    <n v="25"/>
    <x v="16"/>
    <n v="3"/>
    <n v="2"/>
    <d v="2024-01-15T00:00:00"/>
    <n v="3"/>
    <s v="PAGO DE LA TERCERA CUOTA"/>
  </r>
  <r>
    <x v="86"/>
    <n v="10"/>
    <x v="4"/>
    <n v="32"/>
    <n v="0"/>
    <x v="16"/>
    <m/>
    <n v="10"/>
    <d v="2024-01-15T00:00:00"/>
    <m/>
    <s v="ANULACION DE PAGO DE INTERESES POR REPRESTAMO"/>
  </r>
  <r>
    <x v="87"/>
    <n v="3"/>
    <x v="0"/>
    <n v="31"/>
    <n v="0"/>
    <x v="17"/>
    <n v="4"/>
    <n v="4"/>
    <d v="2024-02-15T00:00:00"/>
    <n v="4"/>
    <s v="PAGO DEL TERCER INTERES"/>
  </r>
  <r>
    <x v="88"/>
    <n v="13"/>
    <x v="9"/>
    <n v="25"/>
    <n v="0"/>
    <x v="17"/>
    <n v="5"/>
    <n v="10"/>
    <d v="2024-02-15T00:00:00"/>
    <n v="5"/>
    <s v="PAGO DEL QUINTO INTERES"/>
  </r>
  <r>
    <x v="89"/>
    <n v="9"/>
    <x v="10"/>
    <n v="30"/>
    <n v="57.14"/>
    <x v="17"/>
    <n v="4"/>
    <n v="8"/>
    <d v="2024-02-15T00:00:00"/>
    <n v="4"/>
    <s v="PAGO DE LA CUARTA CUOTA"/>
  </r>
  <r>
    <x v="90"/>
    <n v="11"/>
    <x v="6"/>
    <n v="34"/>
    <n v="0"/>
    <x v="17"/>
    <n v="1"/>
    <n v="2"/>
    <d v="2024-02-15T00:00:00"/>
    <n v="1"/>
    <s v="PAGO DEL PRIMER INTERES"/>
  </r>
  <r>
    <x v="91"/>
    <n v="6"/>
    <x v="1"/>
    <n v="28"/>
    <n v="600"/>
    <x v="17"/>
    <n v="4"/>
    <n v="12"/>
    <d v="2024-02-15T00:00:00"/>
    <n v="4"/>
    <s v="PAGO DEL ULTIMO INTERES RENUEVA EL PRESTAMO"/>
  </r>
  <r>
    <x v="92"/>
    <n v="10"/>
    <x v="4"/>
    <n v="33"/>
    <n v="0"/>
    <x v="17"/>
    <n v="1"/>
    <n v="10"/>
    <d v="2024-02-15T00:00:00"/>
    <n v="1"/>
    <s v="PAGO DELPRIMER INTERES"/>
  </r>
  <r>
    <x v="93"/>
    <n v="4"/>
    <x v="2"/>
    <m/>
    <n v="0"/>
    <x v="17"/>
    <m/>
    <n v="4"/>
    <d v="2024-02-15T00:00:00"/>
    <n v="1"/>
    <s v="PAGO DE INTERES POR NOMINA"/>
  </r>
  <r>
    <x v="94"/>
    <n v="5"/>
    <x v="12"/>
    <m/>
    <n v="0"/>
    <x v="17"/>
    <m/>
    <n v="4"/>
    <d v="2024-02-15T00:00:00"/>
    <n v="1"/>
    <s v="PAGO DE INTERES POR NOMINA"/>
  </r>
  <r>
    <x v="95"/>
    <n v="9"/>
    <x v="10"/>
    <n v="30"/>
    <n v="57.14"/>
    <x v="18"/>
    <n v="5"/>
    <n v="8"/>
    <d v="2024-03-15T00:00:00"/>
    <n v="5"/>
    <s v="PAGO DE LA QUINTA CUOTA"/>
  </r>
  <r>
    <x v="96"/>
    <n v="3"/>
    <x v="0"/>
    <n v="31"/>
    <n v="200"/>
    <x v="18"/>
    <n v="4"/>
    <n v="4"/>
    <d v="2024-03-15T00:00:00"/>
    <n v="4"/>
    <s v="PAGO DEL CUARTO INTERES Y EL MONTO"/>
  </r>
  <r>
    <x v="97"/>
    <n v="13"/>
    <x v="9"/>
    <n v="25"/>
    <n v="500"/>
    <x v="18"/>
    <n v="6"/>
    <n v="10"/>
    <d v="2024-03-15T00:00:00"/>
    <n v="6"/>
    <s v="PAGO DEL SEXTO INTERES CANCELA PRESTAMO TOMA A CARGO ANA"/>
  </r>
  <r>
    <x v="98"/>
    <n v="11"/>
    <x v="6"/>
    <n v="34"/>
    <n v="100"/>
    <x v="18"/>
    <n v="3"/>
    <n v="2"/>
    <d v="2024-03-15T00:00:00"/>
    <n v="3"/>
    <s v="PAGO DEL TERCER INTERES HACE REPRESTAMO"/>
  </r>
  <r>
    <x v="99"/>
    <n v="6"/>
    <x v="1"/>
    <n v="35"/>
    <n v="120"/>
    <x v="18"/>
    <n v="1"/>
    <n v="12"/>
    <d v="2024-03-15T00:00:00"/>
    <n v="1"/>
    <s v="PAGO DE LA PRIMERA CUOTA E INTERES "/>
  </r>
  <r>
    <x v="100"/>
    <n v="10"/>
    <x v="4"/>
    <n v="33"/>
    <n v="500"/>
    <x v="18"/>
    <n v="2"/>
    <n v="10"/>
    <d v="2024-03-15T00:00:00"/>
    <n v="2"/>
    <s v="PAGO DEL SEGUNDO INTERES Y MONTO CANCELA PRESTAMO TOMA A CARGO LUPE"/>
  </r>
  <r>
    <x v="101"/>
    <n v="1"/>
    <x v="11"/>
    <n v="36"/>
    <n v="25"/>
    <x v="18"/>
    <n v="1"/>
    <n v="2"/>
    <d v="2024-03-15T00:00:00"/>
    <n v="1"/>
    <s v="PAGO DE LA PRIMERA CUOTA"/>
  </r>
  <r>
    <x v="102"/>
    <n v="11"/>
    <x v="6"/>
    <n v="34"/>
    <n v="0"/>
    <x v="18"/>
    <n v="3"/>
    <n v="6"/>
    <d v="2024-03-15T00:00:00"/>
    <n v="3"/>
    <s v="ANULACION DE PAGO DE INTERESES POR REPRESTAMO"/>
  </r>
  <r>
    <x v="103"/>
    <n v="1"/>
    <x v="11"/>
    <n v="36"/>
    <n v="25"/>
    <x v="19"/>
    <n v="2"/>
    <n v="2"/>
    <d v="2024-04-15T00:00:00"/>
    <n v="2"/>
    <s v="PAGO DE LA SEGUNDA CUOTA"/>
  </r>
  <r>
    <x v="104"/>
    <n v="3"/>
    <x v="0"/>
    <n v="37"/>
    <n v="100"/>
    <x v="19"/>
    <n v="1"/>
    <n v="20"/>
    <d v="2024-04-15T00:00:00"/>
    <n v="1"/>
    <s v="PAGO DE LA PRIMERA CUOTA"/>
  </r>
  <r>
    <x v="105"/>
    <n v="6"/>
    <x v="1"/>
    <n v="35"/>
    <n v="120"/>
    <x v="19"/>
    <n v="1"/>
    <n v="12"/>
    <d v="2024-04-15T00:00:00"/>
    <n v="1"/>
    <s v="PAGO DE LA PRIMERA CUOTA"/>
  </r>
  <r>
    <x v="106"/>
    <n v="7"/>
    <x v="8"/>
    <n v="40"/>
    <n v="20"/>
    <x v="19"/>
    <n v="1"/>
    <n v="2"/>
    <d v="2024-04-15T00:00:00"/>
    <n v="1"/>
    <s v="PAGO DE LA PRIMERA CUOTA"/>
  </r>
  <r>
    <x v="107"/>
    <n v="9"/>
    <x v="10"/>
    <n v="30"/>
    <n v="57.14"/>
    <x v="19"/>
    <n v="6"/>
    <n v="8"/>
    <d v="2024-04-15T00:00:00"/>
    <n v="6"/>
    <s v="PAGO DE LA SEXTA CUOTA"/>
  </r>
  <r>
    <x v="108"/>
    <n v="10"/>
    <x v="4"/>
    <n v="39"/>
    <n v="100"/>
    <x v="19"/>
    <n v="1"/>
    <n v="8"/>
    <d v="2024-04-15T00:00:00"/>
    <n v="1"/>
    <s v="PAGO DE LA PRIMERA CUOTA"/>
  </r>
  <r>
    <x v="109"/>
    <n v="11"/>
    <x v="6"/>
    <n v="38"/>
    <n v="50"/>
    <x v="19"/>
    <n v="1"/>
    <n v="12"/>
    <d v="2024-04-15T00:00:00"/>
    <n v="1"/>
    <s v="PAGO DE LA PRIMERA CUOTA"/>
  </r>
  <r>
    <x v="110"/>
    <n v="3"/>
    <x v="0"/>
    <n v="37"/>
    <n v="100"/>
    <x v="20"/>
    <n v="2"/>
    <n v="20"/>
    <d v="2024-05-15T00:00:00"/>
    <n v="2"/>
    <s v="PAGO DE LA SEGUNDA CUOTA"/>
  </r>
  <r>
    <x v="111"/>
    <n v="1"/>
    <x v="11"/>
    <n v="36"/>
    <n v="25"/>
    <x v="20"/>
    <n v="3"/>
    <n v="2"/>
    <d v="2024-05-15T00:00:00"/>
    <n v="3"/>
    <s v="PAGO DE LA TERCERA CUOTA"/>
  </r>
  <r>
    <x v="112"/>
    <n v="9"/>
    <x v="10"/>
    <n v="30"/>
    <n v="57.14"/>
    <x v="20"/>
    <n v="7"/>
    <n v="8"/>
    <d v="2024-05-15T00:00:00"/>
    <n v="7"/>
    <s v="PAGO DE LA SEPTIMA CUOTA"/>
  </r>
  <r>
    <x v="113"/>
    <n v="11"/>
    <x v="6"/>
    <n v="38"/>
    <n v="50"/>
    <x v="20"/>
    <n v="2"/>
    <n v="12"/>
    <d v="2024-05-15T00:00:00"/>
    <n v="2"/>
    <s v="PAGO DE LA SEGUNDA CUOTA"/>
  </r>
  <r>
    <x v="114"/>
    <n v="7"/>
    <x v="8"/>
    <n v="40"/>
    <n v="20"/>
    <x v="20"/>
    <n v="2"/>
    <n v="2"/>
    <d v="2024-05-15T00:00:00"/>
    <n v="2"/>
    <s v="PAGO DE LA SEGUNDA CUOTA"/>
  </r>
  <r>
    <x v="115"/>
    <n v="6"/>
    <x v="1"/>
    <n v="35"/>
    <n v="120"/>
    <x v="20"/>
    <n v="3"/>
    <n v="12"/>
    <d v="2024-05-15T00:00:00"/>
    <n v="3"/>
    <s v="PAGO DE LA TERCERA CUOTA"/>
  </r>
  <r>
    <x v="116"/>
    <n v="10"/>
    <x v="4"/>
    <n v="39"/>
    <n v="100"/>
    <x v="20"/>
    <n v="2"/>
    <n v="8"/>
    <d v="2024-05-15T00:00:00"/>
    <n v="2"/>
    <s v="PAGO DE LA SEGUNDA CUOTA"/>
  </r>
  <r>
    <x v="117"/>
    <n v="8"/>
    <x v="5"/>
    <m/>
    <n v="0"/>
    <x v="20"/>
    <m/>
    <n v="4"/>
    <d v="2024-05-15T00:00:00"/>
    <n v="0"/>
    <s v="PAGO DE INTERES POR NOMINA"/>
  </r>
  <r>
    <x v="118"/>
    <n v="3"/>
    <x v="0"/>
    <n v="37"/>
    <n v="100"/>
    <x v="21"/>
    <n v="3"/>
    <n v="20"/>
    <d v="2024-06-15T00:00:00"/>
    <n v="3"/>
    <s v="PAGO DE LA TERCERA CUOTA"/>
  </r>
  <r>
    <x v="119"/>
    <n v="1"/>
    <x v="11"/>
    <n v="36"/>
    <n v="25"/>
    <x v="21"/>
    <n v="4"/>
    <n v="2"/>
    <d v="2024-06-15T00:00:00"/>
    <n v="4"/>
    <s v="PAGO DE LA CUARTA CUOTA"/>
  </r>
  <r>
    <x v="120"/>
    <n v="9"/>
    <x v="10"/>
    <n v="42"/>
    <n v="85.7"/>
    <x v="21"/>
    <n v="1"/>
    <n v="12"/>
    <d v="2024-06-15T00:00:00"/>
    <n v="1"/>
    <s v="PAGO DE LA PRIMERA CUOTA"/>
  </r>
  <r>
    <x v="121"/>
    <n v="11"/>
    <x v="6"/>
    <n v="38"/>
    <n v="50"/>
    <x v="21"/>
    <n v="3"/>
    <n v="12"/>
    <d v="2024-06-15T00:00:00"/>
    <n v="3"/>
    <s v="PAGO DE LA TERCERA CUOTA"/>
  </r>
  <r>
    <x v="122"/>
    <n v="7"/>
    <x v="8"/>
    <n v="40"/>
    <n v="20"/>
    <x v="21"/>
    <n v="3"/>
    <n v="2"/>
    <d v="2024-06-15T00:00:00"/>
    <n v="3"/>
    <s v="PAGO DE LA TERCERA CUOTA"/>
  </r>
  <r>
    <x v="123"/>
    <n v="4"/>
    <x v="2"/>
    <n v="43"/>
    <n v="100"/>
    <x v="21"/>
    <n v="1"/>
    <n v="8"/>
    <d v="2024-06-15T00:00:00"/>
    <n v="1"/>
    <s v="PAGO DE LA PRIMERA CUOTA"/>
  </r>
  <r>
    <x v="124"/>
    <n v="6"/>
    <x v="1"/>
    <n v="35"/>
    <n v="120"/>
    <x v="21"/>
    <n v="4"/>
    <n v="12"/>
    <d v="2024-06-15T00:00:00"/>
    <n v="4"/>
    <s v="PAGO DE LA CUARTA CUOTA"/>
  </r>
  <r>
    <x v="125"/>
    <n v="10"/>
    <x v="4"/>
    <n v="39"/>
    <n v="200"/>
    <x v="21"/>
    <n v="3"/>
    <n v="8"/>
    <d v="2024-06-15T00:00:00"/>
    <n v="3"/>
    <s v="PAGO TERCERA CUOTA (ANUL ULTIMA CUOTA)"/>
  </r>
  <r>
    <x v="126"/>
    <n v="10"/>
    <x v="4"/>
    <n v="39"/>
    <n v="0"/>
    <x v="21"/>
    <s v="CUOTA04"/>
    <n v="8"/>
    <d v="2024-06-15T00:00:00"/>
    <n v="4"/>
    <s v="ANULACION DE PAGO DE INTERESES Y MONTO POR REPRESTAMO"/>
  </r>
  <r>
    <x v="127"/>
    <n v="3"/>
    <x v="0"/>
    <n v="37"/>
    <n v="100"/>
    <x v="22"/>
    <n v="4"/>
    <n v="20"/>
    <d v="2024-07-15T00:00:00"/>
    <n v="4"/>
    <s v="PAGO DE LA CUARTA CUOTA"/>
  </r>
  <r>
    <x v="128"/>
    <n v="9"/>
    <x v="10"/>
    <n v="42"/>
    <n v="85.7"/>
    <x v="22"/>
    <n v="2"/>
    <n v="12"/>
    <d v="2024-07-15T00:00:00"/>
    <n v="2"/>
    <s v="PAGO DE LA SEGUNDA CUOTA"/>
  </r>
  <r>
    <x v="129"/>
    <n v="11"/>
    <x v="6"/>
    <n v="38"/>
    <n v="50"/>
    <x v="22"/>
    <n v="4"/>
    <n v="12"/>
    <d v="2024-07-15T00:00:00"/>
    <n v="4"/>
    <s v="PAGO DE LA CUARTA CUOTA"/>
  </r>
  <r>
    <x v="130"/>
    <n v="12"/>
    <x v="7"/>
    <n v="41"/>
    <n v="150"/>
    <x v="22"/>
    <n v="3"/>
    <n v="9"/>
    <d v="2024-07-15T00:00:00"/>
    <n v="3"/>
    <s v="PAGO DEL PRESTAMO"/>
  </r>
  <r>
    <x v="131"/>
    <n v="7"/>
    <x v="8"/>
    <n v="40"/>
    <n v="20"/>
    <x v="22"/>
    <n v="4"/>
    <n v="2"/>
    <d v="2024-07-15T00:00:00"/>
    <n v="4"/>
    <s v="PAGO DE LA CUARTA CUOTA"/>
  </r>
  <r>
    <x v="132"/>
    <n v="4"/>
    <x v="2"/>
    <n v="43"/>
    <n v="100"/>
    <x v="22"/>
    <n v="2"/>
    <n v="8"/>
    <d v="2024-07-15T00:00:00"/>
    <n v="2"/>
    <s v="PAGO DE LA SEGUNDA CUOTA"/>
  </r>
  <r>
    <x v="133"/>
    <n v="5"/>
    <x v="12"/>
    <n v="45"/>
    <n v="100"/>
    <x v="22"/>
    <n v="1"/>
    <n v="6"/>
    <d v="2024-07-15T00:00:00"/>
    <n v="1"/>
    <s v="PAGO DE LA PRIMERA CUOTA"/>
  </r>
  <r>
    <x v="134"/>
    <n v="6"/>
    <x v="1"/>
    <n v="35"/>
    <n v="120"/>
    <x v="22"/>
    <n v="5"/>
    <n v="12"/>
    <d v="2024-07-15T00:00:00"/>
    <n v="5"/>
    <s v="PAGO DE LA QUITA CUOTA"/>
  </r>
  <r>
    <x v="135"/>
    <n v="10"/>
    <x v="4"/>
    <n v="44"/>
    <n v="140"/>
    <x v="22"/>
    <n v="1"/>
    <n v="14"/>
    <d v="2024-07-15T00:00:00"/>
    <n v="1"/>
    <s v="PAGO DE LA PRIMERA CUOTA"/>
  </r>
  <r>
    <x v="136"/>
    <n v="3"/>
    <x v="0"/>
    <n v="37"/>
    <n v="100"/>
    <x v="23"/>
    <n v="5"/>
    <n v="20"/>
    <d v="2024-08-15T00:00:00"/>
    <n v="5"/>
    <s v="PAGO DE LA QUINTA CUOTA"/>
  </r>
  <r>
    <x v="137"/>
    <n v="13"/>
    <x v="9"/>
    <n v="46"/>
    <n v="100"/>
    <x v="23"/>
    <n v="1"/>
    <n v="10"/>
    <d v="2024-08-15T00:00:00"/>
    <n v="1"/>
    <s v="PAGO DE LA PRIMERA CUOTA"/>
  </r>
  <r>
    <x v="138"/>
    <n v="9"/>
    <x v="10"/>
    <n v="42"/>
    <n v="85.7"/>
    <x v="23"/>
    <n v="3"/>
    <n v="12"/>
    <d v="2024-08-15T00:00:00"/>
    <n v="3"/>
    <s v="PAGO DE LA TERCERA CUOTA"/>
  </r>
  <r>
    <x v="139"/>
    <n v="11"/>
    <x v="6"/>
    <n v="38"/>
    <n v="50"/>
    <x v="23"/>
    <n v="5"/>
    <n v="12"/>
    <d v="2024-08-15T00:00:00"/>
    <n v="5"/>
    <s v="PAGO DE LA QUINTA CUOTA"/>
  </r>
  <r>
    <x v="140"/>
    <n v="12"/>
    <x v="7"/>
    <n v="47"/>
    <n v="41.67"/>
    <x v="23"/>
    <n v="1"/>
    <n v="10"/>
    <d v="2024-08-15T00:00:00"/>
    <n v="1"/>
    <s v="PAGO DE LA PRIMERA CUOTA"/>
  </r>
  <r>
    <x v="141"/>
    <n v="7"/>
    <x v="8"/>
    <n v="40"/>
    <n v="20"/>
    <x v="23"/>
    <n v="5"/>
    <n v="2"/>
    <d v="2024-08-15T00:00:00"/>
    <n v="5"/>
    <s v="PAGO DE LA QUINTA CUOTA"/>
  </r>
  <r>
    <x v="142"/>
    <n v="4"/>
    <x v="2"/>
    <n v="43"/>
    <n v="100"/>
    <x v="23"/>
    <n v="3"/>
    <n v="8"/>
    <d v="2024-08-15T00:00:00"/>
    <n v="3"/>
    <s v="PAGO DE LA TERCERA CUOTA"/>
  </r>
  <r>
    <x v="143"/>
    <n v="10"/>
    <x v="4"/>
    <n v="44"/>
    <n v="140"/>
    <x v="23"/>
    <n v="2"/>
    <n v="14"/>
    <d v="2024-08-15T00:00:00"/>
    <n v="2"/>
    <s v="PAGO DE LA SEGUNDA CUOTA"/>
  </r>
  <r>
    <x v="144"/>
    <n v="5"/>
    <x v="12"/>
    <n v="45"/>
    <n v="100"/>
    <x v="23"/>
    <n v="2"/>
    <n v="6"/>
    <d v="2024-08-15T00:00:00"/>
    <n v="2"/>
    <s v="PAGO DE LA SEGUNDA CUOTA"/>
  </r>
  <r>
    <x v="145"/>
    <n v="1"/>
    <x v="11"/>
    <n v="49"/>
    <n v="50"/>
    <x v="24"/>
    <n v="1"/>
    <n v="6"/>
    <d v="2024-09-15T00:00:00"/>
    <n v="1"/>
    <s v="PAGO DE LA PRIMERA LETRA"/>
  </r>
  <r>
    <x v="146"/>
    <n v="3"/>
    <x v="0"/>
    <n v="37"/>
    <n v="100"/>
    <x v="24"/>
    <n v="6"/>
    <n v="20"/>
    <d v="2024-09-15T00:00:00"/>
    <n v="6"/>
    <s v="PAGO DE LA SEXTA LETRA"/>
  </r>
  <r>
    <x v="147"/>
    <n v="4"/>
    <x v="2"/>
    <n v="43"/>
    <n v="100"/>
    <x v="24"/>
    <n v="4"/>
    <n v="8"/>
    <d v="2024-09-15T00:00:00"/>
    <n v="4"/>
    <s v="PAGO DE LA CUARTA LETRA"/>
  </r>
  <r>
    <x v="148"/>
    <n v="5"/>
    <x v="12"/>
    <n v="45"/>
    <n v="100"/>
    <x v="24"/>
    <n v="3"/>
    <n v="6"/>
    <d v="2024-09-15T00:00:00"/>
    <n v="3"/>
    <s v="PAGO DE LA TERCERA LETRA"/>
  </r>
  <r>
    <x v="149"/>
    <n v="6"/>
    <x v="1"/>
    <n v="48"/>
    <n v="100"/>
    <x v="24"/>
    <n v="1"/>
    <n v="12"/>
    <d v="2024-09-15T00:00:00"/>
    <n v="1"/>
    <s v="PAGO DE LA PRIMERA LETRA"/>
  </r>
  <r>
    <x v="150"/>
    <n v="9"/>
    <x v="10"/>
    <n v="42"/>
    <n v="85.7"/>
    <x v="24"/>
    <n v="4"/>
    <n v="12"/>
    <d v="2024-09-15T00:00:00"/>
    <n v="4"/>
    <s v="PAGO DE LA CUARTA LETRA"/>
  </r>
  <r>
    <x v="151"/>
    <n v="10"/>
    <x v="4"/>
    <n v="44"/>
    <n v="140"/>
    <x v="24"/>
    <n v="3"/>
    <n v="14"/>
    <d v="2024-09-15T00:00:00"/>
    <n v="3"/>
    <s v="PAGO DE LA TERCERA LETRA"/>
  </r>
  <r>
    <x v="152"/>
    <n v="11"/>
    <x v="6"/>
    <n v="38"/>
    <n v="50"/>
    <x v="24"/>
    <n v="6"/>
    <n v="12"/>
    <d v="2024-09-15T00:00:00"/>
    <n v="6"/>
    <s v="PAGO DE LA SEXTA LETRA"/>
  </r>
  <r>
    <x v="153"/>
    <n v="12"/>
    <x v="7"/>
    <n v="47"/>
    <n v="41.67"/>
    <x v="24"/>
    <n v="2"/>
    <n v="10"/>
    <d v="2024-09-15T00:00:00"/>
    <n v="2"/>
    <s v="PAGO DE LA SEGUNDA LETRA"/>
  </r>
  <r>
    <x v="154"/>
    <n v="13"/>
    <x v="9"/>
    <n v="46"/>
    <n v="100"/>
    <x v="24"/>
    <n v="2"/>
    <n v="10"/>
    <d v="2024-09-15T00:00:00"/>
    <n v="2"/>
    <s v="PAGO DE LA SEGUNDA LETRA"/>
  </r>
  <r>
    <x v="155"/>
    <n v="3"/>
    <x v="0"/>
    <n v="37"/>
    <n v="100"/>
    <x v="25"/>
    <n v="7"/>
    <n v="20"/>
    <d v="2024-10-15T00:00:00"/>
    <n v="7"/>
    <s v="PAGO DE LA SEPTIMA LETRA"/>
  </r>
  <r>
    <x v="156"/>
    <n v="1"/>
    <x v="11"/>
    <n v="49"/>
    <n v="50"/>
    <x v="25"/>
    <n v="2"/>
    <n v="6"/>
    <d v="2024-10-15T00:00:00"/>
    <n v="2"/>
    <s v="PAGO DE LA SEGUNDA LETRA"/>
  </r>
  <r>
    <x v="157"/>
    <n v="13"/>
    <x v="9"/>
    <n v="46"/>
    <n v="100"/>
    <x v="25"/>
    <n v="3"/>
    <n v="10"/>
    <d v="2024-10-15T00:00:00"/>
    <n v="3"/>
    <s v="PAGO DE LA TERCERA LETRA"/>
  </r>
  <r>
    <x v="158"/>
    <n v="9"/>
    <x v="10"/>
    <n v="42"/>
    <n v="85.7"/>
    <x v="25"/>
    <n v="5"/>
    <n v="12"/>
    <d v="2024-10-15T00:00:00"/>
    <n v="5"/>
    <s v="PAGO DE LA QUINTA LETRA"/>
  </r>
  <r>
    <x v="159"/>
    <n v="11"/>
    <x v="6"/>
    <n v="38"/>
    <n v="50"/>
    <x v="25"/>
    <n v="7"/>
    <n v="12"/>
    <d v="2024-10-15T00:00:00"/>
    <n v="7"/>
    <s v="PAGO DE LA SEPTIMA LETRA"/>
  </r>
  <r>
    <x v="160"/>
    <n v="12"/>
    <x v="7"/>
    <n v="47"/>
    <n v="41.67"/>
    <x v="25"/>
    <n v="3"/>
    <n v="10"/>
    <d v="2024-10-15T00:00:00"/>
    <n v="3"/>
    <s v="PAGO DE LA TERCERA LETRA"/>
  </r>
  <r>
    <x v="161"/>
    <n v="8"/>
    <x v="5"/>
    <n v="50"/>
    <n v="100"/>
    <x v="25"/>
    <n v="1"/>
    <n v="8"/>
    <d v="2024-10-15T00:00:00"/>
    <n v="1"/>
    <s v="PAGO DE LA PRIMERA LETRA"/>
  </r>
  <r>
    <x v="162"/>
    <n v="6"/>
    <x v="1"/>
    <n v="48"/>
    <n v="100"/>
    <x v="25"/>
    <n v="2"/>
    <n v="12"/>
    <d v="2024-10-15T00:00:00"/>
    <n v="2"/>
    <s v="PAGO DE LA SEGUNDA LETRA"/>
  </r>
  <r>
    <x v="163"/>
    <n v="10"/>
    <x v="4"/>
    <n v="44"/>
    <n v="280"/>
    <x v="25"/>
    <n v="4"/>
    <n v="14"/>
    <d v="2024-10-15T00:00:00"/>
    <n v="4"/>
    <s v="PAGO DE LA CUARTA LETRA Y QUINTA CUOTA"/>
  </r>
  <r>
    <x v="164"/>
    <n v="14"/>
    <x v="0"/>
    <m/>
    <n v="13.35"/>
    <x v="25"/>
    <m/>
    <m/>
    <d v="2024-10-15T00:00:00"/>
    <m/>
    <s v="REPOSICION DEL DINERO PRESTADO A SOCIO CESAR TOAQUIZA POR ENFERMEDAD"/>
  </r>
  <r>
    <x v="165"/>
    <n v="14"/>
    <x v="2"/>
    <m/>
    <n v="13.35"/>
    <x v="25"/>
    <m/>
    <m/>
    <d v="2024-10-15T00:00:00"/>
    <m/>
    <s v="REPOSICION DEL DINERO PRESTADO A SOCIO CESAR TOAQUIZA POR ENFERMEDAD"/>
  </r>
  <r>
    <x v="166"/>
    <n v="10"/>
    <x v="4"/>
    <n v="44"/>
    <n v="0"/>
    <x v="25"/>
    <n v="5"/>
    <n v="14"/>
    <d v="2024-10-15T00:00:00"/>
    <n v="5"/>
    <s v="ANULACION DEL PAGO DEL QUINTO INTERES POR REEPRESTAMO"/>
  </r>
  <r>
    <x v="167"/>
    <n v="15"/>
    <x v="13"/>
    <m/>
    <n v="0"/>
    <x v="25"/>
    <m/>
    <n v="200"/>
    <d v="2024-10-15T00:00:00"/>
    <m/>
    <s v="VIAJE DE LOS SOCIOS A BAÑOS DE AGUA SANTA"/>
  </r>
  <r>
    <x v="168"/>
    <n v="11"/>
    <x v="6"/>
    <n v="38"/>
    <n v="50"/>
    <x v="26"/>
    <n v="8"/>
    <n v="12"/>
    <d v="2024-11-15T00:00:00"/>
    <n v="8"/>
    <s v="PAGO DE LA OCTAVA CUOTA"/>
  </r>
  <r>
    <x v="169"/>
    <n v="9"/>
    <x v="10"/>
    <n v="42"/>
    <n v="85.7"/>
    <x v="26"/>
    <n v="6"/>
    <n v="12"/>
    <d v="2024-11-15T00:00:00"/>
    <n v="6"/>
    <s v="PAGO DE LA SEXTA LETRA"/>
  </r>
  <r>
    <x v="170"/>
    <n v="12"/>
    <x v="7"/>
    <n v="47"/>
    <n v="41.67"/>
    <x v="26"/>
    <n v="4"/>
    <n v="10"/>
    <d v="2024-11-15T00:00:00"/>
    <n v="4"/>
    <s v="PAGO DE LA CUARTA LETRA"/>
  </r>
  <r>
    <x v="171"/>
    <n v="1"/>
    <x v="11"/>
    <n v="49"/>
    <n v="50"/>
    <x v="26"/>
    <n v="3"/>
    <n v="6"/>
    <d v="2024-11-15T00:00:00"/>
    <n v="3"/>
    <s v="PAGO DE LA TERCERA LETRA"/>
  </r>
  <r>
    <x v="172"/>
    <n v="8"/>
    <x v="5"/>
    <n v="50"/>
    <n v="100"/>
    <x v="26"/>
    <n v="2"/>
    <n v="8"/>
    <d v="2024-11-15T00:00:00"/>
    <n v="50"/>
    <s v="PAGO DE LA SEGUNDA LETRA"/>
  </r>
  <r>
    <x v="173"/>
    <n v="4"/>
    <x v="2"/>
    <n v="51"/>
    <n v="62.5"/>
    <x v="26"/>
    <n v="1"/>
    <n v="5"/>
    <d v="2024-11-15T00:00:00"/>
    <n v="1"/>
    <s v="PAGO DE LA PRIMERA LETRA"/>
  </r>
  <r>
    <x v="174"/>
    <n v="5"/>
    <x v="12"/>
    <n v="52"/>
    <n v="62.5"/>
    <x v="26"/>
    <n v="1"/>
    <n v="5"/>
    <d v="2024-11-15T00:00:00"/>
    <n v="1"/>
    <s v="PAGO DE LA PRIMERA LETRA"/>
  </r>
  <r>
    <x v="175"/>
    <n v="10"/>
    <x v="4"/>
    <n v="53"/>
    <n v="125"/>
    <x v="26"/>
    <n v="1"/>
    <n v="10"/>
    <d v="2024-11-15T00:00:00"/>
    <n v="1"/>
    <s v="PAGO DE LA PRIMERA LETRA"/>
  </r>
  <r>
    <x v="176"/>
    <n v="3"/>
    <x v="0"/>
    <n v="37"/>
    <n v="100"/>
    <x v="26"/>
    <n v="8"/>
    <n v="20"/>
    <d v="2024-11-15T00:00:00"/>
    <n v="8"/>
    <s v="PAGO DE LA OCTAVA LETRA"/>
  </r>
  <r>
    <x v="177"/>
    <n v="13"/>
    <x v="9"/>
    <n v="46"/>
    <n v="100"/>
    <x v="26"/>
    <n v="4"/>
    <n v="10"/>
    <d v="2024-11-15T00:00:00"/>
    <n v="4"/>
    <s v="PAGO DE LA CUARTA LETRA"/>
  </r>
  <r>
    <x v="178"/>
    <n v="9"/>
    <x v="10"/>
    <n v="42"/>
    <n v="85.7"/>
    <x v="26"/>
    <n v="7"/>
    <m/>
    <d v="2024-11-15T00:00:00"/>
    <m/>
    <s v="PAGO DE LA ULTIMA LETRA QUE SALE DEL REPRESTAMO"/>
  </r>
  <r>
    <x v="179"/>
    <n v="9"/>
    <x v="10"/>
    <n v="42"/>
    <m/>
    <x v="26"/>
    <m/>
    <n v="12"/>
    <d v="2024-11-15T00:00:00"/>
    <n v="7"/>
    <s v="CANCELACION DEL PAGO DEL ULTIMO INTERES POR REEPRESTAMO"/>
  </r>
  <r>
    <x v="180"/>
    <n v="14"/>
    <x v="14"/>
    <m/>
    <n v="13.35"/>
    <x v="26"/>
    <m/>
    <m/>
    <d v="2024-11-15T00:00:00"/>
    <m/>
    <s v="REPOSICION DEL DINERO PRESTADO A SOCIO CESAR TOAQUIZA POR ENFERMEDAD"/>
  </r>
  <r>
    <x v="181"/>
    <n v="14"/>
    <x v="1"/>
    <m/>
    <n v="13.35"/>
    <x v="26"/>
    <m/>
    <m/>
    <d v="2024-11-15T00:00:00"/>
    <m/>
    <s v="REPOSICION DEL DINERO PRESTADO A SOCIO CESAR TOAQUIZA POR ENFERMEDAD"/>
  </r>
  <r>
    <x v="182"/>
    <n v="14"/>
    <x v="8"/>
    <m/>
    <n v="13.35"/>
    <x v="26"/>
    <m/>
    <m/>
    <d v="2024-11-15T00:00:00"/>
    <m/>
    <s v="REPOSICION DEL DINERO PRESTADO A SOCIO CESAR TOAQUIZA POR ENFERMEDAD"/>
  </r>
  <r>
    <x v="183"/>
    <n v="14"/>
    <x v="5"/>
    <m/>
    <n v="13.35"/>
    <x v="26"/>
    <m/>
    <m/>
    <d v="2024-11-15T00:00:00"/>
    <m/>
    <s v="REPOSICION DEL DINERO PRESTADO A SOCIO CESAR TOAQUIZA POR ENFERMEDAD"/>
  </r>
  <r>
    <x v="184"/>
    <n v="14"/>
    <x v="10"/>
    <m/>
    <n v="13.35"/>
    <x v="26"/>
    <m/>
    <m/>
    <d v="2024-11-15T00:00:00"/>
    <m/>
    <s v="REPOSICION DEL DINERO PRESTADO A SOCIO CESAR TOAQUIZA POR ENFERMEDAD"/>
  </r>
  <r>
    <x v="185"/>
    <n v="14"/>
    <x v="4"/>
    <m/>
    <n v="13.35"/>
    <x v="26"/>
    <m/>
    <m/>
    <d v="2024-11-15T00:00:00"/>
    <m/>
    <s v="REPOSICION DEL DINERO PRESTADO A SOCIO CESAR TOAQUIZA POR ENFERMEDAD"/>
  </r>
  <r>
    <x v="186"/>
    <n v="14"/>
    <x v="6"/>
    <m/>
    <n v="13.35"/>
    <x v="26"/>
    <m/>
    <m/>
    <d v="2024-11-15T00:00:00"/>
    <m/>
    <s v="REPOSICION DEL DINERO PRESTADO A SOCIO CESAR TOAQUIZA POR ENFERMEDAD"/>
  </r>
  <r>
    <x v="187"/>
    <n v="14"/>
    <x v="7"/>
    <m/>
    <n v="13.35"/>
    <x v="26"/>
    <m/>
    <m/>
    <d v="2024-11-15T00:00:00"/>
    <m/>
    <s v="REPOSICION DEL DINERO PRESTADO A SOCIO CESAR TOAQUIZA POR ENFERMEDAD"/>
  </r>
  <r>
    <x v="188"/>
    <n v="6"/>
    <x v="1"/>
    <n v="48"/>
    <n v="100"/>
    <x v="26"/>
    <n v="3"/>
    <n v="12"/>
    <d v="2024-11-15T00:00:00"/>
    <n v="3"/>
    <s v="PAGO DE LA TERCERA LETRA"/>
  </r>
  <r>
    <x v="189"/>
    <n v="11"/>
    <x v="6"/>
    <n v="38"/>
    <n v="50"/>
    <x v="27"/>
    <n v="9"/>
    <n v="12"/>
    <d v="2024-12-15T00:00:00"/>
    <n v="9"/>
    <s v="PAGO DE LA NOVENA LETRA"/>
  </r>
  <r>
    <x v="190"/>
    <n v="3"/>
    <x v="0"/>
    <n v="37"/>
    <n v="100"/>
    <x v="27"/>
    <n v="9"/>
    <n v="20"/>
    <d v="2024-12-15T00:00:00"/>
    <n v="9"/>
    <s v="PAGO DE LA NOVENA LETRA"/>
  </r>
  <r>
    <x v="191"/>
    <n v="9"/>
    <x v="10"/>
    <n v="55"/>
    <n v="100"/>
    <x v="27"/>
    <n v="1"/>
    <n v="20"/>
    <d v="2024-12-15T00:00:00"/>
    <n v="1"/>
    <s v="PAGO DE LA PRIMERA LETRA"/>
  </r>
  <r>
    <x v="192"/>
    <n v="12"/>
    <x v="7"/>
    <n v="47"/>
    <n v="41.67"/>
    <x v="27"/>
    <n v="5"/>
    <n v="10"/>
    <d v="2024-12-15T00:00:00"/>
    <n v="5"/>
    <s v="PAGO DE LA QUINTA LETRA"/>
  </r>
  <r>
    <x v="193"/>
    <n v="6"/>
    <x v="1"/>
    <n v="48"/>
    <n v="100"/>
    <x v="27"/>
    <n v="4"/>
    <n v="12"/>
    <d v="2024-12-15T00:00:00"/>
    <n v="4"/>
    <s v="PAGO DE LA CUARTA LETRA"/>
  </r>
  <r>
    <x v="194"/>
    <n v="1"/>
    <x v="11"/>
    <n v="49"/>
    <n v="50"/>
    <x v="27"/>
    <n v="4"/>
    <n v="6"/>
    <d v="2024-12-15T00:00:00"/>
    <n v="4"/>
    <s v="PAGO DE LA CUARTA LETRA"/>
  </r>
  <r>
    <x v="195"/>
    <n v="8"/>
    <x v="5"/>
    <n v="50"/>
    <n v="100"/>
    <x v="27"/>
    <n v="3"/>
    <n v="8"/>
    <d v="2024-12-15T00:00:00"/>
    <n v="3"/>
    <s v="PAGO DE LA TERCERA LETRA"/>
  </r>
  <r>
    <x v="196"/>
    <n v="4"/>
    <x v="2"/>
    <n v="51"/>
    <n v="62.5"/>
    <x v="27"/>
    <n v="2"/>
    <n v="5"/>
    <d v="2024-12-15T00:00:00"/>
    <n v="2"/>
    <s v="PAGO DE LA SEGUNDA LETRA"/>
  </r>
  <r>
    <x v="197"/>
    <n v="5"/>
    <x v="12"/>
    <n v="52"/>
    <n v="62.5"/>
    <x v="27"/>
    <n v="2"/>
    <n v="5"/>
    <d v="2024-12-15T00:00:00"/>
    <n v="2"/>
    <s v="PAGO DE LA SEGUNDA LETRA"/>
  </r>
  <r>
    <x v="198"/>
    <n v="10"/>
    <x v="4"/>
    <n v="53"/>
    <n v="125"/>
    <x v="27"/>
    <n v="2"/>
    <n v="10"/>
    <d v="2024-12-15T00:00:00"/>
    <n v="2"/>
    <s v="PAGO DE LA SEGUNDA LETRA"/>
  </r>
  <r>
    <x v="199"/>
    <n v="7"/>
    <x v="8"/>
    <n v="56"/>
    <n v="40"/>
    <x v="27"/>
    <n v="1"/>
    <n v="4"/>
    <d v="2024-12-15T00:00:00"/>
    <n v="1"/>
    <s v="PAGO DE LA PRIMERA LETRA"/>
  </r>
  <r>
    <x v="200"/>
    <n v="14"/>
    <x v="9"/>
    <m/>
    <n v="13.35"/>
    <x v="27"/>
    <m/>
    <m/>
    <d v="2024-12-15T00:00:00"/>
    <m/>
    <s v="REPOSICION DEL DINERO PRESTADO A SOCIO CESAR TOAQUIZA POR ENFERMEDAD"/>
  </r>
  <r>
    <x v="201"/>
    <n v="14"/>
    <x v="12"/>
    <m/>
    <n v="13.35"/>
    <x v="27"/>
    <m/>
    <m/>
    <d v="2024-12-15T00:00:00"/>
    <m/>
    <s v="REPOSICION DEL DINERO PRESTADO A SOCIO CESAR TOAQUIZA POR ENFERMEDAD"/>
  </r>
  <r>
    <x v="202"/>
    <n v="2"/>
    <x v="14"/>
    <n v="54"/>
    <n v="166.67"/>
    <x v="27"/>
    <n v="1"/>
    <n v="10"/>
    <d v="2024-12-15T00:00:00"/>
    <n v="1"/>
    <s v="PAGO DE LA PRIMERA LETRA"/>
  </r>
  <r>
    <x v="203"/>
    <n v="13"/>
    <x v="9"/>
    <n v="46"/>
    <n v="100"/>
    <x v="27"/>
    <n v="5"/>
    <n v="0"/>
    <d v="2024-12-15T00:00:00"/>
    <n v="5"/>
    <s v="PAGO DE LA QUINTA CUOTA (REEPRESTAMO)"/>
  </r>
  <r>
    <x v="204"/>
    <n v="13"/>
    <x v="9"/>
    <n v="46"/>
    <n v="0"/>
    <x v="27"/>
    <n v="5"/>
    <n v="8"/>
    <d v="2024-12-15T00:00:00"/>
    <n v="5"/>
    <s v="CANCELACION DEL PAGO DEL ULTIMO INTERES POR REEPRESTAMO"/>
  </r>
  <r>
    <x v="205"/>
    <n v="8"/>
    <x v="5"/>
    <n v="50"/>
    <n v="100"/>
    <x v="27"/>
    <n v="4"/>
    <n v="0"/>
    <d v="2024-12-15T00:00:00"/>
    <n v="4"/>
    <s v="CANCELACION PAGO DE LA CUARTA LETRA (REEPRESTAMO)"/>
  </r>
  <r>
    <x v="206"/>
    <n v="8"/>
    <x v="5"/>
    <n v="50"/>
    <n v="0"/>
    <x v="27"/>
    <n v="4"/>
    <n v="8"/>
    <d v="2024-12-15T00:00:00"/>
    <n v="4"/>
    <s v="CANCELACION DEL PAGO DEL ULTIMO INTERES POR (REEPRESTAMO)"/>
  </r>
  <r>
    <x v="207"/>
    <n v="11"/>
    <x v="6"/>
    <n v="38"/>
    <n v="50"/>
    <x v="28"/>
    <n v="10"/>
    <n v="12"/>
    <d v="2025-01-15T00:00:00"/>
    <n v="10"/>
    <s v="PAGO DE LA DECIMA CUOTA"/>
  </r>
  <r>
    <x v="208"/>
    <n v="12"/>
    <x v="7"/>
    <n v="47"/>
    <n v="41.67"/>
    <x v="28"/>
    <n v="6"/>
    <n v="10"/>
    <d v="2025-01-15T00:00:00"/>
    <n v="6"/>
    <s v="PAGO DE LA SEXTA CUOTA"/>
  </r>
  <r>
    <x v="209"/>
    <n v="1"/>
    <x v="11"/>
    <n v="49"/>
    <n v="50"/>
    <x v="28"/>
    <n v="5"/>
    <n v="6"/>
    <d v="2025-01-15T00:00:00"/>
    <n v="5"/>
    <s v="PAGO DE LA QUINTA CUOTA"/>
  </r>
  <r>
    <x v="210"/>
    <n v="4"/>
    <x v="2"/>
    <n v="51"/>
    <n v="62.5"/>
    <x v="28"/>
    <n v="3"/>
    <n v="5"/>
    <d v="2025-01-15T00:00:00"/>
    <n v="3"/>
    <s v="PAGO DE LA TERCERA LETRA "/>
  </r>
  <r>
    <x v="211"/>
    <n v="5"/>
    <x v="12"/>
    <n v="52"/>
    <n v="62.5"/>
    <x v="28"/>
    <n v="3"/>
    <n v="5"/>
    <d v="2025-01-15T00:00:00"/>
    <n v="3"/>
    <s v="PAGO DE LA TERCERA CUOTA"/>
  </r>
  <r>
    <x v="212"/>
    <n v="10"/>
    <x v="4"/>
    <n v="53"/>
    <n v="125"/>
    <x v="28"/>
    <n v="3"/>
    <n v="10"/>
    <d v="2025-01-15T00:00:00"/>
    <n v="3"/>
    <s v="PAGO DE LA TERCERA CUOTA"/>
  </r>
  <r>
    <x v="213"/>
    <n v="9"/>
    <x v="10"/>
    <n v="55"/>
    <n v="100"/>
    <x v="28"/>
    <n v="2"/>
    <n v="20"/>
    <d v="2025-01-15T00:00:00"/>
    <n v="2"/>
    <s v="PAGO DE LA SEGUNTA LETRA"/>
  </r>
  <r>
    <x v="214"/>
    <n v="13"/>
    <x v="9"/>
    <n v="57"/>
    <n v="100"/>
    <x v="28"/>
    <n v="1"/>
    <n v="20"/>
    <d v="2025-01-15T00:00:00"/>
    <n v="1"/>
    <s v="PAGO DE LA PRIMERA LETRA"/>
  </r>
  <r>
    <x v="215"/>
    <n v="8"/>
    <x v="5"/>
    <n v="58"/>
    <n v="100"/>
    <x v="28"/>
    <n v="1"/>
    <n v="10"/>
    <d v="2025-01-15T00:00:00"/>
    <n v="1"/>
    <s v="PAGO DE LA PRIMER LETRA"/>
  </r>
  <r>
    <x v="216"/>
    <n v="3"/>
    <x v="0"/>
    <n v="37"/>
    <n v="100"/>
    <x v="28"/>
    <n v="10"/>
    <n v="20"/>
    <d v="2025-01-15T00:00:00"/>
    <n v="10"/>
    <s v="PAGO DE LA DECIMA LETRA FIN"/>
  </r>
  <r>
    <x v="217"/>
    <n v="7"/>
    <x v="8"/>
    <n v="56"/>
    <n v="40"/>
    <x v="28"/>
    <n v="2"/>
    <n v="4"/>
    <d v="2025-01-15T00:00:00"/>
    <n v="2"/>
    <s v="PAGO DE LA SEGUNDA LETRA (CON PAGO DE UN REEPRESTAMO)"/>
  </r>
  <r>
    <x v="218"/>
    <n v="6"/>
    <x v="1"/>
    <n v="48"/>
    <n v="100"/>
    <x v="28"/>
    <n v="5"/>
    <n v="12"/>
    <d v="2025-01-15T00:00:00"/>
    <n v="5"/>
    <s v="PAGO DE LA QUINTA LETRA (PAGO CON REEPRESTAMO)"/>
  </r>
  <r>
    <x v="219"/>
    <n v="6"/>
    <x v="1"/>
    <n v="48"/>
    <n v="100"/>
    <x v="28"/>
    <n v="6"/>
    <n v="0"/>
    <d v="2025-01-15T00:00:00"/>
    <n v="6"/>
    <s v="PAGO DE LA SEXTA CUOTA (PAGO CON REEPRESTAMO)"/>
  </r>
  <r>
    <x v="220"/>
    <n v="6"/>
    <x v="1"/>
    <n v="48"/>
    <n v="0"/>
    <x v="28"/>
    <n v="6"/>
    <n v="12"/>
    <d v="2025-01-15T00:00:00"/>
    <n v="6"/>
    <s v="ANULACION DE PAGO DE INTERESES Y MONTO POR REPRESTAMO"/>
  </r>
  <r>
    <x v="221"/>
    <n v="2"/>
    <x v="14"/>
    <n v="54"/>
    <n v="166.67"/>
    <x v="28"/>
    <n v="2"/>
    <n v="10"/>
    <d v="2025-01-15T00:00:00"/>
    <n v="2"/>
    <s v="PAGO DE LA SEGUNDA LETRA (PAGO DE UN SOCIO CON REEPRESTAMO)"/>
  </r>
  <r>
    <x v="222"/>
    <n v="10"/>
    <x v="4"/>
    <n v="53"/>
    <n v="125"/>
    <x v="28"/>
    <n v="4"/>
    <n v="0"/>
    <d v="2025-01-15T00:00:00"/>
    <n v="4"/>
    <s v="PAGO DE LA CUARTA LETRA PAGO CON REEPRESTAMO"/>
  </r>
  <r>
    <x v="223"/>
    <n v="10"/>
    <x v="4"/>
    <n v="53"/>
    <n v="0"/>
    <x v="28"/>
    <n v="4"/>
    <n v="10"/>
    <d v="2025-01-15T00:00:00"/>
    <n v="4"/>
    <s v="ANULACION DE PAGO DE INTERESES Y MONTO POR REPRESTAMO"/>
  </r>
  <r>
    <x v="224"/>
    <n v="12"/>
    <x v="7"/>
    <n v="59"/>
    <n v="80"/>
    <x v="28"/>
    <n v="1"/>
    <n v="1.6"/>
    <d v="2025-01-15T00:00:00"/>
    <n v="1"/>
    <s v="PAGO DE LA PRIMERA Y ULTIMA LETR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51BCA3-E436-4B66-94BE-69294B0F58CD}" name="TablaDinámica2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SOCIO">
  <location ref="D4:F18" firstHeaderRow="0" firstDataRow="1" firstDataCol="1" rowPageCount="1" colPageCount="1"/>
  <pivotFields count="11">
    <pivotField axis="axisPage" multipleItemSelectionAllowed="1" showAll="0">
      <items count="65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2"/>
        <item x="31"/>
        <item x="32"/>
        <item x="33"/>
        <item x="34"/>
        <item x="35"/>
        <item x="36"/>
        <item x="37"/>
        <item x="38"/>
        <item x="39"/>
        <item x="40"/>
        <item x="41"/>
        <item h="1" x="42"/>
        <item x="43"/>
        <item x="44"/>
        <item x="45"/>
        <item x="46"/>
        <item x="47"/>
        <item x="48"/>
        <item x="49"/>
        <item x="50"/>
        <item x="51"/>
        <item h="1" x="52"/>
        <item x="53"/>
        <item x="54"/>
        <item x="55"/>
        <item x="56"/>
        <item x="57"/>
        <item x="58"/>
        <item x="59"/>
        <item x="60"/>
        <item x="61"/>
        <item x="62"/>
        <item x="63"/>
        <item t="default"/>
      </items>
    </pivotField>
    <pivotField numFmtId="167" showAll="0"/>
    <pivotField axis="axisRow" showAll="0">
      <items count="15">
        <item sd="0" x="1"/>
        <item sd="0" x="6"/>
        <item sd="0" x="11"/>
        <item sd="0" x="7"/>
        <item sd="0" x="9"/>
        <item sd="0" x="4"/>
        <item sd="0" x="5"/>
        <item sd="0" x="10"/>
        <item sd="0" x="3"/>
        <item sd="0" x="0"/>
        <item sd="0" x="8"/>
        <item sd="0" x="12"/>
        <item sd="0" x="2"/>
        <item sd="0" x="13"/>
        <item t="default" sd="0"/>
      </items>
    </pivotField>
    <pivotField dataField="1" numFmtId="164" showAll="0"/>
    <pivotField axis="axisRow" numFmtId="1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showAll="0"/>
    <pivotField dataField="1" numFmtId="164" showAll="0"/>
    <pivotField numFmtId="164" showAll="0"/>
    <pivotField showAll="0"/>
    <pivotField showAll="0"/>
  </pivotFields>
  <rowFields count="2">
    <field x="2"/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AMORT" fld="3" baseField="0" baseItem="0"/>
    <dataField name="INTERESE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7F5B8-BCA7-423E-B133-94D83F3FD8DD}" name="TablaDinámica5" cacheId="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SOCIOS">
  <location ref="H4:J18" firstHeaderRow="0" firstDataRow="1" firstDataCol="1" rowPageCount="1" colPageCount="1"/>
  <pivotFields count="11">
    <pivotField axis="axisPage" multipleItemSelectionAllowed="1" showAll="0">
      <items count="226"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3"/>
        <item x="54"/>
        <item x="55"/>
        <item x="56"/>
        <item x="57"/>
        <item x="58"/>
        <item x="59"/>
        <item h="1" x="3"/>
        <item h="1" x="52"/>
        <item x="60"/>
        <item x="61"/>
        <item x="62"/>
        <item x="63"/>
        <item x="64"/>
        <item x="65"/>
        <item x="66"/>
        <item x="67"/>
        <item x="68"/>
        <item x="69"/>
        <item x="70"/>
        <item h="1"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h="1" x="86"/>
        <item x="87"/>
        <item x="88"/>
        <item x="89"/>
        <item x="90"/>
        <item x="91"/>
        <item x="92"/>
        <item h="1" x="93"/>
        <item h="1" x="94"/>
        <item x="95"/>
        <item x="96"/>
        <item x="97"/>
        <item x="98"/>
        <item x="99"/>
        <item x="100"/>
        <item x="101"/>
        <item h="1"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h="1" x="117"/>
        <item x="118"/>
        <item x="119"/>
        <item x="120"/>
        <item x="121"/>
        <item x="122"/>
        <item x="123"/>
        <item x="124"/>
        <item x="125"/>
        <item h="1"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h="1" x="166"/>
        <item h="1" x="167"/>
        <item h="1" x="164"/>
        <item h="1" x="165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h="1" x="200"/>
        <item h="1" x="201"/>
        <item x="202"/>
        <item x="203"/>
        <item h="1" x="204"/>
        <item x="205"/>
        <item h="1"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h="1" x="220"/>
        <item x="221"/>
        <item x="222"/>
        <item h="1" x="223"/>
        <item x="224"/>
        <item t="default"/>
      </items>
    </pivotField>
    <pivotField showAll="0"/>
    <pivotField axis="axisRow" showAll="0">
      <items count="16">
        <item sd="0" x="0"/>
        <item sd="0" x="11"/>
        <item sd="0" x="9"/>
        <item sd="0" x="10"/>
        <item sd="0" x="6"/>
        <item sd="0" x="7"/>
        <item sd="0" x="5"/>
        <item sd="0" x="8"/>
        <item sd="0" x="2"/>
        <item sd="0" x="1"/>
        <item sd="0" x="4"/>
        <item sd="0" x="12"/>
        <item sd="0" x="13"/>
        <item sd="0" x="3"/>
        <item sd="0" x="14"/>
        <item t="default" sd="0"/>
      </items>
    </pivotField>
    <pivotField showAll="0"/>
    <pivotField dataField="1" showAll="0"/>
    <pivotField axis="axisRow" numFmtId="14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dataField="1" showAll="0"/>
    <pivotField numFmtId="14" showAll="0"/>
    <pivotField showAll="0"/>
    <pivotField showAll="0"/>
  </pivotFields>
  <rowFields count="2">
    <field x="2"/>
    <field x="5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AMORT" fld="4" baseField="0" baseItem="0"/>
    <dataField name="INTERE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37AF18-0BBF-4B37-874A-5BBCBCDC1922}" name="TablaDinámica6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SOCIO">
  <location ref="A4:B18" firstHeaderRow="1" firstDataRow="1" firstDataCol="1"/>
  <pivotFields count="3">
    <pivotField showAll="0"/>
    <pivotField axis="axisRow" showAll="0">
      <items count="14">
        <item x="2"/>
        <item x="0"/>
        <item x="12"/>
        <item x="8"/>
        <item x="10"/>
        <item x="11"/>
        <item x="7"/>
        <item x="6"/>
        <item x="3"/>
        <item x="5"/>
        <item x="9"/>
        <item x="4"/>
        <item x="1"/>
        <item t="default"/>
      </items>
    </pivotField>
    <pivotField dataField="1" numFmtId="164" showAll="0"/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APORTES" fld="2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236285-C4E5-4653-90A6-14B08A1DD790}" name="CLIENTES" displayName="CLIENTES" ref="B4:AH17" totalsRowShown="0" headerRowDxfId="67" dataDxfId="66" tableBorderDxfId="65">
  <autoFilter ref="B4:AH17" xr:uid="{18236285-C4E5-4653-90A6-14B08A1DD790}"/>
  <tableColumns count="33">
    <tableColumn id="1" xr3:uid="{C54CC487-2E41-43C1-97DF-271A018EB14F}" name="COD" dataDxfId="64"/>
    <tableColumn id="2" xr3:uid="{0CFCCF33-E1BD-4328-9E45-CEF1C2D20A1B}" name="NOMBRE" dataDxfId="63"/>
    <tableColumn id="3" xr3:uid="{1A86CCB3-4181-44BE-8BD8-DD286A9675BD}" name="APORTADO" dataDxfId="62">
      <calculatedColumnFormula>SUM(SOCIOS!$E5:$AH5)</calculatedColumnFormula>
    </tableColumn>
    <tableColumn id="4" xr3:uid="{8C3FDF92-169A-4C97-A2AB-97B7DC1A17AA}" name="1" dataDxfId="61">
      <calculatedColumnFormula>10-7.69</calculatedColumnFormula>
    </tableColumn>
    <tableColumn id="5" xr3:uid="{36EBBBCB-6A0D-4B04-A27D-89C315B248CC}" name="2" dataDxfId="60"/>
    <tableColumn id="6" xr3:uid="{7B2ED8D6-2F1B-41B4-B31E-7FA2DC31FBD5}" name="3" dataDxfId="59"/>
    <tableColumn id="7" xr3:uid="{87116DB9-8688-4373-A617-E84379BB3DAF}" name="4" dataDxfId="58"/>
    <tableColumn id="8" xr3:uid="{35F826FE-C2F4-4A28-A0C2-7AB103BEFA71}" name="5" dataDxfId="57"/>
    <tableColumn id="9" xr3:uid="{7065638B-DED7-4F57-AE4E-B0E22E4A8E4E}" name="6" dataDxfId="56"/>
    <tableColumn id="10" xr3:uid="{02510EF9-8BC3-4A90-855C-715AC56623EE}" name="7" dataDxfId="55"/>
    <tableColumn id="11" xr3:uid="{C0804463-63F0-4378-AC67-29B23074ED4A}" name="8" dataDxfId="54"/>
    <tableColumn id="12" xr3:uid="{6CD85A10-A4F9-4687-BD69-E53C3FB3B226}" name="9" dataDxfId="53"/>
    <tableColumn id="13" xr3:uid="{20C911E8-C3EC-4BA4-B7F1-4133B19DFE3E}" name="10" dataDxfId="52"/>
    <tableColumn id="14" xr3:uid="{65E836D6-7F8B-42E9-B661-2BA8F88EFC6A}" name="11" dataDxfId="51"/>
    <tableColumn id="15" xr3:uid="{8EF92F53-12C6-4A8A-974A-D10220BC7037}" name="12" dataDxfId="50"/>
    <tableColumn id="16" xr3:uid="{9905BDFC-371F-4252-BAB4-E25006AE39F8}" name="13" dataDxfId="49"/>
    <tableColumn id="17" xr3:uid="{351A2A05-1865-4F11-8FEA-5D603211CDEB}" name="14" dataDxfId="48"/>
    <tableColumn id="18" xr3:uid="{684CB385-740F-401E-9183-B51DC2E63E01}" name="15" dataDxfId="47"/>
    <tableColumn id="19" xr3:uid="{924B0C9A-6320-44ED-A684-51AE04265491}" name="16" dataDxfId="46"/>
    <tableColumn id="20" xr3:uid="{1DA02A1D-E4A0-42F7-927E-540B3E54EEDE}" name="17" dataDxfId="45"/>
    <tableColumn id="21" xr3:uid="{97EB78F6-E18B-45EF-B773-841848439A9A}" name="18" dataDxfId="44"/>
    <tableColumn id="22" xr3:uid="{EDEC7F5A-3A5C-4FF5-8DBF-A8E4B75BDE3B}" name="19" dataDxfId="43"/>
    <tableColumn id="23" xr3:uid="{04615CCB-32BD-4DE6-BB09-2A8F4A999174}" name="20" dataDxfId="42"/>
    <tableColumn id="24" xr3:uid="{93E7BBFE-A5AF-4848-9725-48F5CF22C6DE}" name="21" dataDxfId="41"/>
    <tableColumn id="25" xr3:uid="{06005CFA-C583-4B5F-BC84-CB65A7DFAE2B}" name="22" dataDxfId="40"/>
    <tableColumn id="26" xr3:uid="{2D901CF5-EF2B-43B6-BD33-D09718E8CF25}" name="23" dataDxfId="39"/>
    <tableColumn id="27" xr3:uid="{34F6C5BB-4B7C-4CA8-86F1-FD13CED3E035}" name="24" dataDxfId="38"/>
    <tableColumn id="28" xr3:uid="{A453E23A-7E68-4581-B7D5-4626DBEEC996}" name="25" dataDxfId="37"/>
    <tableColumn id="29" xr3:uid="{B310A440-F1FA-4034-9656-DD23DCC19567}" name="26" dataDxfId="36"/>
    <tableColumn id="30" xr3:uid="{D180E249-6856-4B85-B6DF-096698A3D696}" name="27" dataDxfId="35"/>
    <tableColumn id="31" xr3:uid="{91AA9D62-2BA3-4586-9537-C8F5F7FF4B80}" name="28" dataDxfId="34"/>
    <tableColumn id="32" xr3:uid="{E179F130-6E9F-40FB-8DC0-2DE2AA65D4AF}" name="29" dataDxfId="33"/>
    <tableColumn id="33" xr3:uid="{DACAB3CB-3273-4F88-8A1C-97D348FC1377}" name="30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B20:D50" totalsRowShown="0" headerRowDxfId="31">
  <autoFilter ref="B20:D50" xr:uid="{F53503DF-644E-4A9A-8D0D-080AEC43F898}"/>
  <tableColumns count="3">
    <tableColumn id="1" xr3:uid="{6ED0DD16-597F-4657-B60B-E17AA9DAB89E}" name="#" dataDxfId="30">
      <calculatedColumnFormula>ROW()-ROW(APORTACIONESOCIOS[[#Headers],['#]])</calculatedColumnFormula>
    </tableColumn>
    <tableColumn id="2" xr3:uid="{47EBCF96-4711-43CB-9BE6-93ED477BB0A0}" name="FECHA" dataDxfId="29"/>
    <tableColumn id="3" xr3:uid="{16E6B2EE-7076-4DFF-A63F-B04A095B46B7}" name="MONTO" dataDxfId="28">
      <calculatedColumnFormula>$E$18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K67" totalsRowShown="0" headerRowDxfId="27" dataDxfId="26" tableBorderDxfId="25">
  <autoFilter ref="A2:K67" xr:uid="{1EF07585-15E8-4C19-B5D8-0E7A84F4DBB0}"/>
  <tableColumns count="11">
    <tableColumn id="1" xr3:uid="{DF608173-1C1E-45BF-BDA6-4770479695D0}" name="REG" dataDxfId="24"/>
    <tableColumn id="10" xr3:uid="{A1710718-E81C-4FCA-8318-2D0241A13750}" name="CODIGOCLIENTE" dataDxfId="23"/>
    <tableColumn id="2" xr3:uid="{BF4B879C-1336-4BFF-A448-902F2E842778}" name="NOMBRE CLIENTE" dataDxfId="22"/>
    <tableColumn id="3" xr3:uid="{A4557FB7-A69D-41EA-ADDC-4CD851160E6F}" name="MONTO AMORTIZACION" dataDxfId="21"/>
    <tableColumn id="4" xr3:uid="{1059D7C6-771B-45CF-95FF-DE6753600468}" name="FECHA DEL PRESTAMO" dataDxfId="20"/>
    <tableColumn id="5" xr3:uid="{EC0679A2-BDC3-47B2-82B2-67CD1FDCEED2}" name="CUOTAS" dataDxfId="19"/>
    <tableColumn id="6" xr3:uid="{2AB3969A-7B77-4109-A6D4-36598A4DCC7B}" name="INTERES" dataDxfId="18"/>
    <tableColumn id="7" xr3:uid="{178CA326-5156-46D8-B147-36B8DAE7B0FB}" name="T. INT" dataDxfId="17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16">
      <calculatedColumnFormula>PRESTAMOS[[#This Row],[MONTO AMORTIZACION]]+PRESTAMOS[[#This Row],[T. INT]]</calculatedColumnFormula>
    </tableColumn>
    <tableColumn id="9" xr3:uid="{DAB7303D-AF54-4300-85B2-5A04DC344B2D}" name="OBSERVACION" dataDxfId="15"/>
    <tableColumn id="11" xr3:uid="{A7AC972D-5336-419F-9024-628A881B913D}" name="ESTATUS" dataDxfId="14">
      <calculatedColumnFormula>IF(LEN(PRESTAMOS[[#This Row],[REG]])=LEN("AYUDA**"),"PAGADO",IF(SUMIF(PAGOS!$D$3:$D$1048576,A3,PAGOS!$E$3:$E$1048576)-PRESTAMOS[[#This Row],[MONTO AMORTIZACION]]&gt;=-0.1,"PAGADO","PENDIENTE"))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K227" totalsRowShown="0" headerRowDxfId="13" dataDxfId="12" tableBorderDxfId="11">
  <autoFilter ref="A2:K227" xr:uid="{0B276B08-FDED-4D4B-9E03-4C4141C75BCE}"/>
  <tableColumns count="11">
    <tableColumn id="1" xr3:uid="{291C7FF1-10B1-4601-BE6F-18338656E5ED}" name="REG" dataDxfId="10"/>
    <tableColumn id="10" xr3:uid="{7022746F-053D-483A-BA2A-73B3994A543A}" name="CODIGO CLIENTE" dataDxfId="9"/>
    <tableColumn id="2" xr3:uid="{FC13E43B-9874-4D30-9445-A72F47508A7C}" name="NOMBRE CLIENTE" dataDxfId="8"/>
    <tableColumn id="11" xr3:uid="{E88FA523-F814-4522-A262-68C8722599CB}" name="# PESTAMO" dataDxfId="7"/>
    <tableColumn id="3" xr3:uid="{002B3DB3-17B9-428D-A25A-72684C77E38B}" name="PAGO DEL MONTO" dataDxfId="6"/>
    <tableColumn id="4" xr3:uid="{1F8AE8A0-54D4-4B93-9CE3-86BC07F70024}" name="FECHA PAGO DEL MONTO" dataDxfId="5"/>
    <tableColumn id="5" xr3:uid="{F83E30F0-E156-48F7-9345-CAA3F5461D36}" name="# DE CUOTA DEL MONTO" dataDxfId="4"/>
    <tableColumn id="6" xr3:uid="{9DD87D8D-B930-4E29-9891-39897F2AED3F}" name="PAGO DEL INTERES" dataDxfId="3"/>
    <tableColumn id="7" xr3:uid="{D2503747-26C8-4B63-AB7A-B44C998F3273}" name="FECHA PAGO INTERES" dataDxfId="2"/>
    <tableColumn id="8" xr3:uid="{ACB52336-5F64-495D-A7C5-4F974CF9E959}" name="# DE CUOTA DE INTERES" dataDxfId="1"/>
    <tableColumn id="9" xr3:uid="{29B90C80-8506-4A3F-8557-A9FDCA0D07DB}" name="COMENTAR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17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20.44140625" bestFit="1" customWidth="1"/>
  </cols>
  <sheetData>
    <row r="2" spans="1:2" x14ac:dyDescent="0.3">
      <c r="A2" s="44" t="s">
        <v>64</v>
      </c>
      <c r="B2" s="44" t="s">
        <v>56</v>
      </c>
    </row>
    <row r="3" spans="1:2" x14ac:dyDescent="0.3">
      <c r="A3" s="275" t="s">
        <v>0</v>
      </c>
      <c r="B3" s="67" t="s">
        <v>14</v>
      </c>
    </row>
    <row r="4" spans="1:2" x14ac:dyDescent="0.3">
      <c r="A4" s="275" t="s">
        <v>1</v>
      </c>
      <c r="B4" s="67" t="s">
        <v>15</v>
      </c>
    </row>
    <row r="5" spans="1:2" x14ac:dyDescent="0.3">
      <c r="A5" s="275" t="s">
        <v>2</v>
      </c>
      <c r="B5" s="67" t="s">
        <v>16</v>
      </c>
    </row>
    <row r="6" spans="1:2" x14ac:dyDescent="0.3">
      <c r="A6" s="275" t="s">
        <v>3</v>
      </c>
      <c r="B6" s="67" t="s">
        <v>17</v>
      </c>
    </row>
    <row r="7" spans="1:2" x14ac:dyDescent="0.3">
      <c r="A7" s="275" t="s">
        <v>4</v>
      </c>
      <c r="B7" s="67" t="s">
        <v>18</v>
      </c>
    </row>
    <row r="8" spans="1:2" x14ac:dyDescent="0.3">
      <c r="A8" s="275" t="s">
        <v>5</v>
      </c>
      <c r="B8" s="67" t="s">
        <v>19</v>
      </c>
    </row>
    <row r="9" spans="1:2" x14ac:dyDescent="0.3">
      <c r="A9" s="275" t="s">
        <v>6</v>
      </c>
      <c r="B9" s="67" t="s">
        <v>20</v>
      </c>
    </row>
    <row r="10" spans="1:2" x14ac:dyDescent="0.3">
      <c r="A10" s="275" t="s">
        <v>7</v>
      </c>
      <c r="B10" s="67" t="s">
        <v>21</v>
      </c>
    </row>
    <row r="11" spans="1:2" x14ac:dyDescent="0.3">
      <c r="A11" s="275" t="s">
        <v>8</v>
      </c>
      <c r="B11" s="67" t="s">
        <v>22</v>
      </c>
    </row>
    <row r="12" spans="1:2" x14ac:dyDescent="0.3">
      <c r="A12" s="275" t="s">
        <v>9</v>
      </c>
      <c r="B12" s="67" t="s">
        <v>23</v>
      </c>
    </row>
    <row r="13" spans="1:2" x14ac:dyDescent="0.3">
      <c r="A13" s="275" t="s">
        <v>10</v>
      </c>
      <c r="B13" s="67" t="s">
        <v>24</v>
      </c>
    </row>
    <row r="14" spans="1:2" x14ac:dyDescent="0.3">
      <c r="A14" s="275" t="s">
        <v>11</v>
      </c>
      <c r="B14" s="67" t="s">
        <v>25</v>
      </c>
    </row>
    <row r="15" spans="1:2" x14ac:dyDescent="0.3">
      <c r="A15" s="275" t="s">
        <v>12</v>
      </c>
      <c r="B15" s="67" t="s">
        <v>26</v>
      </c>
    </row>
    <row r="16" spans="1:2" x14ac:dyDescent="0.3">
      <c r="A16" s="275">
        <v>14</v>
      </c>
      <c r="B16" s="67" t="s">
        <v>75</v>
      </c>
    </row>
    <row r="17" spans="1:2" x14ac:dyDescent="0.3">
      <c r="A17" s="275">
        <v>15</v>
      </c>
      <c r="B17" s="67" t="s">
        <v>76</v>
      </c>
    </row>
  </sheetData>
  <pageMargins left="0.7" right="0.7" top="0.75" bottom="0.75" header="0.3" footer="0.3"/>
  <pageSetup orientation="portrait" r:id="rId1"/>
  <ignoredErrors>
    <ignoredError sqref="A3:A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AH50"/>
  <sheetViews>
    <sheetView workbookViewId="0">
      <pane xSplit="4" ySplit="4" topLeftCell="AH5" activePane="bottomRight" state="frozen"/>
      <selection pane="topRight" activeCell="E1" sqref="E1"/>
      <selection pane="bottomLeft" activeCell="A5" sqref="A5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6.77734375" style="213" bestFit="1" customWidth="1"/>
    <col min="3" max="3" width="20.44140625" style="2" bestFit="1" customWidth="1"/>
    <col min="4" max="4" width="14.88671875" style="2" bestFit="1" customWidth="1"/>
    <col min="5" max="6" width="9.77734375" style="2" bestFit="1" customWidth="1"/>
    <col min="7" max="9" width="10.77734375" style="2" bestFit="1" customWidth="1"/>
    <col min="10" max="18" width="9.77734375" style="2" bestFit="1" customWidth="1"/>
    <col min="19" max="21" width="10.77734375" style="2" bestFit="1" customWidth="1"/>
    <col min="22" max="30" width="9.77734375" style="2" bestFit="1" customWidth="1"/>
    <col min="31" max="33" width="10.77734375" style="2" bestFit="1" customWidth="1"/>
    <col min="34" max="16384" width="10.88671875" style="2"/>
  </cols>
  <sheetData>
    <row r="1" spans="2:34" x14ac:dyDescent="0.3">
      <c r="B1" s="1"/>
    </row>
    <row r="2" spans="2:34" x14ac:dyDescent="0.3">
      <c r="B2" s="1"/>
    </row>
    <row r="3" spans="2:34" x14ac:dyDescent="0.3">
      <c r="B3" s="1"/>
      <c r="D3" s="7" t="s">
        <v>237</v>
      </c>
      <c r="E3" s="7">
        <v>44788</v>
      </c>
      <c r="F3" s="7">
        <v>44819</v>
      </c>
      <c r="G3" s="7">
        <v>44849</v>
      </c>
      <c r="H3" s="7">
        <v>44880</v>
      </c>
      <c r="I3" s="7">
        <v>44910</v>
      </c>
      <c r="J3" s="7">
        <v>44941</v>
      </c>
      <c r="K3" s="7">
        <v>44972</v>
      </c>
      <c r="L3" s="7">
        <v>45000</v>
      </c>
      <c r="M3" s="7">
        <v>45031</v>
      </c>
      <c r="N3" s="7">
        <v>45061</v>
      </c>
      <c r="O3" s="7">
        <v>45092</v>
      </c>
      <c r="P3" s="7">
        <v>45122</v>
      </c>
      <c r="Q3" s="7">
        <v>45153</v>
      </c>
      <c r="R3" s="7">
        <v>45184</v>
      </c>
      <c r="S3" s="7">
        <v>45214</v>
      </c>
      <c r="T3" s="138">
        <v>45245</v>
      </c>
      <c r="U3" s="138">
        <v>45275</v>
      </c>
      <c r="V3" s="138">
        <v>45306</v>
      </c>
      <c r="W3" s="138">
        <v>45337</v>
      </c>
      <c r="X3" s="138">
        <v>45366</v>
      </c>
      <c r="Y3" s="138">
        <v>45397</v>
      </c>
      <c r="Z3" s="138">
        <v>45427</v>
      </c>
      <c r="AA3" s="138">
        <v>45458</v>
      </c>
      <c r="AB3" s="138">
        <v>45488</v>
      </c>
      <c r="AC3" s="138">
        <v>45519</v>
      </c>
      <c r="AD3" s="138">
        <v>45550</v>
      </c>
      <c r="AE3" s="138">
        <v>45580</v>
      </c>
      <c r="AF3" s="138">
        <v>45611</v>
      </c>
      <c r="AG3" s="138">
        <v>45641</v>
      </c>
      <c r="AH3" s="138">
        <v>45672</v>
      </c>
    </row>
    <row r="4" spans="2:34" x14ac:dyDescent="0.3">
      <c r="B4" s="11" t="s">
        <v>29</v>
      </c>
      <c r="C4" s="8" t="s">
        <v>13</v>
      </c>
      <c r="D4" s="13" t="s">
        <v>28</v>
      </c>
      <c r="E4" s="5" t="s">
        <v>172</v>
      </c>
      <c r="F4" s="5" t="s">
        <v>173</v>
      </c>
      <c r="G4" s="5" t="s">
        <v>174</v>
      </c>
      <c r="H4" s="5" t="s">
        <v>175</v>
      </c>
      <c r="I4" s="5" t="s">
        <v>176</v>
      </c>
      <c r="J4" s="5" t="s">
        <v>177</v>
      </c>
      <c r="K4" s="5" t="s">
        <v>178</v>
      </c>
      <c r="L4" s="5" t="s">
        <v>179</v>
      </c>
      <c r="M4" s="5" t="s">
        <v>180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181</v>
      </c>
      <c r="S4" s="137" t="s">
        <v>183</v>
      </c>
      <c r="T4" s="137" t="s">
        <v>182</v>
      </c>
      <c r="U4" s="137" t="s">
        <v>184</v>
      </c>
      <c r="V4" s="137" t="s">
        <v>185</v>
      </c>
      <c r="W4" s="137" t="s">
        <v>186</v>
      </c>
      <c r="X4" s="137" t="s">
        <v>212</v>
      </c>
      <c r="Y4" s="137" t="s">
        <v>226</v>
      </c>
      <c r="Z4" s="137" t="s">
        <v>231</v>
      </c>
      <c r="AA4" s="137" t="s">
        <v>238</v>
      </c>
      <c r="AB4" s="137" t="s">
        <v>244</v>
      </c>
      <c r="AC4" s="137" t="s">
        <v>250</v>
      </c>
      <c r="AD4" s="137" t="s">
        <v>261</v>
      </c>
      <c r="AE4" s="137" t="s">
        <v>269</v>
      </c>
      <c r="AF4" s="137" t="s">
        <v>311</v>
      </c>
      <c r="AG4" s="137" t="s">
        <v>333</v>
      </c>
      <c r="AH4" s="137" t="s">
        <v>353</v>
      </c>
    </row>
    <row r="5" spans="2:34" x14ac:dyDescent="0.3">
      <c r="B5" s="14" t="s">
        <v>0</v>
      </c>
      <c r="C5" s="6" t="s">
        <v>14</v>
      </c>
      <c r="D5" s="10">
        <f>SUM(SOCIOS!$E5:$AH5)</f>
        <v>300</v>
      </c>
      <c r="E5" s="4">
        <v>10</v>
      </c>
      <c r="F5" s="4">
        <v>10</v>
      </c>
      <c r="G5" s="4">
        <v>10</v>
      </c>
      <c r="H5" s="4">
        <v>10</v>
      </c>
      <c r="I5" s="4">
        <v>10</v>
      </c>
      <c r="J5" s="4">
        <v>10</v>
      </c>
      <c r="K5" s="4">
        <v>10</v>
      </c>
      <c r="L5" s="4">
        <v>10</v>
      </c>
      <c r="M5" s="4">
        <v>10</v>
      </c>
      <c r="N5" s="4">
        <v>10</v>
      </c>
      <c r="O5" s="4">
        <v>10</v>
      </c>
      <c r="P5" s="4">
        <v>10</v>
      </c>
      <c r="Q5" s="4">
        <v>10</v>
      </c>
      <c r="R5" s="24">
        <v>10</v>
      </c>
      <c r="S5" s="24">
        <v>10</v>
      </c>
      <c r="T5" s="24">
        <v>10</v>
      </c>
      <c r="U5" s="24">
        <v>10</v>
      </c>
      <c r="V5" s="24">
        <v>10</v>
      </c>
      <c r="W5" s="24">
        <v>10</v>
      </c>
      <c r="X5" s="24">
        <v>10</v>
      </c>
      <c r="Y5" s="24">
        <v>10</v>
      </c>
      <c r="Z5" s="24">
        <v>10</v>
      </c>
      <c r="AA5" s="24">
        <v>10</v>
      </c>
      <c r="AB5" s="24">
        <v>10</v>
      </c>
      <c r="AC5" s="24">
        <v>10</v>
      </c>
      <c r="AD5" s="24">
        <v>10</v>
      </c>
      <c r="AE5" s="24">
        <v>10</v>
      </c>
      <c r="AF5" s="24">
        <v>10</v>
      </c>
      <c r="AG5" s="24">
        <v>10</v>
      </c>
      <c r="AH5" s="24">
        <v>10</v>
      </c>
    </row>
    <row r="6" spans="2:34" x14ac:dyDescent="0.3">
      <c r="B6" s="14" t="s">
        <v>1</v>
      </c>
      <c r="C6" s="6" t="s">
        <v>15</v>
      </c>
      <c r="D6" s="10">
        <f>SUM(SOCIOS!$E6:$AH6)</f>
        <v>300</v>
      </c>
      <c r="E6" s="4">
        <v>10</v>
      </c>
      <c r="F6" s="4">
        <v>10</v>
      </c>
      <c r="G6" s="4">
        <v>10</v>
      </c>
      <c r="H6" s="4">
        <v>10</v>
      </c>
      <c r="I6" s="4">
        <v>10</v>
      </c>
      <c r="J6" s="4">
        <v>10</v>
      </c>
      <c r="K6" s="4">
        <v>10</v>
      </c>
      <c r="L6" s="4">
        <v>10</v>
      </c>
      <c r="M6" s="4">
        <v>10</v>
      </c>
      <c r="N6" s="4">
        <v>10</v>
      </c>
      <c r="O6" s="4">
        <v>10</v>
      </c>
      <c r="P6" s="4">
        <v>10</v>
      </c>
      <c r="Q6" s="4">
        <v>10</v>
      </c>
      <c r="R6" s="24">
        <v>10</v>
      </c>
      <c r="S6" s="24">
        <v>10</v>
      </c>
      <c r="T6" s="24">
        <v>10</v>
      </c>
      <c r="U6" s="24">
        <v>10</v>
      </c>
      <c r="V6" s="24">
        <v>10</v>
      </c>
      <c r="W6" s="24">
        <v>10</v>
      </c>
      <c r="X6" s="24">
        <v>10</v>
      </c>
      <c r="Y6" s="24">
        <v>10</v>
      </c>
      <c r="Z6" s="24">
        <v>10</v>
      </c>
      <c r="AA6" s="24">
        <v>10</v>
      </c>
      <c r="AB6" s="24">
        <v>10</v>
      </c>
      <c r="AC6" s="24">
        <v>10</v>
      </c>
      <c r="AD6" s="24">
        <v>10</v>
      </c>
      <c r="AE6" s="24">
        <v>10</v>
      </c>
      <c r="AF6" s="24">
        <v>10</v>
      </c>
      <c r="AG6" s="24">
        <v>10</v>
      </c>
      <c r="AH6" s="24">
        <v>10</v>
      </c>
    </row>
    <row r="7" spans="2:34" x14ac:dyDescent="0.3">
      <c r="B7" s="14" t="s">
        <v>2</v>
      </c>
      <c r="C7" s="6" t="s">
        <v>16</v>
      </c>
      <c r="D7" s="10">
        <f>SUM(SOCIOS!$E7:$AH7)</f>
        <v>300</v>
      </c>
      <c r="E7" s="4">
        <v>10</v>
      </c>
      <c r="F7" s="4">
        <v>10</v>
      </c>
      <c r="G7" s="4">
        <v>10</v>
      </c>
      <c r="H7" s="4">
        <v>10</v>
      </c>
      <c r="I7" s="4">
        <v>10</v>
      </c>
      <c r="J7" s="4">
        <v>10</v>
      </c>
      <c r="K7" s="4">
        <v>10</v>
      </c>
      <c r="L7" s="4">
        <v>10</v>
      </c>
      <c r="M7" s="4">
        <v>10</v>
      </c>
      <c r="N7" s="4">
        <v>10</v>
      </c>
      <c r="O7" s="4">
        <v>10</v>
      </c>
      <c r="P7" s="4">
        <v>10</v>
      </c>
      <c r="Q7" s="4">
        <v>10</v>
      </c>
      <c r="R7" s="24">
        <v>10</v>
      </c>
      <c r="S7" s="24">
        <v>10</v>
      </c>
      <c r="T7" s="24">
        <v>10</v>
      </c>
      <c r="U7" s="24">
        <v>10</v>
      </c>
      <c r="V7" s="24">
        <v>10</v>
      </c>
      <c r="W7" s="24">
        <v>10</v>
      </c>
      <c r="X7" s="24">
        <v>10</v>
      </c>
      <c r="Y7" s="24">
        <v>10</v>
      </c>
      <c r="Z7" s="24">
        <v>10</v>
      </c>
      <c r="AA7" s="24">
        <v>10</v>
      </c>
      <c r="AB7" s="24">
        <v>10</v>
      </c>
      <c r="AC7" s="24">
        <v>10</v>
      </c>
      <c r="AD7" s="24">
        <v>10</v>
      </c>
      <c r="AE7" s="24">
        <v>10</v>
      </c>
      <c r="AF7" s="24">
        <v>10</v>
      </c>
      <c r="AG7" s="24">
        <v>10</v>
      </c>
      <c r="AH7" s="24">
        <v>10</v>
      </c>
    </row>
    <row r="8" spans="2:34" x14ac:dyDescent="0.3">
      <c r="B8" s="14" t="s">
        <v>3</v>
      </c>
      <c r="C8" s="6" t="s">
        <v>17</v>
      </c>
      <c r="D8" s="10">
        <f>SUM(SOCIOS!$E8:$AH8)</f>
        <v>300</v>
      </c>
      <c r="E8" s="4">
        <v>10</v>
      </c>
      <c r="F8" s="4">
        <v>10</v>
      </c>
      <c r="G8" s="4">
        <v>10</v>
      </c>
      <c r="H8" s="4">
        <v>10</v>
      </c>
      <c r="I8" s="4">
        <v>10</v>
      </c>
      <c r="J8" s="4">
        <v>10</v>
      </c>
      <c r="K8" s="4">
        <v>10</v>
      </c>
      <c r="L8" s="4">
        <v>10</v>
      </c>
      <c r="M8" s="4">
        <v>10</v>
      </c>
      <c r="N8" s="4">
        <v>10</v>
      </c>
      <c r="O8" s="4">
        <v>10</v>
      </c>
      <c r="P8" s="4">
        <v>10</v>
      </c>
      <c r="Q8" s="4">
        <v>10</v>
      </c>
      <c r="R8" s="24">
        <v>10</v>
      </c>
      <c r="S8" s="24">
        <v>10</v>
      </c>
      <c r="T8" s="24">
        <v>10</v>
      </c>
      <c r="U8" s="24">
        <v>10</v>
      </c>
      <c r="V8" s="24">
        <v>10</v>
      </c>
      <c r="W8" s="24">
        <v>10</v>
      </c>
      <c r="X8" s="24">
        <v>10</v>
      </c>
      <c r="Y8" s="24">
        <v>10</v>
      </c>
      <c r="Z8" s="24">
        <v>10</v>
      </c>
      <c r="AA8" s="24">
        <v>10</v>
      </c>
      <c r="AB8" s="24">
        <v>10</v>
      </c>
      <c r="AC8" s="24">
        <v>10</v>
      </c>
      <c r="AD8" s="24">
        <v>10</v>
      </c>
      <c r="AE8" s="24">
        <v>10</v>
      </c>
      <c r="AF8" s="24">
        <v>10</v>
      </c>
      <c r="AG8" s="24">
        <v>10</v>
      </c>
      <c r="AH8" s="24">
        <v>10</v>
      </c>
    </row>
    <row r="9" spans="2:34" x14ac:dyDescent="0.3">
      <c r="B9" s="14" t="s">
        <v>4</v>
      </c>
      <c r="C9" s="6" t="s">
        <v>18</v>
      </c>
      <c r="D9" s="10">
        <f>SUM(SOCIOS!$E9:$AH9)</f>
        <v>300</v>
      </c>
      <c r="E9" s="4">
        <v>10</v>
      </c>
      <c r="F9" s="4">
        <v>10</v>
      </c>
      <c r="G9" s="4">
        <v>10</v>
      </c>
      <c r="H9" s="4">
        <v>10</v>
      </c>
      <c r="I9" s="4">
        <v>10</v>
      </c>
      <c r="J9" s="4">
        <v>10</v>
      </c>
      <c r="K9" s="4">
        <v>10</v>
      </c>
      <c r="L9" s="4">
        <v>10</v>
      </c>
      <c r="M9" s="4">
        <v>10</v>
      </c>
      <c r="N9" s="4">
        <v>10</v>
      </c>
      <c r="O9" s="4">
        <v>10</v>
      </c>
      <c r="P9" s="4">
        <v>10</v>
      </c>
      <c r="Q9" s="4">
        <v>10</v>
      </c>
      <c r="R9" s="24">
        <v>10</v>
      </c>
      <c r="S9" s="24">
        <v>10</v>
      </c>
      <c r="T9" s="24">
        <v>10</v>
      </c>
      <c r="U9" s="24">
        <v>10</v>
      </c>
      <c r="V9" s="24">
        <v>10</v>
      </c>
      <c r="W9" s="24">
        <v>10</v>
      </c>
      <c r="X9" s="24">
        <v>10</v>
      </c>
      <c r="Y9" s="24">
        <v>10</v>
      </c>
      <c r="Z9" s="24">
        <v>10</v>
      </c>
      <c r="AA9" s="24">
        <v>10</v>
      </c>
      <c r="AB9" s="24">
        <v>10</v>
      </c>
      <c r="AC9" s="24">
        <v>10</v>
      </c>
      <c r="AD9" s="24">
        <v>10</v>
      </c>
      <c r="AE9" s="24">
        <v>10</v>
      </c>
      <c r="AF9" s="24">
        <v>10</v>
      </c>
      <c r="AG9" s="24">
        <v>10</v>
      </c>
      <c r="AH9" s="24">
        <v>10</v>
      </c>
    </row>
    <row r="10" spans="2:34" x14ac:dyDescent="0.3">
      <c r="B10" s="14" t="s">
        <v>5</v>
      </c>
      <c r="C10" s="6" t="s">
        <v>19</v>
      </c>
      <c r="D10" s="10">
        <f>SUM(SOCIOS!$E10:$AH10)</f>
        <v>300</v>
      </c>
      <c r="E10" s="4">
        <v>10</v>
      </c>
      <c r="F10" s="4">
        <v>10</v>
      </c>
      <c r="G10" s="4">
        <v>10</v>
      </c>
      <c r="H10" s="4">
        <v>10</v>
      </c>
      <c r="I10" s="4">
        <v>10</v>
      </c>
      <c r="J10" s="4">
        <v>10</v>
      </c>
      <c r="K10" s="4">
        <v>10</v>
      </c>
      <c r="L10" s="4">
        <v>10</v>
      </c>
      <c r="M10" s="4">
        <v>10</v>
      </c>
      <c r="N10" s="4">
        <v>10</v>
      </c>
      <c r="O10" s="4">
        <v>10</v>
      </c>
      <c r="P10" s="4">
        <v>10</v>
      </c>
      <c r="Q10" s="4">
        <v>10</v>
      </c>
      <c r="R10" s="24">
        <v>10</v>
      </c>
      <c r="S10" s="24">
        <v>10</v>
      </c>
      <c r="T10" s="24">
        <v>10</v>
      </c>
      <c r="U10" s="24">
        <v>10</v>
      </c>
      <c r="V10" s="24">
        <v>10</v>
      </c>
      <c r="W10" s="24">
        <v>10</v>
      </c>
      <c r="X10" s="24">
        <v>10</v>
      </c>
      <c r="Y10" s="24">
        <v>10</v>
      </c>
      <c r="Z10" s="24">
        <v>10</v>
      </c>
      <c r="AA10" s="24">
        <v>10</v>
      </c>
      <c r="AB10" s="24">
        <v>10</v>
      </c>
      <c r="AC10" s="24">
        <v>10</v>
      </c>
      <c r="AD10" s="24">
        <v>10</v>
      </c>
      <c r="AE10" s="24">
        <v>10</v>
      </c>
      <c r="AF10" s="24">
        <v>10</v>
      </c>
      <c r="AG10" s="24">
        <v>10</v>
      </c>
      <c r="AH10" s="24">
        <v>10</v>
      </c>
    </row>
    <row r="11" spans="2:34" x14ac:dyDescent="0.3">
      <c r="B11" s="14" t="s">
        <v>6</v>
      </c>
      <c r="C11" s="6" t="s">
        <v>20</v>
      </c>
      <c r="D11" s="10">
        <f>SUM(SOCIOS!$E11:$AH11)</f>
        <v>300</v>
      </c>
      <c r="E11" s="4">
        <v>10</v>
      </c>
      <c r="F11" s="4">
        <v>10</v>
      </c>
      <c r="G11" s="4">
        <v>10</v>
      </c>
      <c r="H11" s="4">
        <v>10</v>
      </c>
      <c r="I11" s="4">
        <v>10</v>
      </c>
      <c r="J11" s="4">
        <v>10</v>
      </c>
      <c r="K11" s="4">
        <v>10</v>
      </c>
      <c r="L11" s="4">
        <v>10</v>
      </c>
      <c r="M11" s="4">
        <v>10</v>
      </c>
      <c r="N11" s="4">
        <v>10</v>
      </c>
      <c r="O11" s="4">
        <v>10</v>
      </c>
      <c r="P11" s="4">
        <v>10</v>
      </c>
      <c r="Q11" s="4">
        <v>10</v>
      </c>
      <c r="R11" s="24">
        <v>10</v>
      </c>
      <c r="S11" s="24">
        <v>10</v>
      </c>
      <c r="T11" s="24">
        <v>10</v>
      </c>
      <c r="U11" s="24">
        <v>10</v>
      </c>
      <c r="V11" s="24">
        <v>10</v>
      </c>
      <c r="W11" s="24">
        <v>10</v>
      </c>
      <c r="X11" s="24">
        <v>10</v>
      </c>
      <c r="Y11" s="24">
        <v>10</v>
      </c>
      <c r="Z11" s="24">
        <v>10</v>
      </c>
      <c r="AA11" s="24">
        <v>10</v>
      </c>
      <c r="AB11" s="24">
        <v>10</v>
      </c>
      <c r="AC11" s="24">
        <v>10</v>
      </c>
      <c r="AD11" s="24">
        <v>10</v>
      </c>
      <c r="AE11" s="24">
        <v>10</v>
      </c>
      <c r="AF11" s="24">
        <v>10</v>
      </c>
      <c r="AG11" s="24">
        <v>10</v>
      </c>
      <c r="AH11" s="24">
        <v>10</v>
      </c>
    </row>
    <row r="12" spans="2:34" x14ac:dyDescent="0.3">
      <c r="B12" s="14" t="s">
        <v>7</v>
      </c>
      <c r="C12" s="6" t="s">
        <v>21</v>
      </c>
      <c r="D12" s="10">
        <f>SUM(SOCIOS!$E12:$AH12)</f>
        <v>300</v>
      </c>
      <c r="E12" s="4">
        <v>10</v>
      </c>
      <c r="F12" s="4">
        <v>10</v>
      </c>
      <c r="G12" s="4">
        <v>10</v>
      </c>
      <c r="H12" s="4">
        <v>10</v>
      </c>
      <c r="I12" s="4">
        <v>10</v>
      </c>
      <c r="J12" s="4">
        <v>10</v>
      </c>
      <c r="K12" s="4">
        <v>10</v>
      </c>
      <c r="L12" s="4">
        <v>10</v>
      </c>
      <c r="M12" s="4">
        <v>10</v>
      </c>
      <c r="N12" s="4">
        <v>10</v>
      </c>
      <c r="O12" s="4">
        <v>10</v>
      </c>
      <c r="P12" s="4">
        <v>10</v>
      </c>
      <c r="Q12" s="4">
        <v>10</v>
      </c>
      <c r="R12" s="24">
        <v>10</v>
      </c>
      <c r="S12" s="24">
        <v>10</v>
      </c>
      <c r="T12" s="24">
        <v>10</v>
      </c>
      <c r="U12" s="24">
        <v>10</v>
      </c>
      <c r="V12" s="24">
        <v>10</v>
      </c>
      <c r="W12" s="24">
        <v>10</v>
      </c>
      <c r="X12" s="24">
        <v>10</v>
      </c>
      <c r="Y12" s="24">
        <v>10</v>
      </c>
      <c r="Z12" s="24">
        <v>10</v>
      </c>
      <c r="AA12" s="24">
        <v>10</v>
      </c>
      <c r="AB12" s="24">
        <v>10</v>
      </c>
      <c r="AC12" s="24">
        <v>10</v>
      </c>
      <c r="AD12" s="24">
        <v>10</v>
      </c>
      <c r="AE12" s="24">
        <v>10</v>
      </c>
      <c r="AF12" s="24">
        <v>10</v>
      </c>
      <c r="AG12" s="24">
        <v>10</v>
      </c>
      <c r="AH12" s="24">
        <v>10</v>
      </c>
    </row>
    <row r="13" spans="2:34" x14ac:dyDescent="0.3">
      <c r="B13" s="14" t="s">
        <v>8</v>
      </c>
      <c r="C13" s="6" t="s">
        <v>22</v>
      </c>
      <c r="D13" s="10">
        <f>SUM(SOCIOS!$E13:$AH13)</f>
        <v>300</v>
      </c>
      <c r="E13" s="4">
        <v>10</v>
      </c>
      <c r="F13" s="4">
        <v>10</v>
      </c>
      <c r="G13" s="4">
        <v>10</v>
      </c>
      <c r="H13" s="4">
        <v>10</v>
      </c>
      <c r="I13" s="4">
        <v>10</v>
      </c>
      <c r="J13" s="4">
        <v>10</v>
      </c>
      <c r="K13" s="4">
        <v>10</v>
      </c>
      <c r="L13" s="4">
        <v>10</v>
      </c>
      <c r="M13" s="4">
        <v>10</v>
      </c>
      <c r="N13" s="4">
        <v>10</v>
      </c>
      <c r="O13" s="4">
        <v>10</v>
      </c>
      <c r="P13" s="4">
        <v>10</v>
      </c>
      <c r="Q13" s="4">
        <v>10</v>
      </c>
      <c r="R13" s="24">
        <v>10</v>
      </c>
      <c r="S13" s="24">
        <v>10</v>
      </c>
      <c r="T13" s="24">
        <v>10</v>
      </c>
      <c r="U13" s="24">
        <v>10</v>
      </c>
      <c r="V13" s="24">
        <v>10</v>
      </c>
      <c r="W13" s="24">
        <v>10</v>
      </c>
      <c r="X13" s="24">
        <v>10</v>
      </c>
      <c r="Y13" s="24">
        <v>10</v>
      </c>
      <c r="Z13" s="24">
        <v>10</v>
      </c>
      <c r="AA13" s="24">
        <v>10</v>
      </c>
      <c r="AB13" s="24">
        <v>10</v>
      </c>
      <c r="AC13" s="24">
        <v>10</v>
      </c>
      <c r="AD13" s="24">
        <v>10</v>
      </c>
      <c r="AE13" s="24">
        <v>10</v>
      </c>
      <c r="AF13" s="24">
        <v>10</v>
      </c>
      <c r="AG13" s="24">
        <v>10</v>
      </c>
      <c r="AH13" s="24">
        <v>10</v>
      </c>
    </row>
    <row r="14" spans="2:34" x14ac:dyDescent="0.3">
      <c r="B14" s="14" t="s">
        <v>9</v>
      </c>
      <c r="C14" s="6" t="s">
        <v>23</v>
      </c>
      <c r="D14" s="10">
        <f>SUM(SOCIOS!$E14:$AH14)</f>
        <v>300</v>
      </c>
      <c r="E14" s="4">
        <v>10</v>
      </c>
      <c r="F14" s="4">
        <v>10</v>
      </c>
      <c r="G14" s="4">
        <v>10</v>
      </c>
      <c r="H14" s="4">
        <v>10</v>
      </c>
      <c r="I14" s="4">
        <v>10</v>
      </c>
      <c r="J14" s="4">
        <v>10</v>
      </c>
      <c r="K14" s="4">
        <v>10</v>
      </c>
      <c r="L14" s="4">
        <v>10</v>
      </c>
      <c r="M14" s="4">
        <v>10</v>
      </c>
      <c r="N14" s="4">
        <v>10</v>
      </c>
      <c r="O14" s="4">
        <v>10</v>
      </c>
      <c r="P14" s="4">
        <v>10</v>
      </c>
      <c r="Q14" s="4">
        <v>10</v>
      </c>
      <c r="R14" s="24">
        <v>10</v>
      </c>
      <c r="S14" s="24">
        <v>10</v>
      </c>
      <c r="T14" s="24">
        <v>10</v>
      </c>
      <c r="U14" s="24">
        <v>10</v>
      </c>
      <c r="V14" s="24">
        <v>10</v>
      </c>
      <c r="W14" s="24">
        <v>10</v>
      </c>
      <c r="X14" s="24">
        <v>10</v>
      </c>
      <c r="Y14" s="24">
        <v>10</v>
      </c>
      <c r="Z14" s="24">
        <v>10</v>
      </c>
      <c r="AA14" s="24">
        <v>10</v>
      </c>
      <c r="AB14" s="24">
        <v>10</v>
      </c>
      <c r="AC14" s="24">
        <v>10</v>
      </c>
      <c r="AD14" s="24">
        <v>10</v>
      </c>
      <c r="AE14" s="24">
        <v>10</v>
      </c>
      <c r="AF14" s="24">
        <v>10</v>
      </c>
      <c r="AG14" s="24">
        <v>10</v>
      </c>
      <c r="AH14" s="24">
        <v>10</v>
      </c>
    </row>
    <row r="15" spans="2:34" x14ac:dyDescent="0.3">
      <c r="B15" s="14" t="s">
        <v>10</v>
      </c>
      <c r="C15" s="6" t="s">
        <v>24</v>
      </c>
      <c r="D15" s="10">
        <f>SUM(SOCIOS!$E15:$AH15)</f>
        <v>300</v>
      </c>
      <c r="E15" s="4">
        <v>10</v>
      </c>
      <c r="F15" s="4">
        <v>10</v>
      </c>
      <c r="G15" s="4">
        <v>10</v>
      </c>
      <c r="H15" s="4">
        <v>10</v>
      </c>
      <c r="I15" s="4">
        <v>10</v>
      </c>
      <c r="J15" s="4">
        <v>10</v>
      </c>
      <c r="K15" s="4">
        <v>10</v>
      </c>
      <c r="L15" s="4">
        <v>10</v>
      </c>
      <c r="M15" s="4">
        <v>10</v>
      </c>
      <c r="N15" s="4">
        <v>10</v>
      </c>
      <c r="O15" s="4">
        <v>10</v>
      </c>
      <c r="P15" s="4">
        <v>10</v>
      </c>
      <c r="Q15" s="4">
        <v>10</v>
      </c>
      <c r="R15" s="24">
        <v>10</v>
      </c>
      <c r="S15" s="24">
        <v>10</v>
      </c>
      <c r="T15" s="24">
        <v>10</v>
      </c>
      <c r="U15" s="24">
        <v>10</v>
      </c>
      <c r="V15" s="24">
        <v>10</v>
      </c>
      <c r="W15" s="24">
        <v>10</v>
      </c>
      <c r="X15" s="24">
        <v>10</v>
      </c>
      <c r="Y15" s="24">
        <v>10</v>
      </c>
      <c r="Z15" s="24">
        <v>10</v>
      </c>
      <c r="AA15" s="24">
        <v>10</v>
      </c>
      <c r="AB15" s="24">
        <v>10</v>
      </c>
      <c r="AC15" s="24">
        <v>10</v>
      </c>
      <c r="AD15" s="24">
        <v>10</v>
      </c>
      <c r="AE15" s="24">
        <v>10</v>
      </c>
      <c r="AF15" s="24">
        <v>10</v>
      </c>
      <c r="AG15" s="24">
        <v>10</v>
      </c>
      <c r="AH15" s="24">
        <v>10</v>
      </c>
    </row>
    <row r="16" spans="2:34" x14ac:dyDescent="0.3">
      <c r="B16" s="14" t="s">
        <v>11</v>
      </c>
      <c r="C16" s="6" t="s">
        <v>25</v>
      </c>
      <c r="D16" s="10">
        <f>SUM(SOCIOS!$E16:$AH16)</f>
        <v>300</v>
      </c>
      <c r="E16" s="4">
        <v>10</v>
      </c>
      <c r="F16" s="4">
        <v>10</v>
      </c>
      <c r="G16" s="4">
        <v>10</v>
      </c>
      <c r="H16" s="4">
        <v>10</v>
      </c>
      <c r="I16" s="4">
        <v>10</v>
      </c>
      <c r="J16" s="4">
        <v>10</v>
      </c>
      <c r="K16" s="4">
        <v>10</v>
      </c>
      <c r="L16" s="4">
        <v>10</v>
      </c>
      <c r="M16" s="4">
        <v>10</v>
      </c>
      <c r="N16" s="4">
        <v>10</v>
      </c>
      <c r="O16" s="4">
        <v>10</v>
      </c>
      <c r="P16" s="4">
        <v>10</v>
      </c>
      <c r="Q16" s="4">
        <v>10</v>
      </c>
      <c r="R16" s="24">
        <v>10</v>
      </c>
      <c r="S16" s="24">
        <v>10</v>
      </c>
      <c r="T16" s="24">
        <v>10</v>
      </c>
      <c r="U16" s="24">
        <v>10</v>
      </c>
      <c r="V16" s="24">
        <v>10</v>
      </c>
      <c r="W16" s="24">
        <v>10</v>
      </c>
      <c r="X16" s="24">
        <v>10</v>
      </c>
      <c r="Y16" s="24">
        <v>10</v>
      </c>
      <c r="Z16" s="24">
        <v>10</v>
      </c>
      <c r="AA16" s="24">
        <v>10</v>
      </c>
      <c r="AB16" s="24">
        <v>10</v>
      </c>
      <c r="AC16" s="24">
        <v>10</v>
      </c>
      <c r="AD16" s="24">
        <v>10</v>
      </c>
      <c r="AE16" s="24">
        <v>10</v>
      </c>
      <c r="AF16" s="24">
        <v>10</v>
      </c>
      <c r="AG16" s="24">
        <v>10</v>
      </c>
      <c r="AH16" s="24">
        <v>10</v>
      </c>
    </row>
    <row r="17" spans="1:34" x14ac:dyDescent="0.3">
      <c r="B17" s="14" t="s">
        <v>12</v>
      </c>
      <c r="C17" s="6" t="s">
        <v>26</v>
      </c>
      <c r="D17" s="10">
        <f>SUM(SOCIOS!$E17:$AH17)</f>
        <v>300</v>
      </c>
      <c r="E17" s="4">
        <v>10</v>
      </c>
      <c r="F17" s="4">
        <v>10</v>
      </c>
      <c r="G17" s="4">
        <v>10</v>
      </c>
      <c r="H17" s="4">
        <v>10</v>
      </c>
      <c r="I17" s="4">
        <v>10</v>
      </c>
      <c r="J17" s="4">
        <v>10</v>
      </c>
      <c r="K17" s="4">
        <v>10</v>
      </c>
      <c r="L17" s="4">
        <v>10</v>
      </c>
      <c r="M17" s="4">
        <v>10</v>
      </c>
      <c r="N17" s="4">
        <v>10</v>
      </c>
      <c r="O17" s="4">
        <v>10</v>
      </c>
      <c r="P17" s="4">
        <v>10</v>
      </c>
      <c r="Q17" s="4">
        <v>10</v>
      </c>
      <c r="R17" s="24">
        <v>10</v>
      </c>
      <c r="S17" s="24">
        <v>10</v>
      </c>
      <c r="T17" s="24">
        <v>10</v>
      </c>
      <c r="U17" s="24">
        <v>10</v>
      </c>
      <c r="V17" s="24">
        <v>10</v>
      </c>
      <c r="W17" s="24">
        <v>10</v>
      </c>
      <c r="X17" s="24">
        <v>10</v>
      </c>
      <c r="Y17" s="24">
        <v>10</v>
      </c>
      <c r="Z17" s="24">
        <v>10</v>
      </c>
      <c r="AA17" s="24">
        <v>10</v>
      </c>
      <c r="AB17" s="24">
        <v>10</v>
      </c>
      <c r="AC17" s="24">
        <v>10</v>
      </c>
      <c r="AD17" s="24">
        <v>10</v>
      </c>
      <c r="AE17" s="24">
        <v>10</v>
      </c>
      <c r="AF17" s="24">
        <v>10</v>
      </c>
      <c r="AG17" s="24">
        <v>10</v>
      </c>
      <c r="AH17" s="24">
        <v>10</v>
      </c>
    </row>
    <row r="18" spans="1:34" x14ac:dyDescent="0.3">
      <c r="B18" s="1"/>
      <c r="C18" s="9" t="s">
        <v>27</v>
      </c>
      <c r="D18" s="12">
        <f>SUM(D5:D17)</f>
        <v>3900</v>
      </c>
      <c r="E18" s="3">
        <f>SUM(SOCIOS!E5:E17)</f>
        <v>130</v>
      </c>
      <c r="F18" s="3">
        <f>SUM(SOCIOS!F5:F17)</f>
        <v>130</v>
      </c>
      <c r="G18" s="3">
        <f>SUM(SOCIOS!G5:G17)</f>
        <v>130</v>
      </c>
      <c r="H18" s="3">
        <f>SUM(SOCIOS!H5:H17)</f>
        <v>130</v>
      </c>
      <c r="I18" s="3">
        <f>SUM(SOCIOS!I5:I17)</f>
        <v>130</v>
      </c>
      <c r="J18" s="3">
        <f>SUM(SOCIOS!J5:J17)</f>
        <v>130</v>
      </c>
      <c r="K18" s="3">
        <f>SUM(SOCIOS!K5:K17)</f>
        <v>130</v>
      </c>
      <c r="L18" s="3">
        <f>SUM(SOCIOS!L5:L17)</f>
        <v>130</v>
      </c>
      <c r="M18" s="3">
        <f>SUM(SOCIOS!M5:M17)</f>
        <v>130</v>
      </c>
      <c r="N18" s="3">
        <f>SUM(SOCIOS!N5:N17)</f>
        <v>130</v>
      </c>
      <c r="O18" s="3">
        <f>SUM(SOCIOS!O5:O17)</f>
        <v>130</v>
      </c>
      <c r="P18" s="3">
        <f>SUM(SOCIOS!P5:P17)</f>
        <v>130</v>
      </c>
      <c r="Q18" s="3">
        <f>SUM(SOCIOS!Q5:Q17)</f>
        <v>130</v>
      </c>
      <c r="R18" s="3">
        <f>SUM(SOCIOS!R5:R17)</f>
        <v>130</v>
      </c>
      <c r="S18" s="3">
        <f>SUM(SOCIOS!S5:S17)</f>
        <v>130</v>
      </c>
      <c r="T18" s="3">
        <f>SUM(SOCIOS!T5:T17)</f>
        <v>130</v>
      </c>
      <c r="U18" s="3">
        <f>SUM(SOCIOS!U5:U17)</f>
        <v>130</v>
      </c>
      <c r="V18" s="3">
        <f>SUM(SOCIOS!V5:V17)</f>
        <v>130</v>
      </c>
      <c r="W18" s="3">
        <f>SUM(SOCIOS!W5:W17)</f>
        <v>130</v>
      </c>
      <c r="X18" s="3">
        <f>SUM(SOCIOS!X5:X17)</f>
        <v>130</v>
      </c>
      <c r="Y18" s="3">
        <f>SUM(SOCIOS!Y5:Y17)</f>
        <v>130</v>
      </c>
      <c r="Z18" s="3">
        <f>SUM(SOCIOS!Z5:Z17)</f>
        <v>130</v>
      </c>
      <c r="AA18" s="3">
        <f>SUM(SOCIOS!AA5:AA17)</f>
        <v>130</v>
      </c>
      <c r="AB18" s="3">
        <f>SUM(SOCIOS!AB5:AB17)</f>
        <v>130</v>
      </c>
      <c r="AC18" s="3">
        <f>SUM(SOCIOS!AC5:AC17)</f>
        <v>130</v>
      </c>
      <c r="AD18" s="3">
        <f>SUM(SOCIOS!AD5:AD17)</f>
        <v>130</v>
      </c>
      <c r="AE18" s="3">
        <f>SUM(SOCIOS!AE5:AE17)</f>
        <v>130</v>
      </c>
      <c r="AF18" s="3">
        <f>SUM(SOCIOS!AF5:AF17)</f>
        <v>130</v>
      </c>
      <c r="AG18" s="3">
        <f>SUM(SOCIOS!AG5:AG17)</f>
        <v>130</v>
      </c>
      <c r="AH18" s="3">
        <f>SUM(SOCIOS!AH5:AH17)</f>
        <v>130</v>
      </c>
    </row>
    <row r="19" spans="1:34" x14ac:dyDescent="0.3">
      <c r="B19" s="1"/>
      <c r="D19" s="23"/>
    </row>
    <row r="20" spans="1:34" x14ac:dyDescent="0.3">
      <c r="A20" s="210"/>
      <c r="B20" s="212" t="s">
        <v>48</v>
      </c>
      <c r="C20" s="211" t="s">
        <v>50</v>
      </c>
      <c r="D20" s="211" t="s">
        <v>74</v>
      </c>
    </row>
    <row r="21" spans="1:34" x14ac:dyDescent="0.3">
      <c r="B21" s="213">
        <f>ROW()-ROW(APORTACIONESOCIOS[[#Headers],['#]])</f>
        <v>1</v>
      </c>
      <c r="C21" s="214">
        <f>E$3</f>
        <v>44788</v>
      </c>
      <c r="D21" s="23">
        <f t="shared" ref="D21:D45" si="0">$E$18</f>
        <v>130</v>
      </c>
    </row>
    <row r="22" spans="1:34" x14ac:dyDescent="0.3">
      <c r="B22" s="213">
        <f>ROW()-ROW(APORTACIONESOCIOS[[#Headers],['#]])</f>
        <v>2</v>
      </c>
      <c r="C22" s="214">
        <v>44819</v>
      </c>
      <c r="D22" s="23">
        <f t="shared" si="0"/>
        <v>130</v>
      </c>
    </row>
    <row r="23" spans="1:34" x14ac:dyDescent="0.3">
      <c r="B23" s="213">
        <f>ROW()-ROW(APORTACIONESOCIOS[[#Headers],['#]])</f>
        <v>3</v>
      </c>
      <c r="C23" s="214">
        <v>44849</v>
      </c>
      <c r="D23" s="23">
        <f t="shared" si="0"/>
        <v>130</v>
      </c>
    </row>
    <row r="24" spans="1:34" x14ac:dyDescent="0.3">
      <c r="B24" s="213">
        <f>ROW()-ROW(APORTACIONESOCIOS[[#Headers],['#]])</f>
        <v>4</v>
      </c>
      <c r="C24" s="214">
        <v>44880</v>
      </c>
      <c r="D24" s="23">
        <f t="shared" si="0"/>
        <v>130</v>
      </c>
    </row>
    <row r="25" spans="1:34" x14ac:dyDescent="0.3">
      <c r="B25" s="213">
        <f>ROW()-ROW(APORTACIONESOCIOS[[#Headers],['#]])</f>
        <v>5</v>
      </c>
      <c r="C25" s="214">
        <v>44910</v>
      </c>
      <c r="D25" s="23">
        <f t="shared" si="0"/>
        <v>130</v>
      </c>
    </row>
    <row r="26" spans="1:34" x14ac:dyDescent="0.3">
      <c r="B26" s="213">
        <f>ROW()-ROW(APORTACIONESOCIOS[[#Headers],['#]])</f>
        <v>6</v>
      </c>
      <c r="C26" s="214">
        <v>44941</v>
      </c>
      <c r="D26" s="23">
        <f t="shared" si="0"/>
        <v>130</v>
      </c>
    </row>
    <row r="27" spans="1:34" x14ac:dyDescent="0.3">
      <c r="B27" s="213">
        <f>ROW()-ROW(APORTACIONESOCIOS[[#Headers],['#]])</f>
        <v>7</v>
      </c>
      <c r="C27" s="214">
        <v>44972</v>
      </c>
      <c r="D27" s="23">
        <f t="shared" si="0"/>
        <v>130</v>
      </c>
    </row>
    <row r="28" spans="1:34" x14ac:dyDescent="0.3">
      <c r="B28" s="213">
        <f>ROW()-ROW(APORTACIONESOCIOS[[#Headers],['#]])</f>
        <v>8</v>
      </c>
      <c r="C28" s="214">
        <v>45000</v>
      </c>
      <c r="D28" s="23">
        <f t="shared" si="0"/>
        <v>130</v>
      </c>
    </row>
    <row r="29" spans="1:34" x14ac:dyDescent="0.3">
      <c r="B29" s="213">
        <f>ROW()-ROW(APORTACIONESOCIOS[[#Headers],['#]])</f>
        <v>9</v>
      </c>
      <c r="C29" s="214">
        <v>45031</v>
      </c>
      <c r="D29" s="23">
        <f t="shared" si="0"/>
        <v>130</v>
      </c>
    </row>
    <row r="30" spans="1:34" x14ac:dyDescent="0.3">
      <c r="B30" s="213">
        <f>ROW()-ROW(APORTACIONESOCIOS[[#Headers],['#]])</f>
        <v>10</v>
      </c>
      <c r="C30" s="214">
        <v>45061</v>
      </c>
      <c r="D30" s="23">
        <f t="shared" si="0"/>
        <v>130</v>
      </c>
    </row>
    <row r="31" spans="1:34" x14ac:dyDescent="0.3">
      <c r="B31" s="213">
        <f>ROW()-ROW(APORTACIONESOCIOS[[#Headers],['#]])</f>
        <v>11</v>
      </c>
      <c r="C31" s="214">
        <v>45092</v>
      </c>
      <c r="D31" s="23">
        <f t="shared" si="0"/>
        <v>130</v>
      </c>
    </row>
    <row r="32" spans="1:34" x14ac:dyDescent="0.3">
      <c r="B32" s="213">
        <f>ROW()-ROW(APORTACIONESOCIOS[[#Headers],['#]])</f>
        <v>12</v>
      </c>
      <c r="C32" s="214">
        <v>45122</v>
      </c>
      <c r="D32" s="23">
        <f t="shared" si="0"/>
        <v>130</v>
      </c>
    </row>
    <row r="33" spans="2:4" x14ac:dyDescent="0.3">
      <c r="B33" s="213">
        <f>ROW()-ROW(APORTACIONESOCIOS[[#Headers],['#]])</f>
        <v>13</v>
      </c>
      <c r="C33" s="214">
        <v>45153</v>
      </c>
      <c r="D33" s="23">
        <f t="shared" si="0"/>
        <v>130</v>
      </c>
    </row>
    <row r="34" spans="2:4" x14ac:dyDescent="0.3">
      <c r="B34" s="213">
        <f>ROW()-ROW(APORTACIONESOCIOS[[#Headers],['#]])</f>
        <v>14</v>
      </c>
      <c r="C34" s="214">
        <v>45184</v>
      </c>
      <c r="D34" s="23">
        <f t="shared" si="0"/>
        <v>130</v>
      </c>
    </row>
    <row r="35" spans="2:4" x14ac:dyDescent="0.3">
      <c r="B35" s="213">
        <f>ROW()-ROW(APORTACIONESOCIOS[[#Headers],['#]])</f>
        <v>15</v>
      </c>
      <c r="C35" s="214">
        <v>45214</v>
      </c>
      <c r="D35" s="23">
        <f t="shared" si="0"/>
        <v>130</v>
      </c>
    </row>
    <row r="36" spans="2:4" x14ac:dyDescent="0.3">
      <c r="B36" s="213">
        <f>ROW()-ROW(APORTACIONESOCIOS[[#Headers],['#]])</f>
        <v>16</v>
      </c>
      <c r="C36" s="214">
        <v>45245</v>
      </c>
      <c r="D36" s="23">
        <f t="shared" si="0"/>
        <v>130</v>
      </c>
    </row>
    <row r="37" spans="2:4" x14ac:dyDescent="0.3">
      <c r="B37" s="213">
        <f>ROW()-ROW(APORTACIONESOCIOS[[#Headers],['#]])</f>
        <v>17</v>
      </c>
      <c r="C37" s="214">
        <v>45275</v>
      </c>
      <c r="D37" s="23">
        <f t="shared" si="0"/>
        <v>130</v>
      </c>
    </row>
    <row r="38" spans="2:4" x14ac:dyDescent="0.3">
      <c r="B38" s="213">
        <f>ROW()-ROW(APORTACIONESOCIOS[[#Headers],['#]])</f>
        <v>18</v>
      </c>
      <c r="C38" s="214">
        <v>45306</v>
      </c>
      <c r="D38" s="23">
        <f t="shared" si="0"/>
        <v>130</v>
      </c>
    </row>
    <row r="39" spans="2:4" x14ac:dyDescent="0.3">
      <c r="B39" s="213">
        <f>ROW()-ROW(APORTACIONESOCIOS[[#Headers],['#]])</f>
        <v>19</v>
      </c>
      <c r="C39" s="214">
        <v>45337</v>
      </c>
      <c r="D39" s="23">
        <f t="shared" si="0"/>
        <v>130</v>
      </c>
    </row>
    <row r="40" spans="2:4" x14ac:dyDescent="0.3">
      <c r="B40" s="213">
        <f>ROW()-ROW(APORTACIONESOCIOS[[#Headers],['#]])</f>
        <v>20</v>
      </c>
      <c r="C40" s="214">
        <v>45366</v>
      </c>
      <c r="D40" s="23">
        <f t="shared" si="0"/>
        <v>130</v>
      </c>
    </row>
    <row r="41" spans="2:4" x14ac:dyDescent="0.3">
      <c r="B41" s="213">
        <f>ROW()-ROW(APORTACIONESOCIOS[[#Headers],['#]])</f>
        <v>21</v>
      </c>
      <c r="C41" s="214">
        <v>45397</v>
      </c>
      <c r="D41" s="23">
        <f t="shared" si="0"/>
        <v>130</v>
      </c>
    </row>
    <row r="42" spans="2:4" x14ac:dyDescent="0.3">
      <c r="B42" s="213">
        <f>ROW()-ROW(APORTACIONESOCIOS[[#Headers],['#]])</f>
        <v>22</v>
      </c>
      <c r="C42" s="214">
        <v>45427</v>
      </c>
      <c r="D42" s="23">
        <f t="shared" si="0"/>
        <v>130</v>
      </c>
    </row>
    <row r="43" spans="2:4" x14ac:dyDescent="0.3">
      <c r="B43" s="213">
        <f>ROW()-ROW(APORTACIONESOCIOS[[#Headers],['#]])</f>
        <v>23</v>
      </c>
      <c r="C43" s="214">
        <v>45458</v>
      </c>
      <c r="D43" s="23">
        <f t="shared" si="0"/>
        <v>130</v>
      </c>
    </row>
    <row r="44" spans="2:4" x14ac:dyDescent="0.3">
      <c r="B44" s="213">
        <f>ROW()-ROW(APORTACIONESOCIOS[[#Headers],['#]])</f>
        <v>24</v>
      </c>
      <c r="C44" s="214">
        <v>45488</v>
      </c>
      <c r="D44" s="23">
        <f t="shared" si="0"/>
        <v>130</v>
      </c>
    </row>
    <row r="45" spans="2:4" x14ac:dyDescent="0.3">
      <c r="B45" s="213">
        <f>ROW()-ROW(APORTACIONESOCIOS[[#Headers],['#]])</f>
        <v>25</v>
      </c>
      <c r="C45" s="214">
        <v>45519</v>
      </c>
      <c r="D45" s="23">
        <f t="shared" si="0"/>
        <v>130</v>
      </c>
    </row>
    <row r="46" spans="2:4" x14ac:dyDescent="0.3">
      <c r="B46" s="228">
        <f>ROW()-ROW(APORTACIONESOCIOS[[#Headers],['#]])</f>
        <v>26</v>
      </c>
      <c r="C46" s="229">
        <v>45550</v>
      </c>
      <c r="D46" s="230">
        <f>$E$18</f>
        <v>130</v>
      </c>
    </row>
    <row r="47" spans="2:4" x14ac:dyDescent="0.3">
      <c r="B47" s="228">
        <f>ROW()-ROW(APORTACIONESOCIOS[[#Headers],['#]])</f>
        <v>27</v>
      </c>
      <c r="C47" s="229">
        <v>45580</v>
      </c>
      <c r="D47" s="230">
        <f>$E$18</f>
        <v>130</v>
      </c>
    </row>
    <row r="48" spans="2:4" x14ac:dyDescent="0.3">
      <c r="B48" s="228">
        <f>ROW()-ROW(APORTACIONESOCIOS[[#Headers],['#]])</f>
        <v>28</v>
      </c>
      <c r="C48" s="229">
        <v>45611</v>
      </c>
      <c r="D48" s="230">
        <f>$E$18</f>
        <v>130</v>
      </c>
    </row>
    <row r="49" spans="2:4" x14ac:dyDescent="0.3">
      <c r="B49" s="228">
        <v>29</v>
      </c>
      <c r="C49" s="229">
        <v>45641</v>
      </c>
      <c r="D49" s="230">
        <f>$E$18</f>
        <v>130</v>
      </c>
    </row>
    <row r="50" spans="2:4" x14ac:dyDescent="0.3">
      <c r="B50" s="228">
        <v>30</v>
      </c>
      <c r="C50" s="214">
        <v>45672</v>
      </c>
      <c r="D50" s="230">
        <f>$E$18</f>
        <v>130</v>
      </c>
    </row>
  </sheetData>
  <phoneticPr fontId="3" type="noConversion"/>
  <pageMargins left="0.7" right="0.7" top="0.75" bottom="0.75" header="0.3" footer="0.3"/>
  <pageSetup orientation="portrait" r:id="rId1"/>
  <ignoredErrors>
    <ignoredError sqref="B5:B17" numberStoredAsText="1"/>
  </ignoredErrors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/>
  <dimension ref="B1:Q22"/>
  <sheetViews>
    <sheetView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2187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9" width="3.77734375" style="2" customWidth="1"/>
    <col min="10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21875" style="2" customWidth="1"/>
    <col min="15" max="15" width="19.5546875" style="2" customWidth="1"/>
    <col min="16" max="16" width="17.109375" style="2" customWidth="1"/>
    <col min="17" max="17" width="1.77734375" style="2" customWidth="1"/>
    <col min="18" max="16384" width="10.88671875" style="2"/>
  </cols>
  <sheetData>
    <row r="1" spans="2:17" ht="15" thickBot="1" x14ac:dyDescent="0.35"/>
    <row r="2" spans="2:17" ht="15" thickBot="1" x14ac:dyDescent="0.35">
      <c r="B2" s="277" t="s">
        <v>40</v>
      </c>
      <c r="C2" s="278"/>
      <c r="D2" s="278"/>
      <c r="E2" s="278"/>
      <c r="F2" s="278"/>
      <c r="G2" s="278"/>
      <c r="H2" s="279"/>
      <c r="I2" s="34"/>
      <c r="J2" s="280" t="s">
        <v>41</v>
      </c>
      <c r="K2" s="281"/>
      <c r="L2" s="281"/>
      <c r="M2" s="281"/>
      <c r="N2" s="281"/>
      <c r="O2" s="281"/>
      <c r="P2" s="281"/>
      <c r="Q2" s="282"/>
    </row>
    <row r="3" spans="2:17" ht="15" thickBot="1" x14ac:dyDescent="0.35">
      <c r="B3" s="193"/>
      <c r="C3" s="194"/>
      <c r="D3" s="194"/>
      <c r="E3" s="194"/>
      <c r="F3" s="194"/>
      <c r="G3" s="194"/>
      <c r="H3" s="198"/>
      <c r="J3" s="193"/>
      <c r="K3" s="194"/>
      <c r="L3" s="194"/>
      <c r="M3" s="194"/>
      <c r="N3" s="194"/>
      <c r="O3" s="194"/>
      <c r="P3" s="194"/>
      <c r="Q3" s="198"/>
    </row>
    <row r="4" spans="2:17" ht="15" thickBot="1" x14ac:dyDescent="0.35">
      <c r="B4" s="193"/>
      <c r="C4" s="194" t="s">
        <v>70</v>
      </c>
      <c r="D4" s="194"/>
      <c r="E4" s="45">
        <v>5</v>
      </c>
      <c r="F4" s="194"/>
      <c r="G4" s="194"/>
      <c r="H4" s="198"/>
      <c r="J4" s="193"/>
      <c r="K4" s="194" t="s">
        <v>71</v>
      </c>
      <c r="L4" s="194"/>
      <c r="M4" s="46">
        <v>5</v>
      </c>
      <c r="N4" s="194"/>
      <c r="O4" s="194"/>
      <c r="P4" s="194"/>
      <c r="Q4" s="198"/>
    </row>
    <row r="5" spans="2:17" x14ac:dyDescent="0.3">
      <c r="B5" s="195"/>
      <c r="C5" s="196"/>
      <c r="D5" s="196"/>
      <c r="E5" s="196"/>
      <c r="F5" s="196"/>
      <c r="G5" s="196"/>
      <c r="H5" s="199"/>
      <c r="J5" s="195"/>
      <c r="K5" s="196"/>
      <c r="L5" s="196"/>
      <c r="M5" s="196"/>
      <c r="N5" s="196"/>
      <c r="O5" s="196"/>
      <c r="P5" s="196"/>
      <c r="Q5" s="199"/>
    </row>
    <row r="6" spans="2:17" x14ac:dyDescent="0.3">
      <c r="B6" s="195"/>
      <c r="C6" s="197" t="s">
        <v>35</v>
      </c>
      <c r="D6" s="197"/>
      <c r="E6" s="197" t="s">
        <v>52</v>
      </c>
      <c r="F6" s="196"/>
      <c r="G6" s="196"/>
      <c r="H6" s="199"/>
      <c r="J6" s="195"/>
      <c r="K6" s="197" t="s">
        <v>35</v>
      </c>
      <c r="L6" s="197"/>
      <c r="M6" s="197" t="s">
        <v>52</v>
      </c>
      <c r="N6" s="196"/>
      <c r="O6" s="197" t="s">
        <v>283</v>
      </c>
      <c r="P6" s="196"/>
      <c r="Q6" s="199"/>
    </row>
    <row r="7" spans="2:17" ht="15" thickBot="1" x14ac:dyDescent="0.35">
      <c r="B7" s="195"/>
      <c r="C7" s="197"/>
      <c r="D7" s="196"/>
      <c r="E7" s="197"/>
      <c r="F7" s="196"/>
      <c r="H7" s="199"/>
      <c r="J7" s="195"/>
      <c r="K7" s="196"/>
      <c r="L7" s="196"/>
      <c r="M7" s="196"/>
      <c r="N7" s="196"/>
      <c r="O7" s="196"/>
      <c r="P7" s="196"/>
      <c r="Q7" s="199"/>
    </row>
    <row r="8" spans="2:17" ht="15" thickBot="1" x14ac:dyDescent="0.35">
      <c r="B8" s="195"/>
      <c r="C8" s="25" t="str">
        <f>_xlfn.XLOOKUP(E8,LINEAMIENTOS!$B$3:$B$17,LINEAMIENTOS!$A$3:$A$17)</f>
        <v>08</v>
      </c>
      <c r="D8" s="196"/>
      <c r="E8" s="25" t="s">
        <v>21</v>
      </c>
      <c r="F8" s="196"/>
      <c r="G8" s="196"/>
      <c r="H8" s="199"/>
      <c r="J8" s="195"/>
      <c r="K8" s="25" t="str">
        <f>_xlfn.XLOOKUP(M8,LINEAMIENTOS!B3:B17,LINEAMIENTOS!$A$3:$A$17)</f>
        <v>08</v>
      </c>
      <c r="L8" s="196"/>
      <c r="M8" s="25" t="s">
        <v>21</v>
      </c>
      <c r="N8" s="196"/>
      <c r="O8" s="232">
        <v>5</v>
      </c>
      <c r="P8" s="196"/>
      <c r="Q8" s="199"/>
    </row>
    <row r="9" spans="2:17" x14ac:dyDescent="0.3">
      <c r="B9" s="195"/>
      <c r="C9" s="202">
        <v>8</v>
      </c>
      <c r="D9" s="196"/>
      <c r="E9" s="196"/>
      <c r="F9" s="196"/>
      <c r="G9" s="196"/>
      <c r="H9" s="199"/>
      <c r="J9" s="195"/>
      <c r="K9" s="202">
        <v>8</v>
      </c>
      <c r="L9" s="196"/>
      <c r="M9" s="196"/>
      <c r="N9" s="196"/>
      <c r="O9" s="196"/>
      <c r="P9" s="196"/>
      <c r="Q9" s="199"/>
    </row>
    <row r="10" spans="2:17" x14ac:dyDescent="0.3">
      <c r="B10" s="195"/>
      <c r="C10" s="203" t="s">
        <v>74</v>
      </c>
      <c r="D10" s="196"/>
      <c r="E10" s="203" t="s">
        <v>32</v>
      </c>
      <c r="F10" s="196"/>
      <c r="G10" s="196"/>
      <c r="H10" s="199"/>
      <c r="J10" s="195"/>
      <c r="K10" s="197" t="s">
        <v>30</v>
      </c>
      <c r="L10" s="196"/>
      <c r="M10" s="197" t="s">
        <v>37</v>
      </c>
      <c r="N10" s="196"/>
      <c r="O10" s="197" t="s">
        <v>43</v>
      </c>
      <c r="P10" s="197"/>
      <c r="Q10" s="199"/>
    </row>
    <row r="11" spans="2:17" ht="15" thickBot="1" x14ac:dyDescent="0.35">
      <c r="B11" s="195"/>
      <c r="C11" s="252">
        <f>IFERROR(C15*C16,"")</f>
        <v>204</v>
      </c>
      <c r="D11" s="196"/>
      <c r="E11" s="203"/>
      <c r="F11" s="196"/>
      <c r="G11" s="196"/>
      <c r="H11" s="199"/>
      <c r="J11" s="195"/>
      <c r="K11" s="196"/>
      <c r="L11" s="196"/>
      <c r="M11" s="196"/>
      <c r="N11" s="196"/>
      <c r="O11" s="196"/>
      <c r="P11" s="196"/>
      <c r="Q11" s="199"/>
    </row>
    <row r="12" spans="2:17" ht="15" thickBot="1" x14ac:dyDescent="0.35">
      <c r="B12" s="195"/>
      <c r="C12" s="51">
        <v>200</v>
      </c>
      <c r="D12" s="196"/>
      <c r="E12" s="26">
        <f ca="1">TODAY()</f>
        <v>45731</v>
      </c>
      <c r="F12" s="196"/>
      <c r="G12" s="196"/>
      <c r="H12" s="199"/>
      <c r="J12" s="195"/>
      <c r="K12" s="50">
        <v>200</v>
      </c>
      <c r="L12" s="196"/>
      <c r="M12" s="27">
        <f ca="1">TODAY()</f>
        <v>45731</v>
      </c>
      <c r="N12" s="196"/>
      <c r="O12" s="48">
        <v>1</v>
      </c>
      <c r="P12" s="196"/>
      <c r="Q12" s="199"/>
    </row>
    <row r="13" spans="2:17" x14ac:dyDescent="0.3">
      <c r="B13" s="195"/>
      <c r="C13" s="237">
        <f>IFERROR(C12/C16,"")</f>
        <v>200</v>
      </c>
      <c r="D13" s="196"/>
      <c r="E13" s="204">
        <v>44880</v>
      </c>
      <c r="F13" s="196"/>
      <c r="G13" s="196"/>
      <c r="H13" s="199"/>
      <c r="J13" s="195"/>
      <c r="K13" s="196"/>
      <c r="L13" s="196"/>
      <c r="M13" s="204">
        <v>44941</v>
      </c>
      <c r="N13" s="196"/>
      <c r="O13" s="196"/>
      <c r="P13" s="196"/>
      <c r="Q13" s="199"/>
    </row>
    <row r="14" spans="2:17" x14ac:dyDescent="0.3">
      <c r="B14" s="195"/>
      <c r="C14" s="197" t="s">
        <v>58</v>
      </c>
      <c r="D14" s="196"/>
      <c r="E14" s="197" t="s">
        <v>34</v>
      </c>
      <c r="F14" s="196"/>
      <c r="G14" s="196"/>
      <c r="H14" s="199"/>
      <c r="J14" s="195"/>
      <c r="K14" s="197" t="s">
        <v>31</v>
      </c>
      <c r="L14" s="196"/>
      <c r="M14" s="197" t="s">
        <v>38</v>
      </c>
      <c r="N14" s="196"/>
      <c r="O14" s="197" t="s">
        <v>42</v>
      </c>
      <c r="P14" s="197"/>
      <c r="Q14" s="199"/>
    </row>
    <row r="15" spans="2:17" ht="15" thickBot="1" x14ac:dyDescent="0.35">
      <c r="B15" s="195"/>
      <c r="C15" s="237">
        <f>IFERROR(C13+E17,"")</f>
        <v>204</v>
      </c>
      <c r="D15" s="196"/>
      <c r="E15" s="197"/>
      <c r="F15" s="196"/>
      <c r="G15" s="196"/>
      <c r="H15" s="199"/>
      <c r="J15" s="195"/>
      <c r="K15" s="197"/>
      <c r="L15" s="196"/>
      <c r="M15" s="197"/>
      <c r="N15" s="196"/>
      <c r="O15" s="196"/>
      <c r="P15" s="196"/>
      <c r="Q15" s="199"/>
    </row>
    <row r="16" spans="2:17" ht="15" thickBot="1" x14ac:dyDescent="0.35">
      <c r="B16" s="195"/>
      <c r="C16" s="52">
        <v>1</v>
      </c>
      <c r="D16" s="196"/>
      <c r="E16" s="207">
        <v>0.02</v>
      </c>
      <c r="F16" s="196"/>
      <c r="G16" s="196"/>
      <c r="H16" s="199"/>
      <c r="J16" s="195"/>
      <c r="K16" s="50">
        <v>4</v>
      </c>
      <c r="L16" s="196"/>
      <c r="M16" s="27">
        <f ca="1">TODAY()</f>
        <v>45731</v>
      </c>
      <c r="N16" s="196"/>
      <c r="O16" s="49">
        <v>1</v>
      </c>
      <c r="P16" s="196"/>
      <c r="Q16" s="199"/>
    </row>
    <row r="17" spans="2:17" x14ac:dyDescent="0.3">
      <c r="B17" s="195"/>
      <c r="C17" s="238"/>
      <c r="D17" s="196"/>
      <c r="E17" s="237">
        <f>IF(C12="","",C12*E16)</f>
        <v>4</v>
      </c>
      <c r="F17" s="196"/>
      <c r="G17" s="196"/>
      <c r="H17" s="199"/>
      <c r="J17" s="195"/>
      <c r="K17" s="196"/>
      <c r="L17" s="196"/>
      <c r="M17" s="204">
        <v>44972</v>
      </c>
      <c r="N17" s="196"/>
      <c r="O17" s="196"/>
      <c r="P17" s="196"/>
      <c r="Q17" s="199"/>
    </row>
    <row r="18" spans="2:17" x14ac:dyDescent="0.3">
      <c r="B18" s="195"/>
      <c r="C18" s="197" t="s">
        <v>39</v>
      </c>
      <c r="D18" s="196"/>
      <c r="E18" s="239" t="str">
        <f ca="1">IF(E12&gt;(E13+(C16*30)+1),"",IF(E12&lt;E13,"",IFERROR("LETRA NUMERO: "&amp;TEXT(E12-(E13+30)+1,"MM"),"INICIA EL PRESTAMO")))</f>
        <v/>
      </c>
      <c r="F18" s="196"/>
      <c r="G18" s="196"/>
      <c r="H18" s="199"/>
      <c r="I18" s="31"/>
      <c r="J18" s="195"/>
      <c r="K18" s="197" t="s">
        <v>39</v>
      </c>
      <c r="L18" s="196"/>
      <c r="M18" s="196"/>
      <c r="N18" s="196"/>
      <c r="O18" s="196"/>
      <c r="P18" s="196"/>
      <c r="Q18" s="199"/>
    </row>
    <row r="19" spans="2:17" ht="15" thickBot="1" x14ac:dyDescent="0.35">
      <c r="B19" s="195"/>
      <c r="C19" s="196"/>
      <c r="D19" s="196"/>
      <c r="E19" s="240" t="str">
        <f ca="1">IF(E12&gt;(E13+(C16*30)+1),"",IF(E12&lt;E13,"",IFERROR("LETRAS FALTANTES: "&amp;TEXT(((E13)+(C16*30))-E12,"MM"),"PRESTAMO PAGADO")))</f>
        <v/>
      </c>
      <c r="F19" s="196"/>
      <c r="G19" s="196"/>
      <c r="H19" s="199"/>
      <c r="I19" s="31"/>
      <c r="J19" s="195"/>
      <c r="K19" s="196"/>
      <c r="L19" s="196"/>
      <c r="M19" s="196"/>
      <c r="N19" s="196"/>
      <c r="O19" s="196"/>
      <c r="P19" s="196"/>
      <c r="Q19" s="199"/>
    </row>
    <row r="20" spans="2:17" x14ac:dyDescent="0.3">
      <c r="B20" s="195"/>
      <c r="C20" s="283"/>
      <c r="D20" s="284"/>
      <c r="E20" s="285"/>
      <c r="F20" s="195"/>
      <c r="G20" s="196"/>
      <c r="H20" s="199"/>
      <c r="J20" s="195"/>
      <c r="K20" s="276"/>
      <c r="L20" s="32"/>
      <c r="M20" s="32"/>
      <c r="N20" s="32"/>
      <c r="O20" s="33"/>
      <c r="P20" s="195"/>
      <c r="Q20" s="199"/>
    </row>
    <row r="21" spans="2:17" ht="15" thickBot="1" x14ac:dyDescent="0.35">
      <c r="B21" s="195"/>
      <c r="C21" s="286"/>
      <c r="D21" s="287"/>
      <c r="E21" s="288"/>
      <c r="F21" s="195"/>
      <c r="G21" s="196"/>
      <c r="H21" s="199"/>
      <c r="J21" s="195"/>
      <c r="K21" s="28"/>
      <c r="L21" s="29"/>
      <c r="M21" s="29"/>
      <c r="N21" s="29"/>
      <c r="O21" s="30"/>
      <c r="P21" s="195"/>
      <c r="Q21" s="199"/>
    </row>
    <row r="22" spans="2:17" ht="15" thickBot="1" x14ac:dyDescent="0.35">
      <c r="B22" s="205"/>
      <c r="C22" s="201"/>
      <c r="D22" s="201"/>
      <c r="E22" s="201"/>
      <c r="F22" s="201"/>
      <c r="G22" s="201"/>
      <c r="H22" s="200"/>
      <c r="J22" s="205"/>
      <c r="K22" s="201"/>
      <c r="L22" s="201"/>
      <c r="M22" s="201"/>
      <c r="N22" s="201"/>
      <c r="O22" s="201"/>
      <c r="P22" s="201"/>
      <c r="Q22" s="200"/>
    </row>
  </sheetData>
  <sheetProtection selectLockedCells="1"/>
  <mergeCells count="3">
    <mergeCell ref="B2:H2"/>
    <mergeCell ref="J2:Q2"/>
    <mergeCell ref="C20:E21"/>
  </mergeCell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683303-072A-419A-B776-414CA96FDD04}">
          <x14:formula1>
            <xm:f>SOCIOS!$C$5:$C$17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LINEAMIENTOS!$B$3:$B$17</xm:f>
          </x14:formula1>
          <xm:sqref>M8 E8</xm:sqref>
        </x14:dataValidation>
        <x14:dataValidation type="list" allowBlank="1" showInputMessage="1" showErrorMessage="1" xr:uid="{A6178A17-0313-4364-B67F-B1B614422644}">
          <x14:formula1>
            <xm:f>PRESTAMOS!$R$7:$R$19</xm:f>
          </x14:formula1>
          <xm:sqref>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</sheetPr>
  <dimension ref="A1:AA67"/>
  <sheetViews>
    <sheetView workbookViewId="0">
      <selection activeCell="J51" sqref="J51"/>
    </sheetView>
  </sheetViews>
  <sheetFormatPr baseColWidth="10" defaultColWidth="10.88671875" defaultRowHeight="14.4" x14ac:dyDescent="0.3"/>
  <cols>
    <col min="1" max="1" width="9" bestFit="1" customWidth="1"/>
    <col min="2" max="2" width="8.33203125" customWidth="1"/>
    <col min="3" max="3" width="24.77734375" customWidth="1"/>
    <col min="4" max="4" width="14.44140625" style="75" customWidth="1"/>
    <col min="5" max="5" width="14" customWidth="1"/>
    <col min="6" max="7" width="9.88671875" bestFit="1" customWidth="1"/>
    <col min="8" max="8" width="7.88671875" bestFit="1" customWidth="1"/>
    <col min="9" max="9" width="8.77734375" customWidth="1"/>
    <col min="10" max="10" width="61.109375" style="20" customWidth="1"/>
    <col min="11" max="11" width="12.6640625" style="2" bestFit="1" customWidth="1"/>
    <col min="12" max="12" width="9.5546875" style="36" bestFit="1" customWidth="1"/>
    <col min="13" max="16" width="10.88671875" style="249"/>
    <col min="17" max="17" width="20.44140625" style="249" bestFit="1" customWidth="1"/>
    <col min="18" max="18" width="22.5546875" style="249" bestFit="1" customWidth="1"/>
    <col min="19" max="24" width="10.88671875" style="249"/>
    <col min="25" max="25" width="10.88671875" style="36"/>
    <col min="26" max="26" width="10.88671875" style="249"/>
    <col min="27" max="16384" width="10.88671875" style="36"/>
  </cols>
  <sheetData>
    <row r="1" spans="1:26" s="37" customFormat="1" x14ac:dyDescent="0.3">
      <c r="A1" s="289" t="s">
        <v>46</v>
      </c>
      <c r="B1" s="289"/>
      <c r="C1" s="289"/>
      <c r="D1" s="289"/>
      <c r="E1" s="289"/>
      <c r="F1" s="289"/>
      <c r="G1" s="289"/>
      <c r="H1" s="289"/>
      <c r="I1" s="289"/>
      <c r="J1" s="289"/>
      <c r="K1" s="241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Z1" s="248"/>
    </row>
    <row r="2" spans="1:26" s="37" customFormat="1" ht="43.2" x14ac:dyDescent="0.3">
      <c r="A2" s="42" t="s">
        <v>72</v>
      </c>
      <c r="B2" s="41" t="s">
        <v>73</v>
      </c>
      <c r="C2" s="42" t="s">
        <v>36</v>
      </c>
      <c r="D2" s="42" t="s">
        <v>57</v>
      </c>
      <c r="E2" s="42" t="s">
        <v>32</v>
      </c>
      <c r="F2" s="42" t="s">
        <v>33</v>
      </c>
      <c r="G2" s="42" t="s">
        <v>34</v>
      </c>
      <c r="H2" s="42" t="s">
        <v>54</v>
      </c>
      <c r="I2" s="42" t="s">
        <v>58</v>
      </c>
      <c r="J2" s="242" t="s">
        <v>39</v>
      </c>
      <c r="K2" s="246" t="s">
        <v>295</v>
      </c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Z2" s="248"/>
    </row>
    <row r="3" spans="1:26" x14ac:dyDescent="0.3">
      <c r="A3" s="59">
        <v>1</v>
      </c>
      <c r="B3" s="60">
        <v>6</v>
      </c>
      <c r="C3" s="61" t="s">
        <v>19</v>
      </c>
      <c r="D3" s="62">
        <v>60</v>
      </c>
      <c r="E3" s="63">
        <v>44819</v>
      </c>
      <c r="F3" s="64">
        <v>2</v>
      </c>
      <c r="G3" s="76">
        <v>0.02</v>
      </c>
      <c r="H3" s="65">
        <f>PRESTAMOS[[#This Row],[MONTO AMORTIZACION]]*PRESTAMOS[[#This Row],[INTERES]]*PRESTAMOS[[#This Row],[CUOTAS]]</f>
        <v>2.4</v>
      </c>
      <c r="I3" s="65">
        <f>PRESTAMOS[[#This Row],[MONTO AMORTIZACION]]+PRESTAMOS[[#This Row],[T. INT]]</f>
        <v>62.4</v>
      </c>
      <c r="J3" s="243" t="s">
        <v>69</v>
      </c>
      <c r="K3" s="247" t="str">
        <f>IF(LEN(PRESTAMOS[[#This Row],[REG]])=LEN("AYUDA**"),"PAGADO",IF(SUMIF(PAGOS!$D$3:$D$1048576,A3,PAGOS!$E$3:$E$1048576)-PRESTAMOS[[#This Row],[MONTO AMORTIZACION]]&gt;=-0.1,"PAGADO","PENDIENTE"))</f>
        <v>PAGADO</v>
      </c>
      <c r="N3" s="249" t="s">
        <v>295</v>
      </c>
    </row>
    <row r="4" spans="1:26" x14ac:dyDescent="0.3">
      <c r="A4" s="108">
        <v>2</v>
      </c>
      <c r="B4" s="60">
        <v>3</v>
      </c>
      <c r="C4" s="61" t="s">
        <v>16</v>
      </c>
      <c r="D4" s="62">
        <v>100</v>
      </c>
      <c r="E4" s="66">
        <v>44819</v>
      </c>
      <c r="F4" s="109">
        <v>2</v>
      </c>
      <c r="G4" s="110">
        <v>0.02</v>
      </c>
      <c r="H4" s="65">
        <f>PRESTAMOS[[#This Row],[MONTO AMORTIZACION]]*PRESTAMOS[[#This Row],[INTERES]]*PRESTAMOS[[#This Row],[CUOTAS]]</f>
        <v>4</v>
      </c>
      <c r="I4" s="65">
        <f>PRESTAMOS[[#This Row],[MONTO AMORTIZACION]]+PRESTAMOS[[#This Row],[T. INT]]</f>
        <v>104</v>
      </c>
      <c r="J4" s="243"/>
      <c r="K4" s="247" t="str">
        <f>IF(LEN(PRESTAMOS[[#This Row],[REG]])=LEN("AYUDA**"),"PAGADO",IF(SUMIF(PAGOS!$D$3:$D$1048576,A4,PAGOS!$E$3:$E$1048576)-PRESTAMOS[[#This Row],[MONTO AMORTIZACION]]&gt;=-0.1,"PAGADO","PENDIENTE"))</f>
        <v>PAGADO</v>
      </c>
      <c r="N4" s="249" t="s">
        <v>299</v>
      </c>
    </row>
    <row r="5" spans="1:26" x14ac:dyDescent="0.3">
      <c r="A5" s="68" t="s">
        <v>296</v>
      </c>
      <c r="B5" s="69">
        <v>15</v>
      </c>
      <c r="C5" s="58" t="s">
        <v>76</v>
      </c>
      <c r="D5" s="70">
        <v>100</v>
      </c>
      <c r="E5" s="71">
        <v>44819</v>
      </c>
      <c r="F5" s="72">
        <v>0</v>
      </c>
      <c r="G5" s="73">
        <v>0</v>
      </c>
      <c r="H5" s="74">
        <f>PRESTAMOS[[#This Row],[MONTO AMORTIZACION]]*PRESTAMOS[[#This Row],[INTERES]]*PRESTAMOS[[#This Row],[CUOTAS]]</f>
        <v>0</v>
      </c>
      <c r="I5" s="74">
        <f>PRESTAMOS[[#This Row],[MONTO AMORTIZACION]]+PRESTAMOS[[#This Row],[T. INT]]</f>
        <v>100</v>
      </c>
      <c r="J5" s="244" t="s">
        <v>277</v>
      </c>
      <c r="K5" s="247" t="str">
        <f>IF(LEN(PRESTAMOS[[#This Row],[REG]])=LEN("AYUDA**"),"PAGADO",IF(SUMIF(PAGOS!$D$3:$D$1048576,A5,PAGOS!$E$3:$E$1048576)-PRESTAMOS[[#This Row],[MONTO AMORTIZACION]]&gt;=-0.1,"PAGADO","PENDIENTE"))</f>
        <v>PAGADO</v>
      </c>
    </row>
    <row r="6" spans="1:26" ht="14.55" customHeight="1" x14ac:dyDescent="0.3">
      <c r="A6" s="68">
        <v>3</v>
      </c>
      <c r="B6" s="69">
        <v>4</v>
      </c>
      <c r="C6" s="58" t="s">
        <v>17</v>
      </c>
      <c r="D6" s="70">
        <v>200</v>
      </c>
      <c r="E6" s="71">
        <v>44849</v>
      </c>
      <c r="F6" s="72">
        <v>1</v>
      </c>
      <c r="G6" s="73">
        <v>0.02</v>
      </c>
      <c r="H6" s="74">
        <f>PRESTAMOS[[#This Row],[MONTO AMORTIZACION]]*PRESTAMOS[[#This Row],[INTERES]]*PRESTAMOS[[#This Row],[CUOTAS]]</f>
        <v>4</v>
      </c>
      <c r="I6" s="74">
        <f>PRESTAMOS[[#This Row],[MONTO AMORTIZACION]]+PRESTAMOS[[#This Row],[T. INT]]</f>
        <v>204</v>
      </c>
      <c r="J6" s="244"/>
      <c r="K6" s="247" t="str">
        <f>IF(LEN(PRESTAMOS[[#This Row],[REG]])=LEN("AYUDA**"),"PAGADO",IF(SUMIF(PAGOS!$D$3:$D$1048576,A6,PAGOS!$E$3:$E$1048576)-PRESTAMOS[[#This Row],[MONTO AMORTIZACION]]&gt;=-0.1,"PAGADO","PENDIENTE"))</f>
        <v>PAGADO</v>
      </c>
      <c r="N6" s="250"/>
      <c r="O6" s="42" t="s">
        <v>72</v>
      </c>
      <c r="P6" s="41" t="s">
        <v>73</v>
      </c>
      <c r="Q6" s="42" t="s">
        <v>36</v>
      </c>
      <c r="R6" s="42" t="s">
        <v>346</v>
      </c>
      <c r="S6" s="42" t="s">
        <v>57</v>
      </c>
      <c r="T6" s="42" t="s">
        <v>32</v>
      </c>
      <c r="U6" s="42" t="s">
        <v>33</v>
      </c>
      <c r="V6" s="42" t="s">
        <v>34</v>
      </c>
      <c r="W6" s="42" t="s">
        <v>54</v>
      </c>
      <c r="X6" s="42" t="s">
        <v>58</v>
      </c>
      <c r="Y6" s="242" t="s">
        <v>39</v>
      </c>
      <c r="Z6" s="246" t="s">
        <v>295</v>
      </c>
    </row>
    <row r="7" spans="1:26" x14ac:dyDescent="0.3">
      <c r="A7" s="68">
        <v>4</v>
      </c>
      <c r="B7" s="69">
        <v>12</v>
      </c>
      <c r="C7" s="58" t="s">
        <v>25</v>
      </c>
      <c r="D7" s="70">
        <v>200</v>
      </c>
      <c r="E7" s="71">
        <v>44880</v>
      </c>
      <c r="F7" s="72">
        <v>2</v>
      </c>
      <c r="G7" s="73">
        <v>0.02</v>
      </c>
      <c r="H7" s="74">
        <f>PRESTAMOS[[#This Row],[MONTO AMORTIZACION]]*PRESTAMOS[[#This Row],[INTERES]]*PRESTAMOS[[#This Row],[CUOTAS]]</f>
        <v>8</v>
      </c>
      <c r="I7" s="74">
        <f>PRESTAMOS[[#This Row],[MONTO AMORTIZACION]]+PRESTAMOS[[#This Row],[T. INT]]</f>
        <v>208</v>
      </c>
      <c r="J7" s="244"/>
      <c r="K7" s="247" t="str">
        <f>IF(LEN(PRESTAMOS[[#This Row],[REG]])=LEN("AYUDA**"),"PAGADO",IF(SUMIF(PAGOS!$D$3:$D$1048576,A7,PAGOS!$E$3:$E$1048576)-PRESTAMOS[[#This Row],[MONTO AMORTIZACION]]&gt;=-0.1,"PAGADO","PENDIENTE"))</f>
        <v>PAGADO</v>
      </c>
      <c r="N7" s="251"/>
      <c r="O7" s="68">
        <v>37</v>
      </c>
      <c r="P7" s="69">
        <v>3</v>
      </c>
      <c r="Q7" s="58" t="s">
        <v>16</v>
      </c>
      <c r="R7" s="58" t="str">
        <f>_xlfn.CONCAT(Q7,O7)</f>
        <v>ANA TOAQUIZA37</v>
      </c>
      <c r="S7" s="70">
        <v>1000</v>
      </c>
      <c r="T7" s="71">
        <v>45366</v>
      </c>
      <c r="U7" s="72">
        <v>10</v>
      </c>
      <c r="V7" s="73">
        <v>0.02</v>
      </c>
      <c r="W7" s="74">
        <v>200</v>
      </c>
      <c r="X7" s="74">
        <v>1200</v>
      </c>
      <c r="Y7" s="244" t="s">
        <v>218</v>
      </c>
      <c r="Z7" s="247" t="s">
        <v>299</v>
      </c>
    </row>
    <row r="8" spans="1:26" x14ac:dyDescent="0.3">
      <c r="A8" s="68">
        <v>5</v>
      </c>
      <c r="B8" s="69">
        <v>8</v>
      </c>
      <c r="C8" s="58" t="s">
        <v>21</v>
      </c>
      <c r="D8" s="70">
        <v>200</v>
      </c>
      <c r="E8" s="71">
        <v>44880</v>
      </c>
      <c r="F8" s="72">
        <v>1</v>
      </c>
      <c r="G8" s="73">
        <v>0.02</v>
      </c>
      <c r="H8" s="74">
        <f>PRESTAMOS[[#This Row],[MONTO AMORTIZACION]]*PRESTAMOS[[#This Row],[INTERES]]*PRESTAMOS[[#This Row],[CUOTAS]]</f>
        <v>4</v>
      </c>
      <c r="I8" s="74">
        <f>PRESTAMOS[[#This Row],[MONTO AMORTIZACION]]+PRESTAMOS[[#This Row],[T. INT]]</f>
        <v>204</v>
      </c>
      <c r="J8" s="244"/>
      <c r="K8" s="247" t="str">
        <f>IF(LEN(PRESTAMOS[[#This Row],[REG]])=LEN("AYUDA**"),"PAGADO",IF(SUMIF(PAGOS!$D$3:$D$1048576,A8,PAGOS!$E$3:$E$1048576)-PRESTAMOS[[#This Row],[MONTO AMORTIZACION]]&gt;=-0.1,"PAGADO","PENDIENTE"))</f>
        <v>PAGADO</v>
      </c>
      <c r="N8" s="251"/>
      <c r="O8" s="68">
        <v>38</v>
      </c>
      <c r="P8" s="69">
        <v>11</v>
      </c>
      <c r="Q8" s="58" t="s">
        <v>24</v>
      </c>
      <c r="R8" s="58" t="str">
        <f t="shared" ref="R8:R19" si="0">_xlfn.CONCAT(Q8,O8)</f>
        <v>GUADALUPE TOAQUIZA38</v>
      </c>
      <c r="S8" s="70">
        <v>600</v>
      </c>
      <c r="T8" s="71">
        <v>45366</v>
      </c>
      <c r="U8" s="72">
        <v>12</v>
      </c>
      <c r="V8" s="73">
        <v>0.02</v>
      </c>
      <c r="W8" s="74">
        <v>144</v>
      </c>
      <c r="X8" s="74">
        <v>744</v>
      </c>
      <c r="Y8" s="244" t="s">
        <v>218</v>
      </c>
      <c r="Z8" s="247" t="s">
        <v>299</v>
      </c>
    </row>
    <row r="9" spans="1:26" x14ac:dyDescent="0.3">
      <c r="A9" s="68">
        <v>6</v>
      </c>
      <c r="B9" s="69">
        <v>1</v>
      </c>
      <c r="C9" s="58" t="s">
        <v>14</v>
      </c>
      <c r="D9" s="70">
        <v>100</v>
      </c>
      <c r="E9" s="71">
        <v>44910</v>
      </c>
      <c r="F9" s="72">
        <v>4</v>
      </c>
      <c r="G9" s="73">
        <v>0.02</v>
      </c>
      <c r="H9" s="74">
        <f>PRESTAMOS[[#This Row],[MONTO AMORTIZACION]]*PRESTAMOS[[#This Row],[INTERES]]*PRESTAMOS[[#This Row],[CUOTAS]]</f>
        <v>8</v>
      </c>
      <c r="I9" s="74">
        <f>PRESTAMOS[[#This Row],[MONTO AMORTIZACION]]+PRESTAMOS[[#This Row],[T. INT]]</f>
        <v>108</v>
      </c>
      <c r="J9" s="244"/>
      <c r="K9" s="247" t="str">
        <f>IF(LEN(PRESTAMOS[[#This Row],[REG]])=LEN("AYUDA**"),"PAGADO",IF(SUMIF(PAGOS!$D$3:$D$1048576,A9,PAGOS!$E$3:$E$1048576)-PRESTAMOS[[#This Row],[MONTO AMORTIZACION]]&gt;=-0.1,"PAGADO","PENDIENTE"))</f>
        <v>PAGADO</v>
      </c>
      <c r="N9" s="251"/>
      <c r="O9" s="68">
        <v>47</v>
      </c>
      <c r="P9" s="69">
        <v>12</v>
      </c>
      <c r="Q9" s="58" t="s">
        <v>25</v>
      </c>
      <c r="R9" s="58" t="str">
        <f t="shared" si="0"/>
        <v>JEFFERSON TOAQUIZA47</v>
      </c>
      <c r="S9" s="70">
        <v>500</v>
      </c>
      <c r="T9" s="71">
        <v>45488</v>
      </c>
      <c r="U9" s="72">
        <v>12</v>
      </c>
      <c r="V9" s="73">
        <v>0.02</v>
      </c>
      <c r="W9" s="74">
        <v>120</v>
      </c>
      <c r="X9" s="74">
        <v>620</v>
      </c>
      <c r="Y9" s="244" t="s">
        <v>120</v>
      </c>
      <c r="Z9" s="247" t="s">
        <v>299</v>
      </c>
    </row>
    <row r="10" spans="1:26" x14ac:dyDescent="0.3">
      <c r="A10" s="68">
        <v>7</v>
      </c>
      <c r="B10" s="69">
        <v>9</v>
      </c>
      <c r="C10" s="58" t="s">
        <v>22</v>
      </c>
      <c r="D10" s="70">
        <v>100</v>
      </c>
      <c r="E10" s="71">
        <v>44910</v>
      </c>
      <c r="F10" s="72">
        <v>4</v>
      </c>
      <c r="G10" s="73">
        <v>0.02</v>
      </c>
      <c r="H10" s="74">
        <f>PRESTAMOS[[#This Row],[MONTO AMORTIZACION]]*PRESTAMOS[[#This Row],[INTERES]]*PRESTAMOS[[#This Row],[CUOTAS]]</f>
        <v>8</v>
      </c>
      <c r="I10" s="74">
        <f>PRESTAMOS[[#This Row],[MONTO AMORTIZACION]]+PRESTAMOS[[#This Row],[T. INT]]</f>
        <v>108</v>
      </c>
      <c r="J10" s="244"/>
      <c r="K10" s="247" t="str">
        <f>IF(LEN(PRESTAMOS[[#This Row],[REG]])=LEN("AYUDA**"),"PAGADO",IF(SUMIF(PAGOS!$D$3:$D$1048576,A10,PAGOS!$E$3:$E$1048576)-PRESTAMOS[[#This Row],[MONTO AMORTIZACION]]&gt;=-0.1,"PAGADO","PENDIENTE"))</f>
        <v>PAGADO</v>
      </c>
      <c r="N10" s="251"/>
      <c r="O10" s="68">
        <v>48</v>
      </c>
      <c r="P10" s="69">
        <v>6</v>
      </c>
      <c r="Q10" s="58" t="s">
        <v>19</v>
      </c>
      <c r="R10" s="58" t="str">
        <f t="shared" si="0"/>
        <v>MAYRA TOAQUIZA48</v>
      </c>
      <c r="S10" s="70">
        <v>600</v>
      </c>
      <c r="T10" s="71">
        <v>45519</v>
      </c>
      <c r="U10" s="72">
        <v>6</v>
      </c>
      <c r="V10" s="73">
        <v>0.02</v>
      </c>
      <c r="W10" s="74">
        <v>72</v>
      </c>
      <c r="X10" s="74">
        <v>672</v>
      </c>
      <c r="Y10" s="244" t="s">
        <v>251</v>
      </c>
      <c r="Z10" s="247" t="s">
        <v>299</v>
      </c>
    </row>
    <row r="11" spans="1:26" x14ac:dyDescent="0.3">
      <c r="A11" s="68">
        <v>8</v>
      </c>
      <c r="B11" s="69">
        <v>10</v>
      </c>
      <c r="C11" s="58" t="s">
        <v>23</v>
      </c>
      <c r="D11" s="70">
        <v>170</v>
      </c>
      <c r="E11" s="71">
        <v>44910</v>
      </c>
      <c r="F11" s="72">
        <v>5</v>
      </c>
      <c r="G11" s="73">
        <v>0.02</v>
      </c>
      <c r="H11" s="74">
        <f>PRESTAMOS[[#This Row],[MONTO AMORTIZACION]]*PRESTAMOS[[#This Row],[INTERES]]*PRESTAMOS[[#This Row],[CUOTAS]]</f>
        <v>17</v>
      </c>
      <c r="I11" s="74">
        <f>PRESTAMOS[[#This Row],[MONTO AMORTIZACION]]+PRESTAMOS[[#This Row],[T. INT]]</f>
        <v>187</v>
      </c>
      <c r="J11" s="244"/>
      <c r="K11" s="247" t="str">
        <f>IF(LEN(PRESTAMOS[[#This Row],[REG]])=LEN("AYUDA**"),"PAGADO",IF(SUMIF(PAGOS!$D$3:$D$1048576,A11,PAGOS!$E$3:$E$1048576)-PRESTAMOS[[#This Row],[MONTO AMORTIZACION]]&gt;=-0.1,"PAGADO","PENDIENTE"))</f>
        <v>PAGADO</v>
      </c>
      <c r="N11" s="251"/>
      <c r="O11" s="68">
        <v>49</v>
      </c>
      <c r="P11" s="69">
        <v>1</v>
      </c>
      <c r="Q11" s="58" t="s">
        <v>14</v>
      </c>
      <c r="R11" s="58" t="str">
        <f t="shared" si="0"/>
        <v>CESAR TOAQUIZA49</v>
      </c>
      <c r="S11" s="70">
        <v>300</v>
      </c>
      <c r="T11" s="71">
        <v>45519</v>
      </c>
      <c r="U11" s="72">
        <v>6</v>
      </c>
      <c r="V11" s="73">
        <v>0.02</v>
      </c>
      <c r="W11" s="74">
        <v>36</v>
      </c>
      <c r="X11" s="74">
        <v>336</v>
      </c>
      <c r="Y11" s="244" t="s">
        <v>253</v>
      </c>
      <c r="Z11" s="247" t="s">
        <v>299</v>
      </c>
    </row>
    <row r="12" spans="1:26" x14ac:dyDescent="0.3">
      <c r="A12" s="68">
        <v>9</v>
      </c>
      <c r="B12" s="69">
        <v>11</v>
      </c>
      <c r="C12" s="58" t="s">
        <v>24</v>
      </c>
      <c r="D12" s="70">
        <v>250</v>
      </c>
      <c r="E12" s="71">
        <v>44941</v>
      </c>
      <c r="F12" s="72">
        <v>3</v>
      </c>
      <c r="G12" s="73">
        <v>0.02</v>
      </c>
      <c r="H12" s="74">
        <f>PRESTAMOS[[#This Row],[MONTO AMORTIZACION]]*PRESTAMOS[[#This Row],[INTERES]]*PRESTAMOS[[#This Row],[CUOTAS]]</f>
        <v>15</v>
      </c>
      <c r="I12" s="74">
        <f>PRESTAMOS[[#This Row],[MONTO AMORTIZACION]]+PRESTAMOS[[#This Row],[T. INT]]</f>
        <v>265</v>
      </c>
      <c r="J12" s="244"/>
      <c r="K12" s="247" t="str">
        <f>IF(LEN(PRESTAMOS[[#This Row],[REG]])=LEN("AYUDA**"),"PAGADO",IF(SUMIF(PAGOS!$D$3:$D$1048576,A12,PAGOS!$E$3:$E$1048576)-PRESTAMOS[[#This Row],[MONTO AMORTIZACION]]&gt;=-0.1,"PAGADO","PENDIENTE"))</f>
        <v>PAGADO</v>
      </c>
      <c r="N12" s="251"/>
      <c r="O12" s="68">
        <v>51</v>
      </c>
      <c r="P12" s="69">
        <v>4</v>
      </c>
      <c r="Q12" s="58" t="s">
        <v>17</v>
      </c>
      <c r="R12" s="58" t="str">
        <f t="shared" si="0"/>
        <v>MARLENE TOAQUIZA 51</v>
      </c>
      <c r="S12" s="70">
        <v>250</v>
      </c>
      <c r="T12" s="71">
        <v>45580</v>
      </c>
      <c r="U12" s="72">
        <v>4</v>
      </c>
      <c r="V12" s="73">
        <v>0.02</v>
      </c>
      <c r="W12" s="74">
        <v>20</v>
      </c>
      <c r="X12" s="74">
        <v>270</v>
      </c>
      <c r="Y12" s="244" t="s">
        <v>120</v>
      </c>
      <c r="Z12" s="247" t="s">
        <v>299</v>
      </c>
    </row>
    <row r="13" spans="1:26" x14ac:dyDescent="0.3">
      <c r="A13" s="68">
        <v>10</v>
      </c>
      <c r="B13" s="69">
        <v>6</v>
      </c>
      <c r="C13" s="58" t="s">
        <v>19</v>
      </c>
      <c r="D13" s="70">
        <v>100</v>
      </c>
      <c r="E13" s="71">
        <v>44941</v>
      </c>
      <c r="F13" s="72">
        <v>4</v>
      </c>
      <c r="G13" s="73">
        <v>0.02</v>
      </c>
      <c r="H13" s="74">
        <f>PRESTAMOS[[#This Row],[MONTO AMORTIZACION]]*PRESTAMOS[[#This Row],[INTERES]]*PRESTAMOS[[#This Row],[CUOTAS]]</f>
        <v>8</v>
      </c>
      <c r="I13" s="74">
        <f>PRESTAMOS[[#This Row],[MONTO AMORTIZACION]]+PRESTAMOS[[#This Row],[T. INT]]</f>
        <v>108</v>
      </c>
      <c r="J13" s="244"/>
      <c r="K13" s="247" t="str">
        <f>IF(LEN(PRESTAMOS[[#This Row],[REG]])=LEN("AYUDA**"),"PAGADO",IF(SUMIF(PAGOS!$D$3:$D$1048576,A13,PAGOS!$E$3:$E$1048576)-PRESTAMOS[[#This Row],[MONTO AMORTIZACION]]&gt;=-0.1,"PAGADO","PENDIENTE"))</f>
        <v>PAGADO</v>
      </c>
      <c r="N13" s="251"/>
      <c r="O13" s="68">
        <v>52</v>
      </c>
      <c r="P13" s="69">
        <v>5</v>
      </c>
      <c r="Q13" s="58" t="s">
        <v>18</v>
      </c>
      <c r="R13" s="58" t="str">
        <f t="shared" si="0"/>
        <v>SEGUNDO GUAYTA 52</v>
      </c>
      <c r="S13" s="70">
        <v>250</v>
      </c>
      <c r="T13" s="71">
        <v>45580</v>
      </c>
      <c r="U13" s="72">
        <v>4</v>
      </c>
      <c r="V13" s="73">
        <v>0.02</v>
      </c>
      <c r="W13" s="74">
        <v>20</v>
      </c>
      <c r="X13" s="74">
        <v>270</v>
      </c>
      <c r="Y13" s="244" t="s">
        <v>221</v>
      </c>
      <c r="Z13" s="247" t="s">
        <v>299</v>
      </c>
    </row>
    <row r="14" spans="1:26" x14ac:dyDescent="0.3">
      <c r="A14" s="68">
        <v>11</v>
      </c>
      <c r="B14" s="69">
        <v>3</v>
      </c>
      <c r="C14" s="58" t="s">
        <v>16</v>
      </c>
      <c r="D14" s="70">
        <v>300</v>
      </c>
      <c r="E14" s="71">
        <v>44972</v>
      </c>
      <c r="F14" s="72">
        <v>3</v>
      </c>
      <c r="G14" s="73">
        <v>0.02</v>
      </c>
      <c r="H14" s="74">
        <f>PRESTAMOS[[#This Row],[MONTO AMORTIZACION]]*PRESTAMOS[[#This Row],[INTERES]]*PRESTAMOS[[#This Row],[CUOTAS]]</f>
        <v>18</v>
      </c>
      <c r="I14" s="74">
        <f>PRESTAMOS[[#This Row],[MONTO AMORTIZACION]]+PRESTAMOS[[#This Row],[T. INT]]</f>
        <v>318</v>
      </c>
      <c r="J14" s="244"/>
      <c r="K14" s="247" t="str">
        <f>IF(LEN(PRESTAMOS[[#This Row],[REG]])=LEN("AYUDA**"),"PAGADO",IF(SUMIF(PAGOS!$D$3:$D$1048576,A14,PAGOS!$E$3:$E$1048576)-PRESTAMOS[[#This Row],[MONTO AMORTIZACION]]&gt;=-0.1,"PAGADO","PENDIENTE"))</f>
        <v>PAGADO</v>
      </c>
      <c r="N14" s="251"/>
      <c r="O14" s="68">
        <v>53</v>
      </c>
      <c r="P14" s="69">
        <v>10</v>
      </c>
      <c r="Q14" s="58" t="s">
        <v>23</v>
      </c>
      <c r="R14" s="58" t="str">
        <f t="shared" si="0"/>
        <v>ROCIO TOAQUIZA53</v>
      </c>
      <c r="S14" s="70">
        <v>500</v>
      </c>
      <c r="T14" s="71">
        <v>45580</v>
      </c>
      <c r="U14" s="72">
        <v>4</v>
      </c>
      <c r="V14" s="73">
        <v>0.02</v>
      </c>
      <c r="W14" s="74">
        <v>40</v>
      </c>
      <c r="X14" s="74">
        <v>540</v>
      </c>
      <c r="Y14" s="244" t="s">
        <v>221</v>
      </c>
      <c r="Z14" s="247" t="s">
        <v>299</v>
      </c>
    </row>
    <row r="15" spans="1:26" ht="13.5" customHeight="1" x14ac:dyDescent="0.3">
      <c r="A15" s="68">
        <v>12</v>
      </c>
      <c r="B15" s="69">
        <v>7</v>
      </c>
      <c r="C15" s="58" t="s">
        <v>20</v>
      </c>
      <c r="D15" s="70">
        <v>100</v>
      </c>
      <c r="E15" s="71">
        <v>44972</v>
      </c>
      <c r="F15" s="72">
        <v>4</v>
      </c>
      <c r="G15" s="73">
        <v>0.02</v>
      </c>
      <c r="H15" s="74">
        <f>PRESTAMOS[[#This Row],[MONTO AMORTIZACION]]*PRESTAMOS[[#This Row],[INTERES]]*PRESTAMOS[[#This Row],[CUOTAS]]</f>
        <v>8</v>
      </c>
      <c r="I15" s="74">
        <f>PRESTAMOS[[#This Row],[MONTO AMORTIZACION]]+PRESTAMOS[[#This Row],[T. INT]]</f>
        <v>108</v>
      </c>
      <c r="J15" s="244"/>
      <c r="K15" s="247" t="str">
        <f>IF(LEN(PRESTAMOS[[#This Row],[REG]])=LEN("AYUDA**"),"PAGADO",IF(SUMIF(PAGOS!$D$3:$D$1048576,A15,PAGOS!$E$3:$E$1048576)-PRESTAMOS[[#This Row],[MONTO AMORTIZACION]]&gt;=-0.1,"PAGADO","PENDIENTE"))</f>
        <v>PAGADO</v>
      </c>
      <c r="N15" s="251"/>
      <c r="O15" s="68">
        <v>54</v>
      </c>
      <c r="P15" s="69">
        <v>2</v>
      </c>
      <c r="Q15" s="58" t="s">
        <v>15</v>
      </c>
      <c r="R15" s="58" t="str">
        <f t="shared" si="0"/>
        <v>TERESA VILCA54</v>
      </c>
      <c r="S15" s="70">
        <v>500</v>
      </c>
      <c r="T15" s="71">
        <v>45611</v>
      </c>
      <c r="U15" s="72">
        <v>3</v>
      </c>
      <c r="V15" s="73">
        <v>0.02</v>
      </c>
      <c r="W15" s="74">
        <v>30</v>
      </c>
      <c r="X15" s="74">
        <v>530</v>
      </c>
      <c r="Y15" s="271" t="s">
        <v>314</v>
      </c>
      <c r="Z15" s="272" t="s">
        <v>299</v>
      </c>
    </row>
    <row r="16" spans="1:26" x14ac:dyDescent="0.3">
      <c r="A16" s="68">
        <v>13</v>
      </c>
      <c r="B16" s="69">
        <v>4</v>
      </c>
      <c r="C16" s="58" t="s">
        <v>17</v>
      </c>
      <c r="D16" s="70">
        <v>400</v>
      </c>
      <c r="E16" s="71">
        <v>45000</v>
      </c>
      <c r="F16" s="72">
        <v>4</v>
      </c>
      <c r="G16" s="73">
        <v>0.02</v>
      </c>
      <c r="H16" s="74">
        <f>PRESTAMOS[[#This Row],[MONTO AMORTIZACION]]*PRESTAMOS[[#This Row],[INTERES]]*PRESTAMOS[[#This Row],[CUOTAS]]</f>
        <v>32</v>
      </c>
      <c r="I16" s="74">
        <f>PRESTAMOS[[#This Row],[MONTO AMORTIZACION]]+PRESTAMOS[[#This Row],[T. INT]]</f>
        <v>432</v>
      </c>
      <c r="J16" s="244"/>
      <c r="K16" s="247" t="str">
        <f>IF(LEN(PRESTAMOS[[#This Row],[REG]])=LEN("AYUDA**"),"PAGADO",IF(SUMIF(PAGOS!$D$3:$D$1048576,A16,PAGOS!$E$3:$E$1048576)-PRESTAMOS[[#This Row],[MONTO AMORTIZACION]]&gt;=-0.1,"PAGADO","PENDIENTE"))</f>
        <v>PAGADO</v>
      </c>
      <c r="N16" s="251"/>
      <c r="O16" s="68">
        <v>55</v>
      </c>
      <c r="P16" s="69">
        <v>9</v>
      </c>
      <c r="Q16" s="58" t="s">
        <v>22</v>
      </c>
      <c r="R16" s="58" t="str">
        <f t="shared" si="0"/>
        <v>DIEGO TOAQUIZA55</v>
      </c>
      <c r="S16" s="70">
        <v>1000</v>
      </c>
      <c r="T16" s="71">
        <v>45611</v>
      </c>
      <c r="U16" s="72">
        <v>10</v>
      </c>
      <c r="V16" s="73">
        <v>0.02</v>
      </c>
      <c r="W16" s="74">
        <v>200</v>
      </c>
      <c r="X16" s="74">
        <v>1200</v>
      </c>
      <c r="Y16" s="271" t="s">
        <v>316</v>
      </c>
      <c r="Z16" s="272" t="s">
        <v>299</v>
      </c>
    </row>
    <row r="17" spans="1:27" x14ac:dyDescent="0.3">
      <c r="A17" s="68">
        <v>14</v>
      </c>
      <c r="B17" s="69">
        <v>13</v>
      </c>
      <c r="C17" s="58" t="s">
        <v>26</v>
      </c>
      <c r="D17" s="70">
        <v>80</v>
      </c>
      <c r="E17" s="71">
        <v>45000</v>
      </c>
      <c r="F17" s="72">
        <v>1</v>
      </c>
      <c r="G17" s="73">
        <v>0.02</v>
      </c>
      <c r="H17" s="74">
        <f>PRESTAMOS[[#This Row],[MONTO AMORTIZACION]]*PRESTAMOS[[#This Row],[INTERES]]*PRESTAMOS[[#This Row],[CUOTAS]]</f>
        <v>1.6</v>
      </c>
      <c r="I17" s="74">
        <f>PRESTAMOS[[#This Row],[MONTO AMORTIZACION]]+PRESTAMOS[[#This Row],[T. INT]]</f>
        <v>81.599999999999994</v>
      </c>
      <c r="J17" s="244"/>
      <c r="K17" s="247" t="str">
        <f>IF(LEN(PRESTAMOS[[#This Row],[REG]])=LEN("AYUDA**"),"PAGADO",IF(SUMIF(PAGOS!$D$3:$D$1048576,A17,PAGOS!$E$3:$E$1048576)-PRESTAMOS[[#This Row],[MONTO AMORTIZACION]]&gt;=-0.1,"PAGADO","PENDIENTE"))</f>
        <v>PAGADO</v>
      </c>
      <c r="N17" s="251"/>
      <c r="O17" s="68">
        <v>56</v>
      </c>
      <c r="P17" s="69">
        <v>7</v>
      </c>
      <c r="Q17" s="58" t="s">
        <v>20</v>
      </c>
      <c r="R17" s="58" t="str">
        <f t="shared" si="0"/>
        <v>MARCIAL CHILIQUINGA56</v>
      </c>
      <c r="S17" s="70">
        <v>200</v>
      </c>
      <c r="T17" s="71">
        <v>45611</v>
      </c>
      <c r="U17" s="72">
        <v>5</v>
      </c>
      <c r="V17" s="73">
        <v>0.02</v>
      </c>
      <c r="W17" s="74">
        <v>20</v>
      </c>
      <c r="X17" s="74">
        <v>220</v>
      </c>
      <c r="Y17" s="271" t="s">
        <v>316</v>
      </c>
      <c r="Z17" s="272" t="s">
        <v>299</v>
      </c>
    </row>
    <row r="18" spans="1:27" x14ac:dyDescent="0.3">
      <c r="A18" s="68">
        <v>15</v>
      </c>
      <c r="B18" s="69">
        <v>9</v>
      </c>
      <c r="C18" s="58" t="s">
        <v>22</v>
      </c>
      <c r="D18" s="70">
        <v>200</v>
      </c>
      <c r="E18" s="71">
        <v>45031</v>
      </c>
      <c r="F18" s="72">
        <v>4</v>
      </c>
      <c r="G18" s="73">
        <v>0.02</v>
      </c>
      <c r="H18" s="74">
        <f>PRESTAMOS[[#This Row],[MONTO AMORTIZACION]]*PRESTAMOS[[#This Row],[INTERES]]*PRESTAMOS[[#This Row],[CUOTAS]]</f>
        <v>16</v>
      </c>
      <c r="I18" s="74">
        <f>PRESTAMOS[[#This Row],[MONTO AMORTIZACION]]+PRESTAMOS[[#This Row],[T. INT]]</f>
        <v>216</v>
      </c>
      <c r="J18" s="244"/>
      <c r="K18" s="247" t="str">
        <f>IF(LEN(PRESTAMOS[[#This Row],[REG]])=LEN("AYUDA**"),"PAGADO",IF(SUMIF(PAGOS!$D$3:$D$1048576,A18,PAGOS!$E$3:$E$1048576)-PRESTAMOS[[#This Row],[MONTO AMORTIZACION]]&gt;=-0.1,"PAGADO","PENDIENTE"))</f>
        <v>PAGADO</v>
      </c>
      <c r="O18" s="68">
        <v>57</v>
      </c>
      <c r="P18" s="69">
        <v>13</v>
      </c>
      <c r="Q18" s="58" t="s">
        <v>26</v>
      </c>
      <c r="R18" s="58" t="str">
        <f t="shared" si="0"/>
        <v>DANNY ALMACHI57</v>
      </c>
      <c r="S18" s="70">
        <v>1000</v>
      </c>
      <c r="T18" s="71">
        <v>45641</v>
      </c>
      <c r="U18" s="72">
        <v>10</v>
      </c>
      <c r="V18" s="73">
        <v>0.02</v>
      </c>
      <c r="W18" s="74">
        <v>200</v>
      </c>
      <c r="X18" s="74">
        <v>1200</v>
      </c>
      <c r="Y18" s="271" t="s">
        <v>337</v>
      </c>
      <c r="Z18" s="272" t="s">
        <v>299</v>
      </c>
      <c r="AA18" s="249"/>
    </row>
    <row r="19" spans="1:27" x14ac:dyDescent="0.3">
      <c r="A19" s="68">
        <v>16</v>
      </c>
      <c r="B19" s="69">
        <v>1</v>
      </c>
      <c r="C19" s="58" t="s">
        <v>14</v>
      </c>
      <c r="D19" s="70">
        <v>100</v>
      </c>
      <c r="E19" s="71">
        <v>45031</v>
      </c>
      <c r="F19" s="72">
        <v>4</v>
      </c>
      <c r="G19" s="73">
        <v>0.02</v>
      </c>
      <c r="H19" s="74">
        <f>PRESTAMOS[[#This Row],[MONTO AMORTIZACION]]*PRESTAMOS[[#This Row],[INTERES]]*PRESTAMOS[[#This Row],[CUOTAS]]</f>
        <v>8</v>
      </c>
      <c r="I19" s="74">
        <f>PRESTAMOS[[#This Row],[MONTO AMORTIZACION]]+PRESTAMOS[[#This Row],[T. INT]]</f>
        <v>108</v>
      </c>
      <c r="J19" s="244"/>
      <c r="K19" s="247" t="str">
        <f>IF(LEN(PRESTAMOS[[#This Row],[REG]])=LEN("AYUDA**"),"PAGADO",IF(SUMIF(PAGOS!$D$3:$D$1048576,A19,PAGOS!$E$3:$E$1048576)-PRESTAMOS[[#This Row],[MONTO AMORTIZACION]]&gt;=-0.1,"PAGADO","PENDIENTE"))</f>
        <v>PAGADO</v>
      </c>
      <c r="O19" s="68">
        <v>58</v>
      </c>
      <c r="P19" s="69">
        <v>8</v>
      </c>
      <c r="Q19" s="58" t="s">
        <v>21</v>
      </c>
      <c r="R19" s="58" t="str">
        <f t="shared" si="0"/>
        <v>LUIS TOAQUIZA58</v>
      </c>
      <c r="S19" s="70">
        <v>500</v>
      </c>
      <c r="T19" s="71">
        <v>45641</v>
      </c>
      <c r="U19" s="72">
        <v>5</v>
      </c>
      <c r="V19" s="73">
        <v>0.02</v>
      </c>
      <c r="W19" s="74">
        <v>50</v>
      </c>
      <c r="X19" s="74">
        <v>550</v>
      </c>
      <c r="Y19" s="271" t="s">
        <v>341</v>
      </c>
      <c r="Z19" s="272" t="s">
        <v>299</v>
      </c>
      <c r="AA19" s="249"/>
    </row>
    <row r="20" spans="1:27" x14ac:dyDescent="0.3">
      <c r="A20" s="68">
        <v>17</v>
      </c>
      <c r="B20" s="69">
        <v>5</v>
      </c>
      <c r="C20" s="58" t="s">
        <v>18</v>
      </c>
      <c r="D20" s="70">
        <v>200</v>
      </c>
      <c r="E20" s="71">
        <v>45061</v>
      </c>
      <c r="F20" s="72">
        <v>2</v>
      </c>
      <c r="G20" s="73">
        <v>0.02</v>
      </c>
      <c r="H20" s="74">
        <f>PRESTAMOS[[#This Row],[MONTO AMORTIZACION]]*PRESTAMOS[[#This Row],[INTERES]]*PRESTAMOS[[#This Row],[CUOTAS]]</f>
        <v>8</v>
      </c>
      <c r="I20" s="74">
        <f>PRESTAMOS[[#This Row],[MONTO AMORTIZACION]]+PRESTAMOS[[#This Row],[T. INT]]</f>
        <v>208</v>
      </c>
      <c r="J20" s="244"/>
      <c r="K20" s="247" t="str">
        <f>IF(LEN(PRESTAMOS[[#This Row],[REG]])=LEN("AYUDA**"),"PAGADO",IF(SUMIF(PAGOS!$D$3:$D$1048576,A20,PAGOS!$E$3:$E$1048576)-PRESTAMOS[[#This Row],[MONTO AMORTIZACION]]&gt;=-0.1,"PAGADO","PENDIENTE"))</f>
        <v>PAGADO</v>
      </c>
    </row>
    <row r="21" spans="1:27" x14ac:dyDescent="0.3">
      <c r="A21" s="68">
        <v>18</v>
      </c>
      <c r="B21" s="69">
        <v>6</v>
      </c>
      <c r="C21" s="58" t="s">
        <v>19</v>
      </c>
      <c r="D21" s="70">
        <v>100</v>
      </c>
      <c r="E21" s="71">
        <v>45061</v>
      </c>
      <c r="F21" s="72">
        <v>4</v>
      </c>
      <c r="G21" s="73">
        <v>0.02</v>
      </c>
      <c r="H21" s="74">
        <f>PRESTAMOS[[#This Row],[MONTO AMORTIZACION]]*PRESTAMOS[[#This Row],[INTERES]]*PRESTAMOS[[#This Row],[CUOTAS]]</f>
        <v>8</v>
      </c>
      <c r="I21" s="74">
        <f>PRESTAMOS[[#This Row],[MONTO AMORTIZACION]]+PRESTAMOS[[#This Row],[T. INT]]</f>
        <v>108</v>
      </c>
      <c r="J21" s="244"/>
      <c r="K21" s="247" t="str">
        <f>IF(LEN(PRESTAMOS[[#This Row],[REG]])=LEN("AYUDA**"),"PAGADO",IF(SUMIF(PAGOS!$D$3:$D$1048576,A21,PAGOS!$E$3:$E$1048576)-PRESTAMOS[[#This Row],[MONTO AMORTIZACION]]&gt;=-0.1,"PAGADO","PENDIENTE"))</f>
        <v>PAGADO</v>
      </c>
    </row>
    <row r="22" spans="1:27" x14ac:dyDescent="0.3">
      <c r="A22" s="68">
        <v>19</v>
      </c>
      <c r="B22" s="69">
        <v>10</v>
      </c>
      <c r="C22" s="58" t="s">
        <v>23</v>
      </c>
      <c r="D22" s="70">
        <v>400</v>
      </c>
      <c r="E22" s="71">
        <v>45092</v>
      </c>
      <c r="F22" s="72">
        <v>4</v>
      </c>
      <c r="G22" s="73">
        <v>0.02</v>
      </c>
      <c r="H22" s="74">
        <f>PRESTAMOS[[#This Row],[MONTO AMORTIZACION]]*PRESTAMOS[[#This Row],[INTERES]]*PRESTAMOS[[#This Row],[CUOTAS]]</f>
        <v>32</v>
      </c>
      <c r="I22" s="74">
        <f>PRESTAMOS[[#This Row],[MONTO AMORTIZACION]]+PRESTAMOS[[#This Row],[T. INT]]</f>
        <v>432</v>
      </c>
      <c r="J22" s="244"/>
      <c r="K22" s="247" t="str">
        <f>IF(LEN(PRESTAMOS[[#This Row],[REG]])=LEN("AYUDA**"),"PAGADO",IF(SUMIF(PAGOS!$D$3:$D$1048576,A22,PAGOS!$E$3:$E$1048576)-PRESTAMOS[[#This Row],[MONTO AMORTIZACION]]&gt;=-0.1,"PAGADO","PENDIENTE"))</f>
        <v>PAGADO</v>
      </c>
    </row>
    <row r="23" spans="1:27" x14ac:dyDescent="0.3">
      <c r="A23" s="68">
        <v>20</v>
      </c>
      <c r="B23" s="69">
        <v>11</v>
      </c>
      <c r="C23" s="58" t="s">
        <v>24</v>
      </c>
      <c r="D23" s="70">
        <v>200</v>
      </c>
      <c r="E23" s="71">
        <v>45092</v>
      </c>
      <c r="F23" s="72">
        <v>4</v>
      </c>
      <c r="G23" s="73">
        <v>0.02</v>
      </c>
      <c r="H23" s="74">
        <f>PRESTAMOS[[#This Row],[MONTO AMORTIZACION]]*PRESTAMOS[[#This Row],[INTERES]]*PRESTAMOS[[#This Row],[CUOTAS]]</f>
        <v>16</v>
      </c>
      <c r="I23" s="74">
        <f>PRESTAMOS[[#This Row],[MONTO AMORTIZACION]]+PRESTAMOS[[#This Row],[T. INT]]</f>
        <v>216</v>
      </c>
      <c r="J23" s="244"/>
      <c r="K23" s="247" t="str">
        <f>IF(LEN(PRESTAMOS[[#This Row],[REG]])=LEN("AYUDA**"),"PAGADO",IF(SUMIF(PAGOS!$D$3:$D$1048576,A23,PAGOS!$E$3:$E$1048576)-PRESTAMOS[[#This Row],[MONTO AMORTIZACION]]&gt;=-0.1,"PAGADO","PENDIENTE"))</f>
        <v>PAGADO</v>
      </c>
    </row>
    <row r="24" spans="1:27" x14ac:dyDescent="0.3">
      <c r="A24" s="68">
        <v>21</v>
      </c>
      <c r="B24" s="69">
        <v>3</v>
      </c>
      <c r="C24" s="58" t="s">
        <v>16</v>
      </c>
      <c r="D24" s="70">
        <v>400</v>
      </c>
      <c r="E24" s="71">
        <v>45092</v>
      </c>
      <c r="F24" s="72">
        <v>4</v>
      </c>
      <c r="G24" s="73">
        <v>0.02</v>
      </c>
      <c r="H24" s="74">
        <f>PRESTAMOS[[#This Row],[MONTO AMORTIZACION]]*PRESTAMOS[[#This Row],[INTERES]]*PRESTAMOS[[#This Row],[CUOTAS]]</f>
        <v>32</v>
      </c>
      <c r="I24" s="74">
        <f>PRESTAMOS[[#This Row],[MONTO AMORTIZACION]]+PRESTAMOS[[#This Row],[T. INT]]</f>
        <v>432</v>
      </c>
      <c r="J24" s="244"/>
      <c r="K24" s="247" t="str">
        <f>IF(LEN(PRESTAMOS[[#This Row],[REG]])=LEN("AYUDA**"),"PAGADO",IF(SUMIF(PAGOS!$D$3:$D$1048576,A24,PAGOS!$E$3:$E$1048576)-PRESTAMOS[[#This Row],[MONTO AMORTIZACION]]&gt;=-0.1,"PAGADO","PENDIENTE"))</f>
        <v>PAGADO</v>
      </c>
    </row>
    <row r="25" spans="1:27" x14ac:dyDescent="0.3">
      <c r="A25" s="68">
        <v>22</v>
      </c>
      <c r="B25" s="69">
        <v>1</v>
      </c>
      <c r="C25" s="58" t="s">
        <v>14</v>
      </c>
      <c r="D25" s="70">
        <v>100</v>
      </c>
      <c r="E25" s="71">
        <v>45128</v>
      </c>
      <c r="F25" s="72">
        <v>1</v>
      </c>
      <c r="G25" s="73">
        <v>0.02</v>
      </c>
      <c r="H25" s="74">
        <f>PRESTAMOS[[#This Row],[MONTO AMORTIZACION]]*PRESTAMOS[[#This Row],[INTERES]]*PRESTAMOS[[#This Row],[CUOTAS]]</f>
        <v>2</v>
      </c>
      <c r="I25" s="74">
        <f>PRESTAMOS[[#This Row],[MONTO AMORTIZACION]]+PRESTAMOS[[#This Row],[T. INT]]</f>
        <v>102</v>
      </c>
      <c r="J25" s="244"/>
      <c r="K25" s="247" t="str">
        <f>IF(LEN(PRESTAMOS[[#This Row],[REG]])=LEN("AYUDA**"),"PAGADO",IF(SUMIF(PAGOS!$D$3:$D$1048576,A25,PAGOS!$E$3:$E$1048576)-PRESTAMOS[[#This Row],[MONTO AMORTIZACION]]&gt;=-0.1,"PAGADO","PENDIENTE"))</f>
        <v>PAGADO</v>
      </c>
    </row>
    <row r="26" spans="1:27" x14ac:dyDescent="0.3">
      <c r="A26" s="68">
        <v>23</v>
      </c>
      <c r="B26" s="69">
        <v>4</v>
      </c>
      <c r="C26" s="58" t="s">
        <v>17</v>
      </c>
      <c r="D26" s="70">
        <v>200</v>
      </c>
      <c r="E26" s="71">
        <v>45128</v>
      </c>
      <c r="F26" s="72">
        <v>1</v>
      </c>
      <c r="G26" s="73">
        <v>0.02</v>
      </c>
      <c r="H26" s="74">
        <f>PRESTAMOS[[#This Row],[MONTO AMORTIZACION]]*PRESTAMOS[[#This Row],[INTERES]]*PRESTAMOS[[#This Row],[CUOTAS]]</f>
        <v>4</v>
      </c>
      <c r="I26" s="74">
        <f>PRESTAMOS[[#This Row],[MONTO AMORTIZACION]]+PRESTAMOS[[#This Row],[T. INT]]</f>
        <v>204</v>
      </c>
      <c r="J26" s="244"/>
      <c r="K26" s="247" t="str">
        <f>IF(LEN(PRESTAMOS[[#This Row],[REG]])=LEN("AYUDA**"),"PAGADO",IF(SUMIF(PAGOS!$D$3:$D$1048576,A26,PAGOS!$E$3:$E$1048576)-PRESTAMOS[[#This Row],[MONTO AMORTIZACION]]&gt;=-0.1,"PAGADO","PENDIENTE"))</f>
        <v>PAGADO</v>
      </c>
    </row>
    <row r="27" spans="1:27" x14ac:dyDescent="0.3">
      <c r="A27" s="68">
        <v>24</v>
      </c>
      <c r="B27" s="69">
        <v>5</v>
      </c>
      <c r="C27" s="58" t="s">
        <v>18</v>
      </c>
      <c r="D27" s="70">
        <v>200</v>
      </c>
      <c r="E27" s="71">
        <v>45153</v>
      </c>
      <c r="F27" s="72">
        <v>1</v>
      </c>
      <c r="G27" s="73">
        <v>0.02</v>
      </c>
      <c r="H27" s="74">
        <f>PRESTAMOS[[#This Row],[MONTO AMORTIZACION]]*PRESTAMOS[[#This Row],[INTERES]]*PRESTAMOS[[#This Row],[CUOTAS]]</f>
        <v>4</v>
      </c>
      <c r="I27" s="74">
        <f>PRESTAMOS[[#This Row],[MONTO AMORTIZACION]]+PRESTAMOS[[#This Row],[T. INT]]</f>
        <v>204</v>
      </c>
      <c r="J27" s="244"/>
      <c r="K27" s="247" t="str">
        <f>IF(LEN(PRESTAMOS[[#This Row],[REG]])=LEN("AYUDA**"),"PAGADO",IF(SUMIF(PAGOS!$D$3:$D$1048576,A27,PAGOS!$E$3:$E$1048576)-PRESTAMOS[[#This Row],[MONTO AMORTIZACION]]&gt;=-0.1,"PAGADO","PENDIENTE"))</f>
        <v>PAGADO</v>
      </c>
    </row>
    <row r="28" spans="1:27" x14ac:dyDescent="0.3">
      <c r="A28" s="68">
        <v>25</v>
      </c>
      <c r="B28" s="69">
        <v>13</v>
      </c>
      <c r="C28" s="58" t="s">
        <v>26</v>
      </c>
      <c r="D28" s="70">
        <v>500</v>
      </c>
      <c r="E28" s="71">
        <v>45184</v>
      </c>
      <c r="F28" s="72">
        <v>6</v>
      </c>
      <c r="G28" s="73">
        <v>0.02</v>
      </c>
      <c r="H28" s="74">
        <f>PRESTAMOS[[#This Row],[MONTO AMORTIZACION]]*PRESTAMOS[[#This Row],[INTERES]]*PRESTAMOS[[#This Row],[CUOTAS]]</f>
        <v>60</v>
      </c>
      <c r="I28" s="74">
        <f>PRESTAMOS[[#This Row],[MONTO AMORTIZACION]]+PRESTAMOS[[#This Row],[T. INT]]</f>
        <v>560</v>
      </c>
      <c r="J28" s="244" t="s">
        <v>78</v>
      </c>
      <c r="K28" s="247" t="str">
        <f>IF(LEN(PRESTAMOS[[#This Row],[REG]])=LEN("AYUDA**"),"PAGADO",IF(SUMIF(PAGOS!$D$3:$D$1048576,A28,PAGOS!$E$3:$E$1048576)-PRESTAMOS[[#This Row],[MONTO AMORTIZACION]]&gt;=-0.1,"PAGADO","PENDIENTE"))</f>
        <v>PAGADO</v>
      </c>
    </row>
    <row r="29" spans="1:27" x14ac:dyDescent="0.3">
      <c r="A29" s="68">
        <v>26</v>
      </c>
      <c r="B29" s="69">
        <v>4</v>
      </c>
      <c r="C29" s="58" t="s">
        <v>17</v>
      </c>
      <c r="D29" s="70">
        <v>100</v>
      </c>
      <c r="E29" s="71">
        <v>45184</v>
      </c>
      <c r="F29" s="72">
        <v>1</v>
      </c>
      <c r="G29" s="73">
        <v>0.02</v>
      </c>
      <c r="H29" s="74">
        <f>PRESTAMOS[[#This Row],[MONTO AMORTIZACION]]*PRESTAMOS[[#This Row],[INTERES]]*PRESTAMOS[[#This Row],[CUOTAS]]</f>
        <v>2</v>
      </c>
      <c r="I29" s="74">
        <f>PRESTAMOS[[#This Row],[MONTO AMORTIZACION]]+PRESTAMOS[[#This Row],[T. INT]]</f>
        <v>102</v>
      </c>
      <c r="J29" s="244" t="s">
        <v>79</v>
      </c>
      <c r="K29" s="247" t="str">
        <f>IF(LEN(PRESTAMOS[[#This Row],[REG]])=LEN("AYUDA**"),"PAGADO",IF(SUMIF(PAGOS!$D$3:$D$1048576,A29,PAGOS!$E$3:$E$1048576)-PRESTAMOS[[#This Row],[MONTO AMORTIZACION]]&gt;=-0.1,"PAGADO","PENDIENTE"))</f>
        <v>PAGADO</v>
      </c>
    </row>
    <row r="30" spans="1:27" x14ac:dyDescent="0.3">
      <c r="A30" s="68">
        <v>27</v>
      </c>
      <c r="B30" s="69">
        <v>2</v>
      </c>
      <c r="C30" s="58" t="s">
        <v>15</v>
      </c>
      <c r="D30" s="70">
        <v>100</v>
      </c>
      <c r="E30" s="71">
        <v>45184</v>
      </c>
      <c r="F30" s="72">
        <v>4</v>
      </c>
      <c r="G30" s="73">
        <v>0.02</v>
      </c>
      <c r="H30" s="74">
        <f>PRESTAMOS[[#This Row],[MONTO AMORTIZACION]]*PRESTAMOS[[#This Row],[INTERES]]*PRESTAMOS[[#This Row],[CUOTAS]]</f>
        <v>8</v>
      </c>
      <c r="I30" s="74">
        <f>PRESTAMOS[[#This Row],[MONTO AMORTIZACION]]+PRESTAMOS[[#This Row],[T. INT]]</f>
        <v>108</v>
      </c>
      <c r="J30" s="244" t="s">
        <v>80</v>
      </c>
      <c r="K30" s="247" t="str">
        <f>IF(LEN(PRESTAMOS[[#This Row],[REG]])=LEN("AYUDA**"),"PAGADO",IF(SUMIF(PAGOS!$D$3:$D$1048576,A30,PAGOS!$E$3:$E$1048576)-PRESTAMOS[[#This Row],[MONTO AMORTIZACION]]&gt;=-0.1,"PAGADO","PENDIENTE"))</f>
        <v>PAGADO</v>
      </c>
    </row>
    <row r="31" spans="1:27" x14ac:dyDescent="0.3">
      <c r="A31" s="68">
        <v>28</v>
      </c>
      <c r="B31" s="69">
        <v>6</v>
      </c>
      <c r="C31" s="58" t="s">
        <v>19</v>
      </c>
      <c r="D31" s="70">
        <v>600</v>
      </c>
      <c r="E31" s="71">
        <v>45214</v>
      </c>
      <c r="F31" s="72">
        <v>4</v>
      </c>
      <c r="G31" s="73">
        <v>0.02</v>
      </c>
      <c r="H31" s="74">
        <f>PRESTAMOS[[#This Row],[MONTO AMORTIZACION]]*PRESTAMOS[[#This Row],[INTERES]]*PRESTAMOS[[#This Row],[CUOTAS]]</f>
        <v>48</v>
      </c>
      <c r="I31" s="74">
        <f>PRESTAMOS[[#This Row],[MONTO AMORTIZACION]]+PRESTAMOS[[#This Row],[T. INT]]</f>
        <v>648</v>
      </c>
      <c r="J31" s="244" t="s">
        <v>118</v>
      </c>
      <c r="K31" s="247" t="str">
        <f>IF(LEN(PRESTAMOS[[#This Row],[REG]])=LEN("AYUDA**"),"PAGADO",IF(SUMIF(PAGOS!$D$3:$D$1048576,A31,PAGOS!$E$3:$E$1048576)-PRESTAMOS[[#This Row],[MONTO AMORTIZACION]]&gt;=-0.1,"PAGADO","PENDIENTE"))</f>
        <v>PAGADO</v>
      </c>
    </row>
    <row r="32" spans="1:27" x14ac:dyDescent="0.3">
      <c r="A32" s="68">
        <v>29</v>
      </c>
      <c r="B32" s="69">
        <v>12</v>
      </c>
      <c r="C32" s="58" t="s">
        <v>25</v>
      </c>
      <c r="D32" s="70">
        <v>200</v>
      </c>
      <c r="E32" s="71">
        <v>45214</v>
      </c>
      <c r="F32" s="72">
        <v>4</v>
      </c>
      <c r="G32" s="73">
        <v>0.02</v>
      </c>
      <c r="H32" s="74">
        <f>PRESTAMOS[[#This Row],[MONTO AMORTIZACION]]*PRESTAMOS[[#This Row],[INTERES]]*PRESTAMOS[[#This Row],[CUOTAS]]</f>
        <v>16</v>
      </c>
      <c r="I32" s="74">
        <f>PRESTAMOS[[#This Row],[MONTO AMORTIZACION]]+PRESTAMOS[[#This Row],[T. INT]]</f>
        <v>216</v>
      </c>
      <c r="J32" s="244" t="s">
        <v>119</v>
      </c>
      <c r="K32" s="247" t="str">
        <f>IF(LEN(PRESTAMOS[[#This Row],[REG]])=LEN("AYUDA**"),"PAGADO",IF(SUMIF(PAGOS!$D$3:$D$1048576,A32,PAGOS!$E$3:$E$1048576)-PRESTAMOS[[#This Row],[MONTO AMORTIZACION]]&gt;=-0.1,"PAGADO","PENDIENTE"))</f>
        <v>PAGADO</v>
      </c>
    </row>
    <row r="33" spans="1:11" x14ac:dyDescent="0.3">
      <c r="A33" s="68">
        <v>30</v>
      </c>
      <c r="B33" s="69">
        <v>9</v>
      </c>
      <c r="C33" s="58" t="s">
        <v>22</v>
      </c>
      <c r="D33" s="70">
        <v>400</v>
      </c>
      <c r="E33" s="71">
        <v>45214</v>
      </c>
      <c r="F33" s="72">
        <v>7</v>
      </c>
      <c r="G33" s="73">
        <v>0.02</v>
      </c>
      <c r="H33" s="74">
        <f>PRESTAMOS[[#This Row],[MONTO AMORTIZACION]]*PRESTAMOS[[#This Row],[INTERES]]*PRESTAMOS[[#This Row],[CUOTAS]]</f>
        <v>56</v>
      </c>
      <c r="I33" s="74">
        <f>PRESTAMOS[[#This Row],[MONTO AMORTIZACION]]+PRESTAMOS[[#This Row],[T. INT]]</f>
        <v>456</v>
      </c>
      <c r="J33" s="244" t="s">
        <v>120</v>
      </c>
      <c r="K33" s="247" t="str">
        <f>IF(LEN(PRESTAMOS[[#This Row],[REG]])=LEN("AYUDA**"),"PAGADO",IF(SUMIF(PAGOS!$D$3:$D$1048576,A33,PAGOS!$E$3:$E$1048576)-PRESTAMOS[[#This Row],[MONTO AMORTIZACION]]&gt;=-0.1,"PAGADO","PENDIENTE"))</f>
        <v>PAGADO</v>
      </c>
    </row>
    <row r="34" spans="1:11" x14ac:dyDescent="0.3">
      <c r="A34" s="68">
        <v>31</v>
      </c>
      <c r="B34" s="69">
        <v>3</v>
      </c>
      <c r="C34" s="58" t="s">
        <v>16</v>
      </c>
      <c r="D34" s="70">
        <v>200</v>
      </c>
      <c r="E34" s="71">
        <v>45245</v>
      </c>
      <c r="F34" s="72">
        <v>4</v>
      </c>
      <c r="G34" s="73">
        <v>0.02</v>
      </c>
      <c r="H34" s="74">
        <f>PRESTAMOS[[#This Row],[MONTO AMORTIZACION]]*PRESTAMOS[[#This Row],[INTERES]]*PRESTAMOS[[#This Row],[CUOTAS]]</f>
        <v>16</v>
      </c>
      <c r="I34" s="74">
        <f>PRESTAMOS[[#This Row],[MONTO AMORTIZACION]]+PRESTAMOS[[#This Row],[T. INT]]</f>
        <v>216</v>
      </c>
      <c r="J34" s="244" t="s">
        <v>129</v>
      </c>
      <c r="K34" s="247" t="str">
        <f>IF(LEN(PRESTAMOS[[#This Row],[REG]])=LEN("AYUDA**"),"PAGADO",IF(SUMIF(PAGOS!$D$3:$D$1048576,A34,PAGOS!$E$3:$E$1048576)-PRESTAMOS[[#This Row],[MONTO AMORTIZACION]]&gt;=-0.1,"PAGADO","PENDIENTE"))</f>
        <v>PAGADO</v>
      </c>
    </row>
    <row r="35" spans="1:11" x14ac:dyDescent="0.3">
      <c r="A35" s="68">
        <v>32</v>
      </c>
      <c r="B35" s="69">
        <v>10</v>
      </c>
      <c r="C35" s="58" t="s">
        <v>23</v>
      </c>
      <c r="D35" s="70">
        <v>250</v>
      </c>
      <c r="E35" s="71">
        <v>45245</v>
      </c>
      <c r="F35" s="72">
        <v>4</v>
      </c>
      <c r="G35" s="73">
        <v>0.02</v>
      </c>
      <c r="H35" s="74">
        <f>PRESTAMOS[[#This Row],[MONTO AMORTIZACION]]*PRESTAMOS[[#This Row],[INTERES]]*PRESTAMOS[[#This Row],[CUOTAS]]</f>
        <v>20</v>
      </c>
      <c r="I35" s="74">
        <f>PRESTAMOS[[#This Row],[MONTO AMORTIZACION]]+PRESTAMOS[[#This Row],[T. INT]]</f>
        <v>270</v>
      </c>
      <c r="J35" s="244" t="s">
        <v>129</v>
      </c>
      <c r="K35" s="247" t="str">
        <f>IF(LEN(PRESTAMOS[[#This Row],[REG]])=LEN("AYUDA**"),"PAGADO",IF(SUMIF(PAGOS!$D$3:$D$1048576,A35,PAGOS!$E$3:$E$1048576)-PRESTAMOS[[#This Row],[MONTO AMORTIZACION]]&gt;=-0.1,"PAGADO","PENDIENTE"))</f>
        <v>PAGADO</v>
      </c>
    </row>
    <row r="36" spans="1:11" x14ac:dyDescent="0.3">
      <c r="A36" s="68">
        <v>33</v>
      </c>
      <c r="B36" s="69">
        <v>10</v>
      </c>
      <c r="C36" s="58" t="s">
        <v>23</v>
      </c>
      <c r="D36" s="70">
        <v>500</v>
      </c>
      <c r="E36" s="71">
        <v>45306</v>
      </c>
      <c r="F36" s="72">
        <v>2</v>
      </c>
      <c r="G36" s="73">
        <v>0.02</v>
      </c>
      <c r="H36" s="74">
        <f>PRESTAMOS[[#This Row],[MONTO AMORTIZACION]]*PRESTAMOS[[#This Row],[INTERES]]*PRESTAMOS[[#This Row],[CUOTAS]]</f>
        <v>20</v>
      </c>
      <c r="I36" s="74">
        <f>PRESTAMOS[[#This Row],[MONTO AMORTIZACION]]+PRESTAMOS[[#This Row],[T. INT]]</f>
        <v>520</v>
      </c>
      <c r="J36" s="244" t="s">
        <v>136</v>
      </c>
      <c r="K36" s="247" t="str">
        <f>IF(LEN(PRESTAMOS[[#This Row],[REG]])=LEN("AYUDA**"),"PAGADO",IF(SUMIF(PAGOS!$D$3:$D$1048576,A36,PAGOS!$E$3:$E$1048576)-PRESTAMOS[[#This Row],[MONTO AMORTIZACION]]&gt;=-0.1,"PAGADO","PENDIENTE"))</f>
        <v>PAGADO</v>
      </c>
    </row>
    <row r="37" spans="1:11" x14ac:dyDescent="0.3">
      <c r="A37" s="68">
        <v>34</v>
      </c>
      <c r="B37" s="69">
        <v>11</v>
      </c>
      <c r="C37" s="58" t="s">
        <v>24</v>
      </c>
      <c r="D37" s="70">
        <v>100</v>
      </c>
      <c r="E37" s="71">
        <v>45311</v>
      </c>
      <c r="F37" s="72">
        <v>5</v>
      </c>
      <c r="G37" s="73">
        <v>0.02</v>
      </c>
      <c r="H37" s="74">
        <f>PRESTAMOS[[#This Row],[MONTO AMORTIZACION]]*PRESTAMOS[[#This Row],[INTERES]]*PRESTAMOS[[#This Row],[CUOTAS]]</f>
        <v>10</v>
      </c>
      <c r="I37" s="74">
        <f>PRESTAMOS[[#This Row],[MONTO AMORTIZACION]]+PRESTAMOS[[#This Row],[T. INT]]</f>
        <v>110</v>
      </c>
      <c r="J37" s="244" t="s">
        <v>140</v>
      </c>
      <c r="K37" s="247" t="str">
        <f>IF(LEN(PRESTAMOS[[#This Row],[REG]])=LEN("AYUDA**"),"PAGADO",IF(SUMIF(PAGOS!$D$3:$D$1048576,A37,PAGOS!$E$3:$E$1048576)-PRESTAMOS[[#This Row],[MONTO AMORTIZACION]]&gt;=-0.1,"PAGADO","PENDIENTE"))</f>
        <v>PAGADO</v>
      </c>
    </row>
    <row r="38" spans="1:11" x14ac:dyDescent="0.3">
      <c r="A38" s="68">
        <v>35</v>
      </c>
      <c r="B38" s="69">
        <v>6</v>
      </c>
      <c r="C38" s="58" t="s">
        <v>19</v>
      </c>
      <c r="D38" s="70">
        <v>600</v>
      </c>
      <c r="E38" s="71">
        <v>45337</v>
      </c>
      <c r="F38" s="72">
        <v>5</v>
      </c>
      <c r="G38" s="73">
        <v>0.02</v>
      </c>
      <c r="H38" s="74">
        <f>PRESTAMOS[[#This Row],[MONTO AMORTIZACION]]*PRESTAMOS[[#This Row],[INTERES]]*PRESTAMOS[[#This Row],[CUOTAS]]</f>
        <v>60</v>
      </c>
      <c r="I38" s="74">
        <f>PRESTAMOS[[#This Row],[MONTO AMORTIZACION]]+PRESTAMOS[[#This Row],[T. INT]]</f>
        <v>660</v>
      </c>
      <c r="J38" s="244" t="s">
        <v>187</v>
      </c>
      <c r="K38" s="247" t="str">
        <f>IF(LEN(PRESTAMOS[[#This Row],[REG]])=LEN("AYUDA**"),"PAGADO",IF(SUMIF(PAGOS!$D$3:$D$1048576,A38,PAGOS!$E$3:$E$1048576)-PRESTAMOS[[#This Row],[MONTO AMORTIZACION]]&gt;=-0.1,"PAGADO","PENDIENTE"))</f>
        <v>PAGADO</v>
      </c>
    </row>
    <row r="39" spans="1:11" x14ac:dyDescent="0.3">
      <c r="A39" s="68">
        <v>36</v>
      </c>
      <c r="B39" s="69">
        <v>1</v>
      </c>
      <c r="C39" s="58" t="s">
        <v>14</v>
      </c>
      <c r="D39" s="70">
        <v>100</v>
      </c>
      <c r="E39" s="71">
        <v>45341</v>
      </c>
      <c r="F39" s="72">
        <v>4</v>
      </c>
      <c r="G39" s="73">
        <v>0.02</v>
      </c>
      <c r="H39" s="74">
        <f>PRESTAMOS[[#This Row],[MONTO AMORTIZACION]]*PRESTAMOS[[#This Row],[INTERES]]*PRESTAMOS[[#This Row],[CUOTAS]]</f>
        <v>8</v>
      </c>
      <c r="I39" s="74">
        <f>PRESTAMOS[[#This Row],[MONTO AMORTIZACION]]+PRESTAMOS[[#This Row],[T. INT]]</f>
        <v>108</v>
      </c>
      <c r="J39" s="244" t="s">
        <v>210</v>
      </c>
      <c r="K39" s="247" t="str">
        <f>IF(LEN(PRESTAMOS[[#This Row],[REG]])=LEN("AYUDA**"),"PAGADO",IF(SUMIF(PAGOS!$D$3:$D$1048576,A39,PAGOS!$E$3:$E$1048576)-PRESTAMOS[[#This Row],[MONTO AMORTIZACION]]&gt;=-0.1,"PAGADO","PENDIENTE"))</f>
        <v>PAGADO</v>
      </c>
    </row>
    <row r="40" spans="1:11" x14ac:dyDescent="0.3">
      <c r="A40" s="68">
        <v>37</v>
      </c>
      <c r="B40" s="69">
        <v>3</v>
      </c>
      <c r="C40" s="58" t="s">
        <v>16</v>
      </c>
      <c r="D40" s="70">
        <v>1000</v>
      </c>
      <c r="E40" s="71">
        <v>45366</v>
      </c>
      <c r="F40" s="72">
        <v>10</v>
      </c>
      <c r="G40" s="73">
        <v>0.02</v>
      </c>
      <c r="H40" s="74">
        <f>PRESTAMOS[[#This Row],[MONTO AMORTIZACION]]*PRESTAMOS[[#This Row],[INTERES]]*PRESTAMOS[[#This Row],[CUOTAS]]</f>
        <v>200</v>
      </c>
      <c r="I40" s="74">
        <f>PRESTAMOS[[#This Row],[MONTO AMORTIZACION]]+PRESTAMOS[[#This Row],[T. INT]]</f>
        <v>1200</v>
      </c>
      <c r="J40" s="244" t="s">
        <v>218</v>
      </c>
      <c r="K40" s="247" t="str">
        <f>IF(LEN(PRESTAMOS[[#This Row],[REG]])=LEN("AYUDA**"),"PAGADO",IF(SUMIF(PAGOS!$D$3:$D$1048576,A40,PAGOS!$E$3:$E$1048576)-PRESTAMOS[[#This Row],[MONTO AMORTIZACION]]&gt;=-0.1,"PAGADO","PENDIENTE"))</f>
        <v>PAGADO</v>
      </c>
    </row>
    <row r="41" spans="1:11" x14ac:dyDescent="0.3">
      <c r="A41" s="68">
        <v>38</v>
      </c>
      <c r="B41" s="69">
        <v>11</v>
      </c>
      <c r="C41" s="58" t="s">
        <v>24</v>
      </c>
      <c r="D41" s="70">
        <v>600</v>
      </c>
      <c r="E41" s="71">
        <v>45366</v>
      </c>
      <c r="F41" s="72">
        <v>12</v>
      </c>
      <c r="G41" s="73">
        <v>0.02</v>
      </c>
      <c r="H41" s="74">
        <f>PRESTAMOS[[#This Row],[MONTO AMORTIZACION]]*PRESTAMOS[[#This Row],[INTERES]]*PRESTAMOS[[#This Row],[CUOTAS]]</f>
        <v>144</v>
      </c>
      <c r="I41" s="74">
        <f>PRESTAMOS[[#This Row],[MONTO AMORTIZACION]]+PRESTAMOS[[#This Row],[T. INT]]</f>
        <v>744</v>
      </c>
      <c r="J41" s="244" t="s">
        <v>218</v>
      </c>
      <c r="K41" s="247" t="str">
        <f>IF(LEN(PRESTAMOS[[#This Row],[REG]])=LEN("AYUDA**"),"PAGADO",IF(SUMIF(PAGOS!$D$3:$D$1048576,A41,PAGOS!$E$3:$E$1048576)-PRESTAMOS[[#This Row],[MONTO AMORTIZACION]]&gt;=-0.1,"PAGADO","PENDIENTE"))</f>
        <v>PENDIENTE</v>
      </c>
    </row>
    <row r="42" spans="1:11" x14ac:dyDescent="0.3">
      <c r="A42" s="68">
        <v>39</v>
      </c>
      <c r="B42" s="69">
        <v>10</v>
      </c>
      <c r="C42" s="58" t="s">
        <v>23</v>
      </c>
      <c r="D42" s="70">
        <v>400</v>
      </c>
      <c r="E42" s="71">
        <v>45366</v>
      </c>
      <c r="F42" s="72">
        <v>4</v>
      </c>
      <c r="G42" s="73">
        <v>0.02</v>
      </c>
      <c r="H42" s="74">
        <f>PRESTAMOS[[#This Row],[MONTO AMORTIZACION]]*PRESTAMOS[[#This Row],[INTERES]]*PRESTAMOS[[#This Row],[CUOTAS]]</f>
        <v>32</v>
      </c>
      <c r="I42" s="74">
        <f>PRESTAMOS[[#This Row],[MONTO AMORTIZACION]]+PRESTAMOS[[#This Row],[T. INT]]</f>
        <v>432</v>
      </c>
      <c r="J42" s="244" t="s">
        <v>221</v>
      </c>
      <c r="K42" s="247" t="str">
        <f>IF(LEN(PRESTAMOS[[#This Row],[REG]])=LEN("AYUDA**"),"PAGADO",IF(SUMIF(PAGOS!$D$3:$D$1048576,A42,PAGOS!$E$3:$E$1048576)-PRESTAMOS[[#This Row],[MONTO AMORTIZACION]]&gt;=-0.1,"PAGADO","PENDIENTE"))</f>
        <v>PAGADO</v>
      </c>
    </row>
    <row r="43" spans="1:11" x14ac:dyDescent="0.3">
      <c r="A43" s="68">
        <v>40</v>
      </c>
      <c r="B43" s="69">
        <v>7</v>
      </c>
      <c r="C43" s="58" t="s">
        <v>20</v>
      </c>
      <c r="D43" s="70">
        <v>100</v>
      </c>
      <c r="E43" s="71">
        <v>45366</v>
      </c>
      <c r="F43" s="72">
        <v>5</v>
      </c>
      <c r="G43" s="73">
        <v>0.02</v>
      </c>
      <c r="H43" s="74">
        <f>PRESTAMOS[[#This Row],[MONTO AMORTIZACION]]*PRESTAMOS[[#This Row],[INTERES]]*PRESTAMOS[[#This Row],[CUOTAS]]</f>
        <v>10</v>
      </c>
      <c r="I43" s="74">
        <f>PRESTAMOS[[#This Row],[MONTO AMORTIZACION]]+PRESTAMOS[[#This Row],[T. INT]]</f>
        <v>110</v>
      </c>
      <c r="J43" s="244" t="s">
        <v>218</v>
      </c>
      <c r="K43" s="247" t="str">
        <f>IF(LEN(PRESTAMOS[[#This Row],[REG]])=LEN("AYUDA**"),"PAGADO",IF(SUMIF(PAGOS!$D$3:$D$1048576,A43,PAGOS!$E$3:$E$1048576)-PRESTAMOS[[#This Row],[MONTO AMORTIZACION]]&gt;=-0.1,"PAGADO","PENDIENTE"))</f>
        <v>PAGADO</v>
      </c>
    </row>
    <row r="44" spans="1:11" x14ac:dyDescent="0.3">
      <c r="A44" s="68">
        <v>41</v>
      </c>
      <c r="B44" s="69">
        <v>12</v>
      </c>
      <c r="C44" s="58" t="s">
        <v>25</v>
      </c>
      <c r="D44" s="70">
        <v>150</v>
      </c>
      <c r="E44" s="71">
        <v>45397</v>
      </c>
      <c r="F44" s="72">
        <v>3</v>
      </c>
      <c r="G44" s="73">
        <v>0.02</v>
      </c>
      <c r="H44" s="74">
        <f>PRESTAMOS[[#This Row],[MONTO AMORTIZACION]]*PRESTAMOS[[#This Row],[INTERES]]*PRESTAMOS[[#This Row],[CUOTAS]]</f>
        <v>9</v>
      </c>
      <c r="I44" s="74">
        <f>PRESTAMOS[[#This Row],[MONTO AMORTIZACION]]+PRESTAMOS[[#This Row],[T. INT]]</f>
        <v>159</v>
      </c>
      <c r="J44" s="244" t="s">
        <v>228</v>
      </c>
      <c r="K44" s="247" t="str">
        <f>IF(LEN(PRESTAMOS[[#This Row],[REG]])=LEN("AYUDA**"),"PAGADO",IF(SUMIF(PAGOS!$D$3:$D$1048576,A44,PAGOS!$E$3:$E$1048576)-PRESTAMOS[[#This Row],[MONTO AMORTIZACION]]&gt;=-0.1,"PAGADO","PENDIENTE"))</f>
        <v>PAGADO</v>
      </c>
    </row>
    <row r="45" spans="1:11" x14ac:dyDescent="0.3">
      <c r="A45" s="68" t="s">
        <v>297</v>
      </c>
      <c r="B45" s="55">
        <v>15</v>
      </c>
      <c r="C45" s="58" t="s">
        <v>76</v>
      </c>
      <c r="D45" s="70">
        <v>100</v>
      </c>
      <c r="E45" s="71">
        <v>45397</v>
      </c>
      <c r="F45" s="72">
        <v>0</v>
      </c>
      <c r="G45" s="73">
        <v>0</v>
      </c>
      <c r="H45" s="74">
        <f>PRESTAMOS[[#This Row],[MONTO AMORTIZACION]]*PRESTAMOS[[#This Row],[INTERES]]*PRESTAMOS[[#This Row],[CUOTAS]]</f>
        <v>0</v>
      </c>
      <c r="I45" s="74">
        <f>PRESTAMOS[[#This Row],[MONTO AMORTIZACION]]+PRESTAMOS[[#This Row],[T. INT]]</f>
        <v>100</v>
      </c>
      <c r="J45" s="245" t="s">
        <v>230</v>
      </c>
      <c r="K45" s="247" t="str">
        <f>IF(LEN(PRESTAMOS[[#This Row],[REG]])=LEN("AYUDA**"),"PAGADO",IF(SUMIF(PAGOS!$D$3:$D$1048576,A45,PAGOS!$E$3:$E$1048576)-PRESTAMOS[[#This Row],[MONTO AMORTIZACION]]&gt;=-0.1,"PAGADO","PENDIENTE"))</f>
        <v>PAGADO</v>
      </c>
    </row>
    <row r="46" spans="1:11" x14ac:dyDescent="0.3">
      <c r="A46" s="68">
        <v>42</v>
      </c>
      <c r="B46" s="69">
        <v>9</v>
      </c>
      <c r="C46" s="58" t="s">
        <v>22</v>
      </c>
      <c r="D46" s="70">
        <v>600</v>
      </c>
      <c r="E46" s="71">
        <v>45427</v>
      </c>
      <c r="F46" s="72">
        <v>7</v>
      </c>
      <c r="G46" s="73">
        <v>0.02</v>
      </c>
      <c r="H46" s="74">
        <f>PRESTAMOS[[#This Row],[MONTO AMORTIZACION]]*PRESTAMOS[[#This Row],[INTERES]]*PRESTAMOS[[#This Row],[CUOTAS]]</f>
        <v>84</v>
      </c>
      <c r="I46" s="74">
        <f>PRESTAMOS[[#This Row],[MONTO AMORTIZACION]]+PRESTAMOS[[#This Row],[T. INT]]</f>
        <v>684</v>
      </c>
      <c r="J46" s="244" t="s">
        <v>218</v>
      </c>
      <c r="K46" s="247" t="str">
        <f>IF(LEN(PRESTAMOS[[#This Row],[REG]])=LEN("AYUDA**"),"PAGADO",IF(SUMIF(PAGOS!$D$3:$D$1048576,A46,PAGOS!$E$3:$E$1048576)-PRESTAMOS[[#This Row],[MONTO AMORTIZACION]]&gt;=-0.1,"PAGADO","PENDIENTE"))</f>
        <v>PAGADO</v>
      </c>
    </row>
    <row r="47" spans="1:11" x14ac:dyDescent="0.3">
      <c r="A47" s="68">
        <v>43</v>
      </c>
      <c r="B47" s="69">
        <v>4</v>
      </c>
      <c r="C47" s="58" t="s">
        <v>17</v>
      </c>
      <c r="D47" s="70">
        <v>400</v>
      </c>
      <c r="E47" s="71">
        <v>45427</v>
      </c>
      <c r="F47" s="72">
        <v>4</v>
      </c>
      <c r="G47" s="73">
        <v>0.02</v>
      </c>
      <c r="H47" s="74">
        <f>PRESTAMOS[[#This Row],[MONTO AMORTIZACION]]*PRESTAMOS[[#This Row],[INTERES]]*PRESTAMOS[[#This Row],[CUOTAS]]</f>
        <v>32</v>
      </c>
      <c r="I47" s="74">
        <f>PRESTAMOS[[#This Row],[MONTO AMORTIZACION]]+PRESTAMOS[[#This Row],[T. INT]]</f>
        <v>432</v>
      </c>
      <c r="J47" s="244" t="s">
        <v>233</v>
      </c>
      <c r="K47" s="247" t="str">
        <f>IF(LEN(PRESTAMOS[[#This Row],[REG]])=LEN("AYUDA**"),"PAGADO",IF(SUMIF(PAGOS!$D$3:$D$1048576,A47,PAGOS!$E$3:$E$1048576)-PRESTAMOS[[#This Row],[MONTO AMORTIZACION]]&gt;=-0.1,"PAGADO","PENDIENTE"))</f>
        <v>PAGADO</v>
      </c>
    </row>
    <row r="48" spans="1:11" x14ac:dyDescent="0.3">
      <c r="A48" s="68">
        <v>44</v>
      </c>
      <c r="B48" s="69">
        <v>10</v>
      </c>
      <c r="C48" s="58" t="s">
        <v>23</v>
      </c>
      <c r="D48" s="70">
        <v>700</v>
      </c>
      <c r="E48" s="71">
        <v>45458</v>
      </c>
      <c r="F48" s="72">
        <v>5</v>
      </c>
      <c r="G48" s="73">
        <v>0.02</v>
      </c>
      <c r="H48" s="74">
        <f>PRESTAMOS[[#This Row],[MONTO AMORTIZACION]]*PRESTAMOS[[#This Row],[INTERES]]*PRESTAMOS[[#This Row],[CUOTAS]]</f>
        <v>70</v>
      </c>
      <c r="I48" s="74">
        <f>PRESTAMOS[[#This Row],[MONTO AMORTIZACION]]+PRESTAMOS[[#This Row],[T. INT]]</f>
        <v>770</v>
      </c>
      <c r="J48" s="244" t="s">
        <v>233</v>
      </c>
      <c r="K48" s="247" t="str">
        <f>IF(LEN(PRESTAMOS[[#This Row],[REG]])=LEN("AYUDA**"),"PAGADO",IF(SUMIF(PAGOS!$D$3:$D$1048576,A48,PAGOS!$E$3:$E$1048576)-PRESTAMOS[[#This Row],[MONTO AMORTIZACION]]&gt;=-0.1,"PAGADO","PENDIENTE"))</f>
        <v>PAGADO</v>
      </c>
    </row>
    <row r="49" spans="1:11" x14ac:dyDescent="0.3">
      <c r="A49" s="68">
        <v>45</v>
      </c>
      <c r="B49" s="69">
        <v>5</v>
      </c>
      <c r="C49" s="58" t="s">
        <v>18</v>
      </c>
      <c r="D49" s="70">
        <v>300</v>
      </c>
      <c r="E49" s="71">
        <v>45458</v>
      </c>
      <c r="F49" s="72">
        <v>3</v>
      </c>
      <c r="G49" s="73">
        <v>0.02</v>
      </c>
      <c r="H49" s="74">
        <f>PRESTAMOS[[#This Row],[MONTO AMORTIZACION]]*PRESTAMOS[[#This Row],[INTERES]]*PRESTAMOS[[#This Row],[CUOTAS]]</f>
        <v>18</v>
      </c>
      <c r="I49" s="74">
        <f>PRESTAMOS[[#This Row],[MONTO AMORTIZACION]]+PRESTAMOS[[#This Row],[T. INT]]</f>
        <v>318</v>
      </c>
      <c r="J49" s="244" t="s">
        <v>233</v>
      </c>
      <c r="K49" s="247" t="str">
        <f>IF(LEN(PRESTAMOS[[#This Row],[REG]])=LEN("AYUDA**"),"PAGADO",IF(SUMIF(PAGOS!$D$3:$D$1048576,A49,PAGOS!$E$3:$E$1048576)-PRESTAMOS[[#This Row],[MONTO AMORTIZACION]]&gt;=-0.1,"PAGADO","PENDIENTE"))</f>
        <v>PAGADO</v>
      </c>
    </row>
    <row r="50" spans="1:11" x14ac:dyDescent="0.3">
      <c r="A50" s="68">
        <v>46</v>
      </c>
      <c r="B50" s="69">
        <v>13</v>
      </c>
      <c r="C50" s="58" t="s">
        <v>26</v>
      </c>
      <c r="D50" s="70">
        <v>500</v>
      </c>
      <c r="E50" s="71">
        <v>45488</v>
      </c>
      <c r="F50" s="72">
        <v>5</v>
      </c>
      <c r="G50" s="73">
        <v>0.02</v>
      </c>
      <c r="H50" s="74">
        <f>PRESTAMOS[[#This Row],[MONTO AMORTIZACION]]*PRESTAMOS[[#This Row],[INTERES]]*PRESTAMOS[[#This Row],[CUOTAS]]</f>
        <v>50</v>
      </c>
      <c r="I50" s="74">
        <f>PRESTAMOS[[#This Row],[MONTO AMORTIZACION]]+PRESTAMOS[[#This Row],[T. INT]]</f>
        <v>550</v>
      </c>
      <c r="J50" s="244" t="s">
        <v>247</v>
      </c>
      <c r="K50" s="247" t="str">
        <f>IF(LEN(PRESTAMOS[[#This Row],[REG]])=LEN("AYUDA**"),"PAGADO",IF(SUMIF(PAGOS!$D$3:$D$1048576,A50,PAGOS!$E$3:$E$1048576)-PRESTAMOS[[#This Row],[MONTO AMORTIZACION]]&gt;=-0.1,"PAGADO","PENDIENTE"))</f>
        <v>PAGADO</v>
      </c>
    </row>
    <row r="51" spans="1:11" x14ac:dyDescent="0.3">
      <c r="A51" s="68">
        <v>47</v>
      </c>
      <c r="B51" s="69">
        <v>12</v>
      </c>
      <c r="C51" s="58" t="s">
        <v>25</v>
      </c>
      <c r="D51" s="70">
        <v>500</v>
      </c>
      <c r="E51" s="71">
        <v>45488</v>
      </c>
      <c r="F51" s="72">
        <v>12</v>
      </c>
      <c r="G51" s="73">
        <v>0.02</v>
      </c>
      <c r="H51" s="74">
        <f>PRESTAMOS[[#This Row],[MONTO AMORTIZACION]]*PRESTAMOS[[#This Row],[INTERES]]*PRESTAMOS[[#This Row],[CUOTAS]]</f>
        <v>120</v>
      </c>
      <c r="I51" s="74">
        <f>PRESTAMOS[[#This Row],[MONTO AMORTIZACION]]+PRESTAMOS[[#This Row],[T. INT]]</f>
        <v>620</v>
      </c>
      <c r="J51" s="244" t="s">
        <v>120</v>
      </c>
      <c r="K51" s="247" t="str">
        <f>IF(LEN(PRESTAMOS[[#This Row],[REG]])=LEN("AYUDA**"),"PAGADO",IF(SUMIF(PAGOS!$D$3:$D$1048576,A51,PAGOS!$E$3:$E$1048576)-PRESTAMOS[[#This Row],[MONTO AMORTIZACION]]&gt;=-0.1,"PAGADO","PENDIENTE"))</f>
        <v>PENDIENTE</v>
      </c>
    </row>
    <row r="52" spans="1:11" x14ac:dyDescent="0.3">
      <c r="A52" s="68">
        <v>48</v>
      </c>
      <c r="B52" s="69">
        <v>6</v>
      </c>
      <c r="C52" s="58" t="s">
        <v>19</v>
      </c>
      <c r="D52" s="70">
        <v>600</v>
      </c>
      <c r="E52" s="71">
        <v>45519</v>
      </c>
      <c r="F52" s="72">
        <v>6</v>
      </c>
      <c r="G52" s="73">
        <v>0.02</v>
      </c>
      <c r="H52" s="74">
        <f>PRESTAMOS[[#This Row],[MONTO AMORTIZACION]]*PRESTAMOS[[#This Row],[INTERES]]*PRESTAMOS[[#This Row],[CUOTAS]]</f>
        <v>72</v>
      </c>
      <c r="I52" s="74">
        <f>PRESTAMOS[[#This Row],[MONTO AMORTIZACION]]+PRESTAMOS[[#This Row],[T. INT]]</f>
        <v>672</v>
      </c>
      <c r="J52" s="244" t="s">
        <v>251</v>
      </c>
      <c r="K52" s="247" t="str">
        <f>IF(LEN(PRESTAMOS[[#This Row],[REG]])=LEN("AYUDA**"),"PAGADO",IF(SUMIF(PAGOS!$D$3:$D$1048576,A52,PAGOS!$E$3:$E$1048576)-PRESTAMOS[[#This Row],[MONTO AMORTIZACION]]&gt;=-0.1,"PAGADO","PENDIENTE"))</f>
        <v>PAGADO</v>
      </c>
    </row>
    <row r="53" spans="1:11" x14ac:dyDescent="0.3">
      <c r="A53" s="68">
        <v>49</v>
      </c>
      <c r="B53" s="69">
        <v>1</v>
      </c>
      <c r="C53" s="58" t="s">
        <v>14</v>
      </c>
      <c r="D53" s="70">
        <v>300</v>
      </c>
      <c r="E53" s="71">
        <v>45519</v>
      </c>
      <c r="F53" s="72">
        <v>6</v>
      </c>
      <c r="G53" s="73">
        <v>0.02</v>
      </c>
      <c r="H53" s="74">
        <f>PRESTAMOS[[#This Row],[MONTO AMORTIZACION]]*PRESTAMOS[[#This Row],[INTERES]]*PRESTAMOS[[#This Row],[CUOTAS]]</f>
        <v>36</v>
      </c>
      <c r="I53" s="74">
        <f>PRESTAMOS[[#This Row],[MONTO AMORTIZACION]]+PRESTAMOS[[#This Row],[T. INT]]</f>
        <v>336</v>
      </c>
      <c r="J53" s="244" t="s">
        <v>253</v>
      </c>
      <c r="K53" s="247" t="str">
        <f>IF(LEN(PRESTAMOS[[#This Row],[REG]])=LEN("AYUDA**"),"PAGADO",IF(SUMIF(PAGOS!$D$3:$D$1048576,A53,PAGOS!$E$3:$E$1048576)-PRESTAMOS[[#This Row],[MONTO AMORTIZACION]]&gt;=-0.1,"PAGADO","PENDIENTE"))</f>
        <v>PENDIENTE</v>
      </c>
    </row>
    <row r="54" spans="1:11" x14ac:dyDescent="0.3">
      <c r="A54" s="68">
        <v>50</v>
      </c>
      <c r="B54" s="69">
        <v>8</v>
      </c>
      <c r="C54" s="58" t="s">
        <v>21</v>
      </c>
      <c r="D54" s="70">
        <v>400</v>
      </c>
      <c r="E54" s="71">
        <v>45550</v>
      </c>
      <c r="F54" s="72">
        <v>4</v>
      </c>
      <c r="G54" s="73">
        <v>0.02</v>
      </c>
      <c r="H54" s="74">
        <f>PRESTAMOS[[#This Row],[MONTO AMORTIZACION]]*PRESTAMOS[[#This Row],[INTERES]]*PRESTAMOS[[#This Row],[CUOTAS]]</f>
        <v>32</v>
      </c>
      <c r="I54" s="74">
        <f>PRESTAMOS[[#This Row],[MONTO AMORTIZACION]]+PRESTAMOS[[#This Row],[T. INT]]</f>
        <v>432</v>
      </c>
      <c r="J54" s="244" t="s">
        <v>120</v>
      </c>
      <c r="K54" s="247" t="str">
        <f>IF(LEN(PRESTAMOS[[#This Row],[REG]])=LEN("AYUDA**"),"PAGADO",IF(SUMIF(PAGOS!$D$3:$D$1048576,A54,PAGOS!$E$3:$E$1048576)-PRESTAMOS[[#This Row],[MONTO AMORTIZACION]]&gt;=-0.1,"PAGADO","PENDIENTE"))</f>
        <v>PAGADO</v>
      </c>
    </row>
    <row r="55" spans="1:11" x14ac:dyDescent="0.3">
      <c r="A55" s="68" t="s">
        <v>298</v>
      </c>
      <c r="B55" s="69">
        <v>15</v>
      </c>
      <c r="C55" s="58" t="s">
        <v>14</v>
      </c>
      <c r="D55" s="70">
        <v>260</v>
      </c>
      <c r="E55" s="71">
        <v>45550</v>
      </c>
      <c r="F55" s="72">
        <v>0</v>
      </c>
      <c r="G55" s="73">
        <v>0</v>
      </c>
      <c r="H55" s="74">
        <f>PRESTAMOS[[#This Row],[MONTO AMORTIZACION]]*PRESTAMOS[[#This Row],[INTERES]]*PRESTAMOS[[#This Row],[CUOTAS]]</f>
        <v>0</v>
      </c>
      <c r="I55" s="74">
        <f>PRESTAMOS[[#This Row],[MONTO AMORTIZACION]]+PRESTAMOS[[#This Row],[T. INT]]</f>
        <v>260</v>
      </c>
      <c r="J55" s="244" t="s">
        <v>278</v>
      </c>
      <c r="K55" s="247" t="str">
        <f>IF(LEN(PRESTAMOS[[#This Row],[REG]])=LEN("AYUDA**"),"PAGADO",IF(SUMIF(PAGOS!$D$3:$D$1048576,A55,PAGOS!$E$3:$E$1048576)-PRESTAMOS[[#This Row],[MONTO AMORTIZACION]]&gt;=-0.1,"PAGADO","PENDIENTE"))</f>
        <v>PAGADO</v>
      </c>
    </row>
    <row r="56" spans="1:11" x14ac:dyDescent="0.3">
      <c r="A56" s="68">
        <v>51</v>
      </c>
      <c r="B56" s="69">
        <v>4</v>
      </c>
      <c r="C56" s="58" t="s">
        <v>17</v>
      </c>
      <c r="D56" s="70">
        <v>250</v>
      </c>
      <c r="E56" s="71">
        <v>45580</v>
      </c>
      <c r="F56" s="72">
        <v>4</v>
      </c>
      <c r="G56" s="73">
        <v>0.02</v>
      </c>
      <c r="H56" s="74">
        <f>PRESTAMOS[[#This Row],[MONTO AMORTIZACION]]*PRESTAMOS[[#This Row],[INTERES]]*PRESTAMOS[[#This Row],[CUOTAS]]</f>
        <v>20</v>
      </c>
      <c r="I56" s="74">
        <f>PRESTAMOS[[#This Row],[MONTO AMORTIZACION]]+PRESTAMOS[[#This Row],[T. INT]]</f>
        <v>270</v>
      </c>
      <c r="J56" s="244" t="s">
        <v>120</v>
      </c>
      <c r="K56" s="247" t="str">
        <f>IF(LEN(PRESTAMOS[[#This Row],[REG]])=LEN("AYUDA**"),"PAGADO",IF(SUMIF(PAGOS!$D$3:$D$1048576,A56,PAGOS!$E$3:$E$1048576)-PRESTAMOS[[#This Row],[MONTO AMORTIZACION]]&gt;=-0.1,"PAGADO","PENDIENTE"))</f>
        <v>PENDIENTE</v>
      </c>
    </row>
    <row r="57" spans="1:11" x14ac:dyDescent="0.3">
      <c r="A57" s="68">
        <v>52</v>
      </c>
      <c r="B57" s="69">
        <v>5</v>
      </c>
      <c r="C57" s="58" t="s">
        <v>18</v>
      </c>
      <c r="D57" s="70">
        <v>250</v>
      </c>
      <c r="E57" s="71">
        <v>45580</v>
      </c>
      <c r="F57" s="72">
        <v>4</v>
      </c>
      <c r="G57" s="73">
        <v>0.02</v>
      </c>
      <c r="H57" s="74">
        <f>PRESTAMOS[[#This Row],[MONTO AMORTIZACION]]*PRESTAMOS[[#This Row],[INTERES]]*PRESTAMOS[[#This Row],[CUOTAS]]</f>
        <v>20</v>
      </c>
      <c r="I57" s="74">
        <f>PRESTAMOS[[#This Row],[MONTO AMORTIZACION]]+PRESTAMOS[[#This Row],[T. INT]]</f>
        <v>270</v>
      </c>
      <c r="J57" s="244" t="s">
        <v>221</v>
      </c>
      <c r="K57" s="247" t="str">
        <f>IF(LEN(PRESTAMOS[[#This Row],[REG]])=LEN("AYUDA**"),"PAGADO",IF(SUMIF(PAGOS!$D$3:$D$1048576,A57,PAGOS!$E$3:$E$1048576)-PRESTAMOS[[#This Row],[MONTO AMORTIZACION]]&gt;=-0.1,"PAGADO","PENDIENTE"))</f>
        <v>PENDIENTE</v>
      </c>
    </row>
    <row r="58" spans="1:11" x14ac:dyDescent="0.3">
      <c r="A58" s="68">
        <v>53</v>
      </c>
      <c r="B58" s="69">
        <v>10</v>
      </c>
      <c r="C58" s="58" t="s">
        <v>23</v>
      </c>
      <c r="D58" s="70">
        <v>500</v>
      </c>
      <c r="E58" s="71">
        <v>45580</v>
      </c>
      <c r="F58" s="72">
        <v>4</v>
      </c>
      <c r="G58" s="73">
        <v>0.02</v>
      </c>
      <c r="H58" s="74">
        <f>PRESTAMOS[[#This Row],[MONTO AMORTIZACION]]*PRESTAMOS[[#This Row],[INTERES]]*PRESTAMOS[[#This Row],[CUOTAS]]</f>
        <v>40</v>
      </c>
      <c r="I58" s="74">
        <f>PRESTAMOS[[#This Row],[MONTO AMORTIZACION]]+PRESTAMOS[[#This Row],[T. INT]]</f>
        <v>540</v>
      </c>
      <c r="J58" s="244" t="s">
        <v>221</v>
      </c>
      <c r="K58" s="247" t="str">
        <f>IF(LEN(PRESTAMOS[[#This Row],[REG]])=LEN("AYUDA**"),"PAGADO",IF(SUMIF(PAGOS!$D$3:$D$1048576,A58,PAGOS!$E$3:$E$1048576)-PRESTAMOS[[#This Row],[MONTO AMORTIZACION]]&gt;=-0.1,"PAGADO","PENDIENTE"))</f>
        <v>PAGADO</v>
      </c>
    </row>
    <row r="59" spans="1:11" x14ac:dyDescent="0.3">
      <c r="A59" s="68">
        <v>54</v>
      </c>
      <c r="B59" s="69">
        <v>2</v>
      </c>
      <c r="C59" s="58" t="s">
        <v>15</v>
      </c>
      <c r="D59" s="70">
        <v>500</v>
      </c>
      <c r="E59" s="71">
        <v>45611</v>
      </c>
      <c r="F59" s="72">
        <v>3</v>
      </c>
      <c r="G59" s="73">
        <v>0.02</v>
      </c>
      <c r="H59" s="74">
        <f>PRESTAMOS[[#This Row],[MONTO AMORTIZACION]]*PRESTAMOS[[#This Row],[INTERES]]*PRESTAMOS[[#This Row],[CUOTAS]]</f>
        <v>30</v>
      </c>
      <c r="I59" s="74">
        <f>PRESTAMOS[[#This Row],[MONTO AMORTIZACION]]+PRESTAMOS[[#This Row],[T. INT]]</f>
        <v>530</v>
      </c>
      <c r="J59" s="271" t="s">
        <v>314</v>
      </c>
      <c r="K59" s="272" t="str">
        <f>IF(LEN(PRESTAMOS[[#This Row],[REG]])=LEN("AYUDA**"),"PAGADO",IF(SUMIF(PAGOS!$D$3:$D$1048576,A59,PAGOS!$E$3:$E$1048576)-PRESTAMOS[[#This Row],[MONTO AMORTIZACION]]&gt;=-0.1,"PAGADO","PENDIENTE"))</f>
        <v>PENDIENTE</v>
      </c>
    </row>
    <row r="60" spans="1:11" x14ac:dyDescent="0.3">
      <c r="A60" s="68">
        <v>55</v>
      </c>
      <c r="B60" s="69">
        <v>9</v>
      </c>
      <c r="C60" s="58" t="s">
        <v>22</v>
      </c>
      <c r="D60" s="70">
        <v>1000</v>
      </c>
      <c r="E60" s="71">
        <v>45611</v>
      </c>
      <c r="F60" s="72">
        <v>10</v>
      </c>
      <c r="G60" s="73">
        <v>0.02</v>
      </c>
      <c r="H60" s="74">
        <f>PRESTAMOS[[#This Row],[MONTO AMORTIZACION]]*PRESTAMOS[[#This Row],[INTERES]]*PRESTAMOS[[#This Row],[CUOTAS]]</f>
        <v>200</v>
      </c>
      <c r="I60" s="74">
        <f>PRESTAMOS[[#This Row],[MONTO AMORTIZACION]]+PRESTAMOS[[#This Row],[T. INT]]</f>
        <v>1200</v>
      </c>
      <c r="J60" s="271" t="s">
        <v>316</v>
      </c>
      <c r="K60" s="272" t="str">
        <f>IF(LEN(PRESTAMOS[[#This Row],[REG]])=LEN("AYUDA**"),"PAGADO",IF(SUMIF(PAGOS!$D$3:$D$1048576,A60,PAGOS!$E$3:$E$1048576)-PRESTAMOS[[#This Row],[MONTO AMORTIZACION]]&gt;=-0.1,"PAGADO","PENDIENTE"))</f>
        <v>PENDIENTE</v>
      </c>
    </row>
    <row r="61" spans="1:11" x14ac:dyDescent="0.3">
      <c r="A61" s="68">
        <v>56</v>
      </c>
      <c r="B61" s="69">
        <v>7</v>
      </c>
      <c r="C61" s="58" t="s">
        <v>20</v>
      </c>
      <c r="D61" s="70">
        <v>200</v>
      </c>
      <c r="E61" s="71">
        <v>45611</v>
      </c>
      <c r="F61" s="72">
        <v>5</v>
      </c>
      <c r="G61" s="73">
        <v>0.02</v>
      </c>
      <c r="H61" s="74">
        <f>PRESTAMOS[[#This Row],[MONTO AMORTIZACION]]*PRESTAMOS[[#This Row],[INTERES]]*PRESTAMOS[[#This Row],[CUOTAS]]</f>
        <v>20</v>
      </c>
      <c r="I61" s="74">
        <f>PRESTAMOS[[#This Row],[MONTO AMORTIZACION]]+PRESTAMOS[[#This Row],[T. INT]]</f>
        <v>220</v>
      </c>
      <c r="J61" s="271" t="s">
        <v>316</v>
      </c>
      <c r="K61" s="272" t="str">
        <f>IF(LEN(PRESTAMOS[[#This Row],[REG]])=LEN("AYUDA**"),"PAGADO",IF(SUMIF(PAGOS!$D$3:$D$1048576,A61,PAGOS!$E$3:$E$1048576)-PRESTAMOS[[#This Row],[MONTO AMORTIZACION]]&gt;=-0.1,"PAGADO","PENDIENTE"))</f>
        <v>PENDIENTE</v>
      </c>
    </row>
    <row r="62" spans="1:11" x14ac:dyDescent="0.3">
      <c r="A62" s="68">
        <v>57</v>
      </c>
      <c r="B62" s="69">
        <v>13</v>
      </c>
      <c r="C62" s="58" t="s">
        <v>26</v>
      </c>
      <c r="D62" s="70">
        <v>1000</v>
      </c>
      <c r="E62" s="71">
        <v>45641</v>
      </c>
      <c r="F62" s="72">
        <v>10</v>
      </c>
      <c r="G62" s="73">
        <v>0.02</v>
      </c>
      <c r="H62" s="74">
        <f>PRESTAMOS[[#This Row],[MONTO AMORTIZACION]]*PRESTAMOS[[#This Row],[INTERES]]*PRESTAMOS[[#This Row],[CUOTAS]]</f>
        <v>200</v>
      </c>
      <c r="I62" s="74">
        <f>PRESTAMOS[[#This Row],[MONTO AMORTIZACION]]+PRESTAMOS[[#This Row],[T. INT]]</f>
        <v>1200</v>
      </c>
      <c r="J62" s="271" t="s">
        <v>337</v>
      </c>
      <c r="K62" s="272" t="str">
        <f>IF(LEN(PRESTAMOS[[#This Row],[REG]])=LEN("AYUDA**"),"PAGADO",IF(SUMIF(PAGOS!$D$3:$D$1048576,A62,PAGOS!$E$3:$E$1048576)-PRESTAMOS[[#This Row],[MONTO AMORTIZACION]]&gt;=-0.1,"PAGADO","PENDIENTE"))</f>
        <v>PENDIENTE</v>
      </c>
    </row>
    <row r="63" spans="1:11" x14ac:dyDescent="0.3">
      <c r="A63" s="68">
        <v>58</v>
      </c>
      <c r="B63" s="69">
        <v>8</v>
      </c>
      <c r="C63" s="58" t="s">
        <v>21</v>
      </c>
      <c r="D63" s="70">
        <v>500</v>
      </c>
      <c r="E63" s="71">
        <v>45641</v>
      </c>
      <c r="F63" s="72">
        <v>5</v>
      </c>
      <c r="G63" s="73">
        <v>0.02</v>
      </c>
      <c r="H63" s="74">
        <f>PRESTAMOS[[#This Row],[MONTO AMORTIZACION]]*PRESTAMOS[[#This Row],[INTERES]]*PRESTAMOS[[#This Row],[CUOTAS]]</f>
        <v>50</v>
      </c>
      <c r="I63" s="74">
        <f>PRESTAMOS[[#This Row],[MONTO AMORTIZACION]]+PRESTAMOS[[#This Row],[T. INT]]</f>
        <v>550</v>
      </c>
      <c r="J63" s="271" t="s">
        <v>341</v>
      </c>
      <c r="K63" s="272" t="str">
        <f>IF(LEN(PRESTAMOS[[#This Row],[REG]])=LEN("AYUDA**"),"PAGADO",IF(SUMIF(PAGOS!$D$3:$D$1048576,A63,PAGOS!$E$3:$E$1048576)-PRESTAMOS[[#This Row],[MONTO AMORTIZACION]]&gt;=-0.1,"PAGADO","PENDIENTE"))</f>
        <v>PENDIENTE</v>
      </c>
    </row>
    <row r="64" spans="1:11" x14ac:dyDescent="0.3">
      <c r="A64" s="68">
        <v>59</v>
      </c>
      <c r="B64" s="69">
        <v>12</v>
      </c>
      <c r="C64" s="58" t="s">
        <v>25</v>
      </c>
      <c r="D64" s="70">
        <v>80</v>
      </c>
      <c r="E64" s="71">
        <v>45643</v>
      </c>
      <c r="F64" s="72">
        <v>1</v>
      </c>
      <c r="G64" s="73">
        <v>0.02</v>
      </c>
      <c r="H64" s="74">
        <f>PRESTAMOS[[#This Row],[MONTO AMORTIZACION]]*PRESTAMOS[[#This Row],[INTERES]]*PRESTAMOS[[#This Row],[CUOTAS]]</f>
        <v>1.6</v>
      </c>
      <c r="I64" s="74">
        <f>PRESTAMOS[[#This Row],[MONTO AMORTIZACION]]+PRESTAMOS[[#This Row],[T. INT]]</f>
        <v>81.599999999999994</v>
      </c>
      <c r="J64" s="271" t="s">
        <v>349</v>
      </c>
      <c r="K64" s="272" t="str">
        <f>IF(LEN(PRESTAMOS[[#This Row],[REG]])=LEN("AYUDA**"),"PAGADO",IF(SUMIF(PAGOS!$D$3:$D$1048576,A64,PAGOS!$E$3:$E$1048576)-PRESTAMOS[[#This Row],[MONTO AMORTIZACION]]&gt;=-0.1,"PAGADO","PENDIENTE"))</f>
        <v>PAGADO</v>
      </c>
    </row>
    <row r="65" spans="1:11" x14ac:dyDescent="0.3">
      <c r="A65" s="68">
        <v>60</v>
      </c>
      <c r="B65" s="69">
        <v>6</v>
      </c>
      <c r="C65" s="58" t="s">
        <v>19</v>
      </c>
      <c r="D65" s="70">
        <v>700</v>
      </c>
      <c r="E65" s="71">
        <v>45672</v>
      </c>
      <c r="F65" s="72">
        <v>7</v>
      </c>
      <c r="G65" s="73">
        <v>0.02</v>
      </c>
      <c r="H65" s="74">
        <f>PRESTAMOS[[#This Row],[MONTO AMORTIZACION]]*PRESTAMOS[[#This Row],[INTERES]]*PRESTAMOS[[#This Row],[CUOTAS]]</f>
        <v>98</v>
      </c>
      <c r="I65" s="74">
        <f>PRESTAMOS[[#This Row],[MONTO AMORTIZACION]]+PRESTAMOS[[#This Row],[T. INT]]</f>
        <v>798</v>
      </c>
      <c r="J65" s="271" t="s">
        <v>362</v>
      </c>
      <c r="K65" s="272" t="str">
        <f>IF(LEN(PRESTAMOS[[#This Row],[REG]])=LEN("AYUDA**"),"PAGADO",IF(SUMIF(PAGOS!$D$3:$D$1048576,A65,PAGOS!$E$3:$E$1048576)-PRESTAMOS[[#This Row],[MONTO AMORTIZACION]]&gt;=-0.1,"PAGADO","PENDIENTE"))</f>
        <v>PENDIENTE</v>
      </c>
    </row>
    <row r="66" spans="1:11" x14ac:dyDescent="0.3">
      <c r="A66" s="68">
        <v>61</v>
      </c>
      <c r="B66" s="69">
        <v>10</v>
      </c>
      <c r="C66" s="58" t="s">
        <v>23</v>
      </c>
      <c r="D66" s="70">
        <v>700</v>
      </c>
      <c r="E66" s="71">
        <v>45672</v>
      </c>
      <c r="F66" s="72">
        <v>7</v>
      </c>
      <c r="G66" s="73">
        <v>0.02</v>
      </c>
      <c r="H66" s="74">
        <f>PRESTAMOS[[#This Row],[MONTO AMORTIZACION]]*PRESTAMOS[[#This Row],[INTERES]]*PRESTAMOS[[#This Row],[CUOTAS]]</f>
        <v>98</v>
      </c>
      <c r="I66" s="74">
        <f>PRESTAMOS[[#This Row],[MONTO AMORTIZACION]]+PRESTAMOS[[#This Row],[T. INT]]</f>
        <v>798</v>
      </c>
      <c r="J66" s="271" t="s">
        <v>364</v>
      </c>
      <c r="K66" s="272" t="str">
        <f>IF(LEN(PRESTAMOS[[#This Row],[REG]])=LEN("AYUDA**"),"PAGADO",IF(SUMIF(PAGOS!$D$3:$D$1048576,A66,PAGOS!$E$3:$E$1048576)-PRESTAMOS[[#This Row],[MONTO AMORTIZACION]]&gt;=-0.1,"PAGADO","PENDIENTE"))</f>
        <v>PENDIENTE</v>
      </c>
    </row>
    <row r="67" spans="1:11" x14ac:dyDescent="0.3">
      <c r="A67" s="68">
        <v>62</v>
      </c>
      <c r="B67" s="69">
        <v>12</v>
      </c>
      <c r="C67" s="58" t="s">
        <v>367</v>
      </c>
      <c r="D67" s="70">
        <v>150</v>
      </c>
      <c r="E67" s="71">
        <v>45676</v>
      </c>
      <c r="F67" s="72">
        <v>2</v>
      </c>
      <c r="G67" s="73">
        <v>0.02</v>
      </c>
      <c r="H67" s="74">
        <f>PRESTAMOS[[#This Row],[MONTO AMORTIZACION]]*PRESTAMOS[[#This Row],[INTERES]]*PRESTAMOS[[#This Row],[CUOTAS]]</f>
        <v>6</v>
      </c>
      <c r="I67" s="74">
        <f>PRESTAMOS[[#This Row],[MONTO AMORTIZACION]]+PRESTAMOS[[#This Row],[T. INT]]</f>
        <v>156</v>
      </c>
      <c r="J67" s="271" t="s">
        <v>369</v>
      </c>
      <c r="K67" s="272" t="str">
        <f>IF(LEN(PRESTAMOS[[#This Row],[REG]])=LEN("AYUDA**"),"PAGADO",IF(SUMIF(PAGOS!$D$3:$D$1048576,A67,PAGOS!$E$3:$E$1048576)-PRESTAMOS[[#This Row],[MONTO AMORTIZACION]]&gt;=-0.1,"PAGADO","PENDIENTE"))</f>
        <v>PENDIENTE</v>
      </c>
    </row>
  </sheetData>
  <sheetProtection algorithmName="SHA-512" hashValue="116zVGb3w9zz8y2u6yHyQhP8hgApNz7M7Dj1HgJ8JyRrZdEQnlvxgt6xU26YTg2GsliJ1zenOnXQGIEVEFBcsQ==" saltValue="zVkhqaGRXzQO68ncE5oSp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K227"/>
  <sheetViews>
    <sheetView topLeftCell="A2" zoomScaleNormal="100" workbookViewId="0">
      <selection activeCell="C34" sqref="C33:C34"/>
    </sheetView>
  </sheetViews>
  <sheetFormatPr baseColWidth="10" defaultColWidth="10.88671875" defaultRowHeight="14.4" x14ac:dyDescent="0.3"/>
  <cols>
    <col min="1" max="1" width="10.21875" style="35" bestFit="1" customWidth="1"/>
    <col min="2" max="2" width="8.21875" style="35" customWidth="1"/>
    <col min="3" max="3" width="24" style="35" customWidth="1"/>
    <col min="4" max="4" width="15.109375" style="236" bestFit="1" customWidth="1"/>
    <col min="5" max="5" width="11.109375" style="35" customWidth="1"/>
    <col min="6" max="8" width="13.21875" style="35" customWidth="1"/>
    <col min="9" max="9" width="12.21875" style="35" customWidth="1"/>
    <col min="10" max="10" width="12" style="35" customWidth="1"/>
    <col min="11" max="11" width="50.88671875" style="40" customWidth="1"/>
    <col min="12" max="16384" width="10.88671875" style="37"/>
  </cols>
  <sheetData>
    <row r="1" spans="1:11" x14ac:dyDescent="0.3">
      <c r="A1" s="290" t="s">
        <v>41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</row>
    <row r="2" spans="1:11" ht="28.8" x14ac:dyDescent="0.3">
      <c r="A2" s="42" t="s">
        <v>72</v>
      </c>
      <c r="B2" s="41" t="s">
        <v>35</v>
      </c>
      <c r="C2" s="42" t="s">
        <v>36</v>
      </c>
      <c r="D2" s="42" t="s">
        <v>284</v>
      </c>
      <c r="E2" s="42" t="s">
        <v>30</v>
      </c>
      <c r="F2" s="42" t="s">
        <v>37</v>
      </c>
      <c r="G2" s="42" t="s">
        <v>44</v>
      </c>
      <c r="H2" s="42" t="s">
        <v>31</v>
      </c>
      <c r="I2" s="42" t="s">
        <v>38</v>
      </c>
      <c r="J2" s="42" t="s">
        <v>45</v>
      </c>
      <c r="K2" s="42" t="s">
        <v>352</v>
      </c>
    </row>
    <row r="3" spans="1:11" x14ac:dyDescent="0.3">
      <c r="A3" s="47">
        <v>1</v>
      </c>
      <c r="B3" s="94" t="s">
        <v>2</v>
      </c>
      <c r="C3" s="77" t="s">
        <v>16</v>
      </c>
      <c r="D3" s="108">
        <v>2</v>
      </c>
      <c r="E3" s="53">
        <v>100</v>
      </c>
      <c r="F3" s="78">
        <v>44849</v>
      </c>
      <c r="G3" s="86">
        <v>2</v>
      </c>
      <c r="H3" s="53">
        <v>4</v>
      </c>
      <c r="I3" s="78">
        <v>44849</v>
      </c>
      <c r="J3" s="90">
        <v>2</v>
      </c>
      <c r="K3" s="61" t="s">
        <v>286</v>
      </c>
    </row>
    <row r="4" spans="1:11" x14ac:dyDescent="0.3">
      <c r="A4" s="54">
        <v>2</v>
      </c>
      <c r="B4" s="95" t="s">
        <v>5</v>
      </c>
      <c r="C4" s="79" t="s">
        <v>19</v>
      </c>
      <c r="D4" s="233">
        <v>1</v>
      </c>
      <c r="E4" s="98">
        <v>60</v>
      </c>
      <c r="F4" s="80">
        <v>44849</v>
      </c>
      <c r="G4" s="87">
        <v>2</v>
      </c>
      <c r="H4" s="98">
        <v>2.4</v>
      </c>
      <c r="I4" s="80">
        <v>44849</v>
      </c>
      <c r="J4" s="91">
        <v>2</v>
      </c>
      <c r="K4" s="81" t="s">
        <v>53</v>
      </c>
    </row>
    <row r="5" spans="1:11" x14ac:dyDescent="0.3">
      <c r="A5" s="47">
        <v>3</v>
      </c>
      <c r="B5" s="95" t="s">
        <v>2</v>
      </c>
      <c r="C5" s="79" t="s">
        <v>17</v>
      </c>
      <c r="D5" s="233">
        <v>3</v>
      </c>
      <c r="E5" s="98">
        <v>200</v>
      </c>
      <c r="F5" s="80">
        <v>44880</v>
      </c>
      <c r="G5" s="87">
        <v>1</v>
      </c>
      <c r="H5" s="98">
        <v>4</v>
      </c>
      <c r="I5" s="80">
        <v>44880</v>
      </c>
      <c r="J5" s="91">
        <v>1</v>
      </c>
      <c r="K5" s="81"/>
    </row>
    <row r="6" spans="1:11" x14ac:dyDescent="0.3">
      <c r="A6" s="47" t="s">
        <v>95</v>
      </c>
      <c r="B6" s="96">
        <v>14</v>
      </c>
      <c r="C6" s="82" t="s">
        <v>75</v>
      </c>
      <c r="D6" s="234"/>
      <c r="E6" s="99">
        <v>0</v>
      </c>
      <c r="F6" s="83">
        <v>44921</v>
      </c>
      <c r="G6" s="88"/>
      <c r="H6" s="99">
        <v>10</v>
      </c>
      <c r="I6" s="83">
        <v>44921</v>
      </c>
      <c r="J6" s="92">
        <v>0</v>
      </c>
      <c r="K6" s="84" t="s">
        <v>81</v>
      </c>
    </row>
    <row r="7" spans="1:11" x14ac:dyDescent="0.3">
      <c r="A7" s="47">
        <v>4</v>
      </c>
      <c r="B7" s="95" t="s">
        <v>9</v>
      </c>
      <c r="C7" s="79" t="s">
        <v>23</v>
      </c>
      <c r="D7" s="233">
        <v>8</v>
      </c>
      <c r="E7" s="98">
        <v>34</v>
      </c>
      <c r="F7" s="80">
        <v>44941</v>
      </c>
      <c r="G7" s="87">
        <v>1</v>
      </c>
      <c r="H7" s="98">
        <v>3.4</v>
      </c>
      <c r="I7" s="80">
        <v>44941</v>
      </c>
      <c r="J7" s="91">
        <v>1</v>
      </c>
      <c r="K7" s="81"/>
    </row>
    <row r="8" spans="1:11" x14ac:dyDescent="0.3">
      <c r="A8" s="47">
        <v>5</v>
      </c>
      <c r="B8" s="95" t="s">
        <v>7</v>
      </c>
      <c r="C8" s="79" t="s">
        <v>21</v>
      </c>
      <c r="D8" s="233">
        <v>5</v>
      </c>
      <c r="E8" s="98">
        <v>200</v>
      </c>
      <c r="F8" s="80">
        <v>44941</v>
      </c>
      <c r="G8" s="87">
        <v>1</v>
      </c>
      <c r="H8" s="98">
        <v>4</v>
      </c>
      <c r="I8" s="80">
        <v>44972</v>
      </c>
      <c r="J8" s="91">
        <v>1</v>
      </c>
      <c r="K8" s="81"/>
    </row>
    <row r="9" spans="1:11" s="36" customFormat="1" x14ac:dyDescent="0.3">
      <c r="A9" s="47">
        <v>6</v>
      </c>
      <c r="B9" s="95" t="s">
        <v>5</v>
      </c>
      <c r="C9" s="79" t="s">
        <v>19</v>
      </c>
      <c r="D9" s="233">
        <v>10</v>
      </c>
      <c r="E9" s="98">
        <v>25</v>
      </c>
      <c r="F9" s="80">
        <v>44972</v>
      </c>
      <c r="G9" s="87">
        <v>1</v>
      </c>
      <c r="H9" s="98">
        <v>2</v>
      </c>
      <c r="I9" s="80">
        <v>44972</v>
      </c>
      <c r="J9" s="91">
        <v>1</v>
      </c>
      <c r="K9" s="81" t="s">
        <v>82</v>
      </c>
    </row>
    <row r="10" spans="1:11" s="36" customFormat="1" x14ac:dyDescent="0.3">
      <c r="A10" s="47">
        <v>7</v>
      </c>
      <c r="B10" s="95" t="s">
        <v>10</v>
      </c>
      <c r="C10" s="79" t="s">
        <v>24</v>
      </c>
      <c r="D10" s="233">
        <v>9</v>
      </c>
      <c r="E10" s="98">
        <v>83.33</v>
      </c>
      <c r="F10" s="80">
        <v>44972</v>
      </c>
      <c r="G10" s="87">
        <v>1</v>
      </c>
      <c r="H10" s="98">
        <v>5</v>
      </c>
      <c r="I10" s="80">
        <v>44972</v>
      </c>
      <c r="J10" s="91">
        <v>1</v>
      </c>
      <c r="K10" s="81" t="s">
        <v>82</v>
      </c>
    </row>
    <row r="11" spans="1:11" s="36" customFormat="1" x14ac:dyDescent="0.3">
      <c r="A11" s="47">
        <v>8</v>
      </c>
      <c r="B11" s="95" t="s">
        <v>9</v>
      </c>
      <c r="C11" s="79" t="s">
        <v>23</v>
      </c>
      <c r="D11" s="233">
        <v>8</v>
      </c>
      <c r="E11" s="98">
        <v>34</v>
      </c>
      <c r="F11" s="80">
        <v>44972</v>
      </c>
      <c r="G11" s="87">
        <v>2</v>
      </c>
      <c r="H11" s="98">
        <v>3.4</v>
      </c>
      <c r="I11" s="80">
        <v>44972</v>
      </c>
      <c r="J11" s="91">
        <v>2</v>
      </c>
      <c r="K11" s="81"/>
    </row>
    <row r="12" spans="1:11" s="36" customFormat="1" x14ac:dyDescent="0.3">
      <c r="A12" s="47">
        <v>9</v>
      </c>
      <c r="B12" s="95" t="s">
        <v>11</v>
      </c>
      <c r="C12" s="79" t="s">
        <v>25</v>
      </c>
      <c r="D12" s="233">
        <v>4</v>
      </c>
      <c r="E12" s="98">
        <v>200</v>
      </c>
      <c r="F12" s="80">
        <v>44972</v>
      </c>
      <c r="G12" s="87">
        <v>2</v>
      </c>
      <c r="H12" s="98">
        <v>8</v>
      </c>
      <c r="I12" s="80">
        <v>44972</v>
      </c>
      <c r="J12" s="91">
        <v>2</v>
      </c>
      <c r="K12" s="81"/>
    </row>
    <row r="13" spans="1:11" s="36" customFormat="1" x14ac:dyDescent="0.3">
      <c r="A13" s="47">
        <v>10</v>
      </c>
      <c r="B13" s="95" t="s">
        <v>6</v>
      </c>
      <c r="C13" s="79" t="s">
        <v>20</v>
      </c>
      <c r="D13" s="233">
        <v>12</v>
      </c>
      <c r="E13" s="98">
        <v>25</v>
      </c>
      <c r="F13" s="80">
        <v>45000</v>
      </c>
      <c r="G13" s="87">
        <v>1</v>
      </c>
      <c r="H13" s="98">
        <v>2</v>
      </c>
      <c r="I13" s="80">
        <v>45000</v>
      </c>
      <c r="J13" s="91">
        <v>1</v>
      </c>
      <c r="K13" s="81" t="s">
        <v>82</v>
      </c>
    </row>
    <row r="14" spans="1:11" s="36" customFormat="1" x14ac:dyDescent="0.3">
      <c r="A14" s="47">
        <v>11</v>
      </c>
      <c r="B14" s="95" t="s">
        <v>2</v>
      </c>
      <c r="C14" s="79" t="s">
        <v>16</v>
      </c>
      <c r="D14" s="233">
        <v>11</v>
      </c>
      <c r="E14" s="98">
        <v>100</v>
      </c>
      <c r="F14" s="80">
        <v>45000</v>
      </c>
      <c r="G14" s="87">
        <v>1</v>
      </c>
      <c r="H14" s="98">
        <v>6</v>
      </c>
      <c r="I14" s="80">
        <v>45000</v>
      </c>
      <c r="J14" s="91">
        <v>1</v>
      </c>
      <c r="K14" s="81" t="s">
        <v>82</v>
      </c>
    </row>
    <row r="15" spans="1:11" s="36" customFormat="1" x14ac:dyDescent="0.3">
      <c r="A15" s="47">
        <v>12</v>
      </c>
      <c r="B15" s="95" t="s">
        <v>5</v>
      </c>
      <c r="C15" s="79" t="s">
        <v>19</v>
      </c>
      <c r="D15" s="233">
        <v>10</v>
      </c>
      <c r="E15" s="98">
        <v>25</v>
      </c>
      <c r="F15" s="80">
        <v>45000</v>
      </c>
      <c r="G15" s="87">
        <v>2</v>
      </c>
      <c r="H15" s="98">
        <v>2</v>
      </c>
      <c r="I15" s="80">
        <v>45000</v>
      </c>
      <c r="J15" s="91">
        <v>2</v>
      </c>
      <c r="K15" s="81" t="s">
        <v>83</v>
      </c>
    </row>
    <row r="16" spans="1:11" s="36" customFormat="1" x14ac:dyDescent="0.3">
      <c r="A16" s="47">
        <v>13</v>
      </c>
      <c r="B16" s="95" t="s">
        <v>10</v>
      </c>
      <c r="C16" s="79" t="s">
        <v>24</v>
      </c>
      <c r="D16" s="233">
        <v>9</v>
      </c>
      <c r="E16" s="98">
        <v>83.33</v>
      </c>
      <c r="F16" s="80">
        <v>45000</v>
      </c>
      <c r="G16" s="87">
        <v>2</v>
      </c>
      <c r="H16" s="98">
        <v>5</v>
      </c>
      <c r="I16" s="80">
        <v>45000</v>
      </c>
      <c r="J16" s="91">
        <v>2</v>
      </c>
      <c r="K16" s="81" t="s">
        <v>84</v>
      </c>
    </row>
    <row r="17" spans="1:11" s="36" customFormat="1" x14ac:dyDescent="0.3">
      <c r="A17" s="47">
        <v>14</v>
      </c>
      <c r="B17" s="95" t="s">
        <v>9</v>
      </c>
      <c r="C17" s="79" t="s">
        <v>23</v>
      </c>
      <c r="D17" s="233">
        <v>8</v>
      </c>
      <c r="E17" s="98">
        <v>34</v>
      </c>
      <c r="F17" s="80">
        <v>45000</v>
      </c>
      <c r="G17" s="87">
        <v>3</v>
      </c>
      <c r="H17" s="98">
        <v>3.4</v>
      </c>
      <c r="I17" s="80">
        <v>45000</v>
      </c>
      <c r="J17" s="91">
        <v>3</v>
      </c>
      <c r="K17" s="81"/>
    </row>
    <row r="18" spans="1:11" s="36" customFormat="1" x14ac:dyDescent="0.3">
      <c r="A18" s="47">
        <v>15</v>
      </c>
      <c r="B18" s="95" t="s">
        <v>12</v>
      </c>
      <c r="C18" s="79" t="s">
        <v>26</v>
      </c>
      <c r="D18" s="233">
        <v>14</v>
      </c>
      <c r="E18" s="98">
        <v>80</v>
      </c>
      <c r="F18" s="80">
        <v>45031</v>
      </c>
      <c r="G18" s="87">
        <v>1</v>
      </c>
      <c r="H18" s="98">
        <v>1.6</v>
      </c>
      <c r="I18" s="80">
        <v>45031</v>
      </c>
      <c r="J18" s="91">
        <v>1</v>
      </c>
      <c r="K18" s="81" t="s">
        <v>85</v>
      </c>
    </row>
    <row r="19" spans="1:11" s="36" customFormat="1" x14ac:dyDescent="0.3">
      <c r="A19" s="47">
        <v>16</v>
      </c>
      <c r="B19" s="95" t="s">
        <v>3</v>
      </c>
      <c r="C19" s="79" t="s">
        <v>17</v>
      </c>
      <c r="D19" s="233">
        <v>13</v>
      </c>
      <c r="E19" s="98">
        <v>100</v>
      </c>
      <c r="F19" s="80">
        <v>45031</v>
      </c>
      <c r="G19" s="87">
        <v>1</v>
      </c>
      <c r="H19" s="98">
        <v>8</v>
      </c>
      <c r="I19" s="80">
        <v>45031</v>
      </c>
      <c r="J19" s="91">
        <v>1</v>
      </c>
      <c r="K19" s="81" t="s">
        <v>82</v>
      </c>
    </row>
    <row r="20" spans="1:11" s="36" customFormat="1" x14ac:dyDescent="0.3">
      <c r="A20" s="47">
        <v>17</v>
      </c>
      <c r="B20" s="95" t="s">
        <v>6</v>
      </c>
      <c r="C20" s="79" t="s">
        <v>20</v>
      </c>
      <c r="D20" s="233">
        <v>12</v>
      </c>
      <c r="E20" s="98">
        <v>25</v>
      </c>
      <c r="F20" s="80">
        <v>45031</v>
      </c>
      <c r="G20" s="87">
        <v>2</v>
      </c>
      <c r="H20" s="98">
        <v>2</v>
      </c>
      <c r="I20" s="80">
        <v>45031</v>
      </c>
      <c r="J20" s="91">
        <v>2</v>
      </c>
      <c r="K20" s="81" t="s">
        <v>83</v>
      </c>
    </row>
    <row r="21" spans="1:11" s="36" customFormat="1" x14ac:dyDescent="0.3">
      <c r="A21" s="47">
        <v>18</v>
      </c>
      <c r="B21" s="95" t="s">
        <v>2</v>
      </c>
      <c r="C21" s="79" t="s">
        <v>16</v>
      </c>
      <c r="D21" s="233">
        <v>11</v>
      </c>
      <c r="E21" s="98">
        <v>100</v>
      </c>
      <c r="F21" s="80">
        <v>45031</v>
      </c>
      <c r="G21" s="87">
        <v>2</v>
      </c>
      <c r="H21" s="98">
        <v>6</v>
      </c>
      <c r="I21" s="80">
        <v>45031</v>
      </c>
      <c r="J21" s="91">
        <v>2</v>
      </c>
      <c r="K21" s="81" t="s">
        <v>83</v>
      </c>
    </row>
    <row r="22" spans="1:11" s="36" customFormat="1" x14ac:dyDescent="0.3">
      <c r="A22" s="47">
        <v>19</v>
      </c>
      <c r="B22" s="95" t="s">
        <v>5</v>
      </c>
      <c r="C22" s="79" t="s">
        <v>19</v>
      </c>
      <c r="D22" s="233">
        <v>10</v>
      </c>
      <c r="E22" s="98">
        <v>25</v>
      </c>
      <c r="F22" s="80">
        <v>45031</v>
      </c>
      <c r="G22" s="87">
        <v>3</v>
      </c>
      <c r="H22" s="98">
        <v>2</v>
      </c>
      <c r="I22" s="80">
        <v>45031</v>
      </c>
      <c r="J22" s="91">
        <v>3</v>
      </c>
      <c r="K22" s="81" t="s">
        <v>86</v>
      </c>
    </row>
    <row r="23" spans="1:11" s="36" customFormat="1" x14ac:dyDescent="0.3">
      <c r="A23" s="47">
        <v>20</v>
      </c>
      <c r="B23" s="95" t="s">
        <v>10</v>
      </c>
      <c r="C23" s="79" t="s">
        <v>24</v>
      </c>
      <c r="D23" s="233">
        <v>9</v>
      </c>
      <c r="E23" s="98">
        <v>83.33</v>
      </c>
      <c r="F23" s="80">
        <v>45031</v>
      </c>
      <c r="G23" s="87">
        <v>3</v>
      </c>
      <c r="H23" s="98">
        <v>5</v>
      </c>
      <c r="I23" s="80">
        <v>45031</v>
      </c>
      <c r="J23" s="91">
        <v>3</v>
      </c>
      <c r="K23" s="81" t="s">
        <v>87</v>
      </c>
    </row>
    <row r="24" spans="1:11" s="36" customFormat="1" x14ac:dyDescent="0.3">
      <c r="A24" s="47">
        <v>21</v>
      </c>
      <c r="B24" s="95" t="s">
        <v>9</v>
      </c>
      <c r="C24" s="79" t="s">
        <v>23</v>
      </c>
      <c r="D24" s="233">
        <v>8</v>
      </c>
      <c r="E24" s="98">
        <v>34</v>
      </c>
      <c r="F24" s="80">
        <v>45031</v>
      </c>
      <c r="G24" s="87">
        <v>4</v>
      </c>
      <c r="H24" s="98">
        <v>3.4</v>
      </c>
      <c r="I24" s="80">
        <v>45031</v>
      </c>
      <c r="J24" s="91">
        <v>4</v>
      </c>
      <c r="K24" s="81"/>
    </row>
    <row r="25" spans="1:11" s="36" customFormat="1" x14ac:dyDescent="0.3">
      <c r="A25" s="47">
        <v>22</v>
      </c>
      <c r="B25" s="95" t="s">
        <v>8</v>
      </c>
      <c r="C25" s="79" t="s">
        <v>22</v>
      </c>
      <c r="D25" s="233">
        <v>7</v>
      </c>
      <c r="E25" s="98">
        <v>100</v>
      </c>
      <c r="F25" s="80">
        <v>45031</v>
      </c>
      <c r="G25" s="87">
        <v>4</v>
      </c>
      <c r="H25" s="98">
        <v>8</v>
      </c>
      <c r="I25" s="80">
        <v>45031</v>
      </c>
      <c r="J25" s="91">
        <v>4</v>
      </c>
      <c r="K25" s="81" t="s">
        <v>289</v>
      </c>
    </row>
    <row r="26" spans="1:11" s="36" customFormat="1" x14ac:dyDescent="0.3">
      <c r="A26" s="47">
        <v>23</v>
      </c>
      <c r="B26" s="95" t="s">
        <v>0</v>
      </c>
      <c r="C26" s="79" t="s">
        <v>14</v>
      </c>
      <c r="D26" s="233">
        <v>6</v>
      </c>
      <c r="E26" s="98">
        <v>100</v>
      </c>
      <c r="F26" s="80">
        <v>45031</v>
      </c>
      <c r="G26" s="87">
        <v>4</v>
      </c>
      <c r="H26" s="98">
        <v>8</v>
      </c>
      <c r="I26" s="80">
        <v>45031</v>
      </c>
      <c r="J26" s="91">
        <v>4</v>
      </c>
      <c r="K26" s="81" t="s">
        <v>285</v>
      </c>
    </row>
    <row r="27" spans="1:11" s="36" customFormat="1" x14ac:dyDescent="0.3">
      <c r="A27" s="47">
        <v>24</v>
      </c>
      <c r="B27" s="95" t="s">
        <v>0</v>
      </c>
      <c r="C27" s="79" t="s">
        <v>14</v>
      </c>
      <c r="D27" s="233">
        <v>16</v>
      </c>
      <c r="E27" s="98">
        <v>25</v>
      </c>
      <c r="F27" s="80">
        <v>45061</v>
      </c>
      <c r="G27" s="87">
        <v>1</v>
      </c>
      <c r="H27" s="98">
        <v>2</v>
      </c>
      <c r="I27" s="80">
        <v>45061</v>
      </c>
      <c r="J27" s="91">
        <v>1</v>
      </c>
      <c r="K27" s="81" t="s">
        <v>82</v>
      </c>
    </row>
    <row r="28" spans="1:11" s="36" customFormat="1" x14ac:dyDescent="0.3">
      <c r="A28" s="47">
        <v>25</v>
      </c>
      <c r="B28" s="95" t="s">
        <v>8</v>
      </c>
      <c r="C28" s="79" t="s">
        <v>22</v>
      </c>
      <c r="D28" s="233">
        <v>15</v>
      </c>
      <c r="E28" s="98">
        <v>50</v>
      </c>
      <c r="F28" s="80">
        <v>45061</v>
      </c>
      <c r="G28" s="87">
        <v>1</v>
      </c>
      <c r="H28" s="98">
        <v>4</v>
      </c>
      <c r="I28" s="80">
        <v>45061</v>
      </c>
      <c r="J28" s="91">
        <v>1</v>
      </c>
      <c r="K28" s="81" t="s">
        <v>82</v>
      </c>
    </row>
    <row r="29" spans="1:11" s="36" customFormat="1" x14ac:dyDescent="0.3">
      <c r="A29" s="47">
        <v>26</v>
      </c>
      <c r="B29" s="95" t="s">
        <v>3</v>
      </c>
      <c r="C29" s="79" t="s">
        <v>17</v>
      </c>
      <c r="D29" s="233">
        <v>13</v>
      </c>
      <c r="E29" s="98">
        <v>100</v>
      </c>
      <c r="F29" s="80">
        <v>45061</v>
      </c>
      <c r="G29" s="87">
        <v>2</v>
      </c>
      <c r="H29" s="98">
        <v>8</v>
      </c>
      <c r="I29" s="80">
        <v>45061</v>
      </c>
      <c r="J29" s="91">
        <v>2</v>
      </c>
      <c r="K29" s="81" t="s">
        <v>83</v>
      </c>
    </row>
    <row r="30" spans="1:11" s="36" customFormat="1" x14ac:dyDescent="0.3">
      <c r="A30" s="47">
        <v>27</v>
      </c>
      <c r="B30" s="95" t="s">
        <v>6</v>
      </c>
      <c r="C30" s="79" t="s">
        <v>20</v>
      </c>
      <c r="D30" s="233">
        <v>12</v>
      </c>
      <c r="E30" s="98">
        <v>25</v>
      </c>
      <c r="F30" s="80">
        <v>45061</v>
      </c>
      <c r="G30" s="87">
        <v>3</v>
      </c>
      <c r="H30" s="98">
        <v>2</v>
      </c>
      <c r="I30" s="80">
        <v>45061</v>
      </c>
      <c r="J30" s="91">
        <v>3</v>
      </c>
      <c r="K30" s="81" t="s">
        <v>86</v>
      </c>
    </row>
    <row r="31" spans="1:11" s="36" customFormat="1" x14ac:dyDescent="0.3">
      <c r="A31" s="47">
        <v>28</v>
      </c>
      <c r="B31" s="95" t="s">
        <v>2</v>
      </c>
      <c r="C31" s="79" t="s">
        <v>16</v>
      </c>
      <c r="D31" s="233">
        <v>11</v>
      </c>
      <c r="E31" s="98">
        <v>100</v>
      </c>
      <c r="F31" s="80">
        <v>45061</v>
      </c>
      <c r="G31" s="87">
        <v>3</v>
      </c>
      <c r="H31" s="98">
        <v>6</v>
      </c>
      <c r="I31" s="80">
        <v>45061</v>
      </c>
      <c r="J31" s="91">
        <v>3</v>
      </c>
      <c r="K31" s="81" t="s">
        <v>86</v>
      </c>
    </row>
    <row r="32" spans="1:11" s="36" customFormat="1" x14ac:dyDescent="0.3">
      <c r="A32" s="47">
        <v>29</v>
      </c>
      <c r="B32" s="95" t="s">
        <v>5</v>
      </c>
      <c r="C32" s="79" t="s">
        <v>19</v>
      </c>
      <c r="D32" s="233">
        <v>10</v>
      </c>
      <c r="E32" s="98">
        <v>25</v>
      </c>
      <c r="F32" s="80">
        <v>45061</v>
      </c>
      <c r="G32" s="87">
        <v>4</v>
      </c>
      <c r="H32" s="98">
        <v>2</v>
      </c>
      <c r="I32" s="80">
        <v>45061</v>
      </c>
      <c r="J32" s="91">
        <v>4</v>
      </c>
      <c r="K32" s="81" t="s">
        <v>88</v>
      </c>
    </row>
    <row r="33" spans="1:11" s="36" customFormat="1" x14ac:dyDescent="0.3">
      <c r="A33" s="47">
        <v>30</v>
      </c>
      <c r="B33" s="95" t="s">
        <v>9</v>
      </c>
      <c r="C33" s="79" t="s">
        <v>23</v>
      </c>
      <c r="D33" s="233">
        <v>8</v>
      </c>
      <c r="E33" s="98">
        <v>34</v>
      </c>
      <c r="F33" s="80">
        <v>45061</v>
      </c>
      <c r="G33" s="87">
        <v>5</v>
      </c>
      <c r="H33" s="98">
        <v>3.4</v>
      </c>
      <c r="I33" s="80">
        <v>45061</v>
      </c>
      <c r="J33" s="91">
        <v>5</v>
      </c>
      <c r="K33" s="81"/>
    </row>
    <row r="34" spans="1:11" s="36" customFormat="1" x14ac:dyDescent="0.3">
      <c r="A34" s="47">
        <v>31</v>
      </c>
      <c r="B34" s="95" t="s">
        <v>5</v>
      </c>
      <c r="C34" s="79" t="s">
        <v>19</v>
      </c>
      <c r="D34" s="233">
        <v>18</v>
      </c>
      <c r="E34" s="98">
        <v>25</v>
      </c>
      <c r="F34" s="80">
        <v>45092</v>
      </c>
      <c r="G34" s="87">
        <v>1</v>
      </c>
      <c r="H34" s="98">
        <v>2</v>
      </c>
      <c r="I34" s="80">
        <v>45092</v>
      </c>
      <c r="J34" s="91">
        <v>1</v>
      </c>
      <c r="K34" s="81" t="s">
        <v>82</v>
      </c>
    </row>
    <row r="35" spans="1:11" s="36" customFormat="1" x14ac:dyDescent="0.3">
      <c r="A35" s="47">
        <v>32</v>
      </c>
      <c r="B35" s="95" t="s">
        <v>4</v>
      </c>
      <c r="C35" s="79" t="s">
        <v>18</v>
      </c>
      <c r="D35" s="233">
        <v>17</v>
      </c>
      <c r="E35" s="98">
        <v>100</v>
      </c>
      <c r="F35" s="80">
        <v>45092</v>
      </c>
      <c r="G35" s="87">
        <v>1</v>
      </c>
      <c r="H35" s="98">
        <v>4</v>
      </c>
      <c r="I35" s="80">
        <v>45092</v>
      </c>
      <c r="J35" s="91">
        <v>1</v>
      </c>
      <c r="K35" s="81" t="s">
        <v>82</v>
      </c>
    </row>
    <row r="36" spans="1:11" s="36" customFormat="1" x14ac:dyDescent="0.3">
      <c r="A36" s="47">
        <v>33</v>
      </c>
      <c r="B36" s="95" t="s">
        <v>0</v>
      </c>
      <c r="C36" s="79" t="s">
        <v>14</v>
      </c>
      <c r="D36" s="233">
        <v>16</v>
      </c>
      <c r="E36" s="98">
        <v>25</v>
      </c>
      <c r="F36" s="80">
        <v>45092</v>
      </c>
      <c r="G36" s="87">
        <v>2</v>
      </c>
      <c r="H36" s="98">
        <v>2</v>
      </c>
      <c r="I36" s="80">
        <v>45092</v>
      </c>
      <c r="J36" s="91">
        <v>2</v>
      </c>
      <c r="K36" s="81" t="s">
        <v>83</v>
      </c>
    </row>
    <row r="37" spans="1:11" s="36" customFormat="1" x14ac:dyDescent="0.3">
      <c r="A37" s="47">
        <v>34</v>
      </c>
      <c r="B37" s="95" t="s">
        <v>8</v>
      </c>
      <c r="C37" s="79" t="s">
        <v>22</v>
      </c>
      <c r="D37" s="233">
        <v>15</v>
      </c>
      <c r="E37" s="98">
        <v>50</v>
      </c>
      <c r="F37" s="80">
        <v>45092</v>
      </c>
      <c r="G37" s="87">
        <v>2</v>
      </c>
      <c r="H37" s="98">
        <v>4</v>
      </c>
      <c r="I37" s="80">
        <v>45092</v>
      </c>
      <c r="J37" s="91">
        <v>2</v>
      </c>
      <c r="K37" s="81" t="s">
        <v>83</v>
      </c>
    </row>
    <row r="38" spans="1:11" s="36" customFormat="1" x14ac:dyDescent="0.3">
      <c r="A38" s="47">
        <v>35</v>
      </c>
      <c r="B38" s="95" t="s">
        <v>3</v>
      </c>
      <c r="C38" s="79" t="s">
        <v>17</v>
      </c>
      <c r="D38" s="233">
        <v>13</v>
      </c>
      <c r="E38" s="98">
        <v>100</v>
      </c>
      <c r="F38" s="80">
        <v>45092</v>
      </c>
      <c r="G38" s="87">
        <v>3</v>
      </c>
      <c r="H38" s="98">
        <v>8</v>
      </c>
      <c r="I38" s="80">
        <v>45092</v>
      </c>
      <c r="J38" s="91">
        <v>3</v>
      </c>
      <c r="K38" s="81" t="s">
        <v>87</v>
      </c>
    </row>
    <row r="39" spans="1:11" s="36" customFormat="1" x14ac:dyDescent="0.3">
      <c r="A39" s="47">
        <v>36</v>
      </c>
      <c r="B39" s="95" t="s">
        <v>6</v>
      </c>
      <c r="C39" s="79" t="s">
        <v>20</v>
      </c>
      <c r="D39" s="233">
        <v>12</v>
      </c>
      <c r="E39" s="98">
        <v>25</v>
      </c>
      <c r="F39" s="80">
        <v>45092</v>
      </c>
      <c r="G39" s="87">
        <v>4</v>
      </c>
      <c r="H39" s="98">
        <v>2</v>
      </c>
      <c r="I39" s="80">
        <v>45092</v>
      </c>
      <c r="J39" s="91">
        <v>4</v>
      </c>
      <c r="K39" s="81" t="s">
        <v>88</v>
      </c>
    </row>
    <row r="40" spans="1:11" s="36" customFormat="1" x14ac:dyDescent="0.3">
      <c r="A40" s="47">
        <v>37</v>
      </c>
      <c r="B40" s="95" t="s">
        <v>2</v>
      </c>
      <c r="C40" s="79" t="s">
        <v>16</v>
      </c>
      <c r="D40" s="233">
        <v>21</v>
      </c>
      <c r="E40" s="98">
        <v>0</v>
      </c>
      <c r="F40" s="80">
        <v>45122</v>
      </c>
      <c r="G40" s="87">
        <v>1</v>
      </c>
      <c r="H40" s="98">
        <v>8</v>
      </c>
      <c r="I40" s="80">
        <v>45122</v>
      </c>
      <c r="J40" s="91">
        <v>1</v>
      </c>
      <c r="K40" s="81" t="s">
        <v>89</v>
      </c>
    </row>
    <row r="41" spans="1:11" s="36" customFormat="1" x14ac:dyDescent="0.3">
      <c r="A41" s="47">
        <v>38</v>
      </c>
      <c r="B41" s="95" t="s">
        <v>10</v>
      </c>
      <c r="C41" s="79" t="s">
        <v>24</v>
      </c>
      <c r="D41" s="233">
        <v>20</v>
      </c>
      <c r="E41" s="98">
        <v>0</v>
      </c>
      <c r="F41" s="80">
        <v>45122</v>
      </c>
      <c r="G41" s="87"/>
      <c r="H41" s="98">
        <v>4</v>
      </c>
      <c r="I41" s="80">
        <v>45122</v>
      </c>
      <c r="J41" s="91">
        <v>1</v>
      </c>
      <c r="K41" s="81" t="s">
        <v>89</v>
      </c>
    </row>
    <row r="42" spans="1:11" s="36" customFormat="1" x14ac:dyDescent="0.3">
      <c r="A42" s="47">
        <v>39</v>
      </c>
      <c r="B42" s="95" t="s">
        <v>9</v>
      </c>
      <c r="C42" s="79" t="s">
        <v>23</v>
      </c>
      <c r="D42" s="233">
        <v>19</v>
      </c>
      <c r="E42" s="98">
        <v>0</v>
      </c>
      <c r="F42" s="80">
        <v>45122</v>
      </c>
      <c r="G42" s="87"/>
      <c r="H42" s="98">
        <v>8</v>
      </c>
      <c r="I42" s="80">
        <v>45122</v>
      </c>
      <c r="J42" s="91">
        <v>1</v>
      </c>
      <c r="K42" s="81" t="s">
        <v>89</v>
      </c>
    </row>
    <row r="43" spans="1:11" s="36" customFormat="1" x14ac:dyDescent="0.3">
      <c r="A43" s="47">
        <v>40</v>
      </c>
      <c r="B43" s="95" t="s">
        <v>5</v>
      </c>
      <c r="C43" s="79" t="s">
        <v>19</v>
      </c>
      <c r="D43" s="233">
        <v>18</v>
      </c>
      <c r="E43" s="98">
        <v>25</v>
      </c>
      <c r="F43" s="80">
        <v>45122</v>
      </c>
      <c r="G43" s="87">
        <v>2</v>
      </c>
      <c r="H43" s="98">
        <v>2</v>
      </c>
      <c r="I43" s="80">
        <v>45122</v>
      </c>
      <c r="J43" s="91">
        <v>2</v>
      </c>
      <c r="K43" s="81" t="s">
        <v>83</v>
      </c>
    </row>
    <row r="44" spans="1:11" s="36" customFormat="1" x14ac:dyDescent="0.3">
      <c r="A44" s="47">
        <v>41</v>
      </c>
      <c r="B44" s="95" t="s">
        <v>4</v>
      </c>
      <c r="C44" s="79" t="s">
        <v>18</v>
      </c>
      <c r="D44" s="233">
        <v>17</v>
      </c>
      <c r="E44" s="98">
        <v>100</v>
      </c>
      <c r="F44" s="80">
        <v>45122</v>
      </c>
      <c r="G44" s="87">
        <v>2</v>
      </c>
      <c r="H44" s="98">
        <v>4</v>
      </c>
      <c r="I44" s="80">
        <v>45122</v>
      </c>
      <c r="J44" s="91">
        <v>2</v>
      </c>
      <c r="K44" s="81" t="s">
        <v>83</v>
      </c>
    </row>
    <row r="45" spans="1:11" s="36" customFormat="1" x14ac:dyDescent="0.3">
      <c r="A45" s="47">
        <v>42</v>
      </c>
      <c r="B45" s="95" t="s">
        <v>0</v>
      </c>
      <c r="C45" s="79" t="s">
        <v>14</v>
      </c>
      <c r="D45" s="233">
        <v>16</v>
      </c>
      <c r="E45" s="98">
        <v>25</v>
      </c>
      <c r="F45" s="80">
        <v>45122</v>
      </c>
      <c r="G45" s="87">
        <v>3</v>
      </c>
      <c r="H45" s="98">
        <v>2</v>
      </c>
      <c r="I45" s="80">
        <v>45122</v>
      </c>
      <c r="J45" s="91">
        <v>3</v>
      </c>
      <c r="K45" s="81" t="s">
        <v>86</v>
      </c>
    </row>
    <row r="46" spans="1:11" s="36" customFormat="1" x14ac:dyDescent="0.3">
      <c r="A46" s="47">
        <v>43</v>
      </c>
      <c r="B46" s="95" t="s">
        <v>8</v>
      </c>
      <c r="C46" s="79" t="s">
        <v>22</v>
      </c>
      <c r="D46" s="233">
        <v>15</v>
      </c>
      <c r="E46" s="98">
        <v>50</v>
      </c>
      <c r="F46" s="80">
        <v>45122</v>
      </c>
      <c r="G46" s="87">
        <v>3</v>
      </c>
      <c r="H46" s="98">
        <v>4</v>
      </c>
      <c r="I46" s="80">
        <v>45122</v>
      </c>
      <c r="J46" s="91">
        <v>3</v>
      </c>
      <c r="K46" s="81" t="s">
        <v>86</v>
      </c>
    </row>
    <row r="47" spans="1:11" s="36" customFormat="1" x14ac:dyDescent="0.3">
      <c r="A47" s="47">
        <v>44</v>
      </c>
      <c r="B47" s="95" t="s">
        <v>3</v>
      </c>
      <c r="C47" s="79" t="s">
        <v>17</v>
      </c>
      <c r="D47" s="233">
        <v>13</v>
      </c>
      <c r="E47" s="98">
        <v>100</v>
      </c>
      <c r="F47" s="80">
        <v>45122</v>
      </c>
      <c r="G47" s="87">
        <v>4</v>
      </c>
      <c r="H47" s="98">
        <v>8</v>
      </c>
      <c r="I47" s="80">
        <v>45122</v>
      </c>
      <c r="J47" s="91">
        <v>4</v>
      </c>
      <c r="K47" s="81" t="s">
        <v>88</v>
      </c>
    </row>
    <row r="48" spans="1:11" s="36" customFormat="1" x14ac:dyDescent="0.3">
      <c r="A48" s="47">
        <v>45</v>
      </c>
      <c r="B48" s="95" t="s">
        <v>3</v>
      </c>
      <c r="C48" s="79" t="s">
        <v>17</v>
      </c>
      <c r="D48" s="233">
        <v>23</v>
      </c>
      <c r="E48" s="98">
        <v>200</v>
      </c>
      <c r="F48" s="80">
        <v>45153</v>
      </c>
      <c r="G48" s="87">
        <v>1</v>
      </c>
      <c r="H48" s="98">
        <v>4</v>
      </c>
      <c r="I48" s="80">
        <v>45153</v>
      </c>
      <c r="J48" s="91">
        <v>1</v>
      </c>
      <c r="K48" s="81" t="s">
        <v>85</v>
      </c>
    </row>
    <row r="49" spans="1:11" s="36" customFormat="1" x14ac:dyDescent="0.3">
      <c r="A49" s="47">
        <v>46</v>
      </c>
      <c r="B49" s="95" t="s">
        <v>2</v>
      </c>
      <c r="C49" s="79" t="s">
        <v>16</v>
      </c>
      <c r="D49" s="233">
        <v>21</v>
      </c>
      <c r="E49" s="98">
        <v>0</v>
      </c>
      <c r="F49" s="80">
        <v>45153</v>
      </c>
      <c r="G49" s="87">
        <v>2</v>
      </c>
      <c r="H49" s="98">
        <v>8</v>
      </c>
      <c r="I49" s="80">
        <v>45153</v>
      </c>
      <c r="J49" s="91">
        <v>2</v>
      </c>
      <c r="K49" s="81" t="s">
        <v>90</v>
      </c>
    </row>
    <row r="50" spans="1:11" s="36" customFormat="1" x14ac:dyDescent="0.3">
      <c r="A50" s="47">
        <v>47</v>
      </c>
      <c r="B50" s="95" t="s">
        <v>10</v>
      </c>
      <c r="C50" s="79" t="s">
        <v>24</v>
      </c>
      <c r="D50" s="233">
        <v>20</v>
      </c>
      <c r="E50" s="98">
        <v>0</v>
      </c>
      <c r="F50" s="80">
        <v>45153</v>
      </c>
      <c r="G50" s="87"/>
      <c r="H50" s="98">
        <v>4</v>
      </c>
      <c r="I50" s="80">
        <v>45153</v>
      </c>
      <c r="J50" s="91">
        <v>2</v>
      </c>
      <c r="K50" s="81" t="s">
        <v>90</v>
      </c>
    </row>
    <row r="51" spans="1:11" s="36" customFormat="1" x14ac:dyDescent="0.3">
      <c r="A51" s="47">
        <v>48</v>
      </c>
      <c r="B51" s="95" t="s">
        <v>9</v>
      </c>
      <c r="C51" s="79" t="s">
        <v>23</v>
      </c>
      <c r="D51" s="233">
        <v>19</v>
      </c>
      <c r="E51" s="98">
        <v>0</v>
      </c>
      <c r="F51" s="80">
        <v>45153</v>
      </c>
      <c r="G51" s="87"/>
      <c r="H51" s="98">
        <v>8</v>
      </c>
      <c r="I51" s="80">
        <v>45153</v>
      </c>
      <c r="J51" s="91">
        <v>2</v>
      </c>
      <c r="K51" s="81" t="s">
        <v>90</v>
      </c>
    </row>
    <row r="52" spans="1:11" s="36" customFormat="1" x14ac:dyDescent="0.3">
      <c r="A52" s="47">
        <v>49</v>
      </c>
      <c r="B52" s="95" t="s">
        <v>5</v>
      </c>
      <c r="C52" s="79" t="s">
        <v>19</v>
      </c>
      <c r="D52" s="233">
        <v>18</v>
      </c>
      <c r="E52" s="98">
        <v>25</v>
      </c>
      <c r="F52" s="80">
        <v>45153</v>
      </c>
      <c r="G52" s="87">
        <v>3</v>
      </c>
      <c r="H52" s="98">
        <v>2</v>
      </c>
      <c r="I52" s="80">
        <v>45153</v>
      </c>
      <c r="J52" s="91">
        <v>3</v>
      </c>
      <c r="K52" s="81" t="s">
        <v>86</v>
      </c>
    </row>
    <row r="53" spans="1:11" s="36" customFormat="1" x14ac:dyDescent="0.3">
      <c r="A53" s="47">
        <v>50</v>
      </c>
      <c r="B53" s="95" t="s">
        <v>0</v>
      </c>
      <c r="C53" s="79" t="s">
        <v>14</v>
      </c>
      <c r="D53" s="233">
        <v>16</v>
      </c>
      <c r="E53" s="98">
        <v>25</v>
      </c>
      <c r="F53" s="80">
        <v>45153</v>
      </c>
      <c r="G53" s="87">
        <v>4</v>
      </c>
      <c r="H53" s="98">
        <v>2</v>
      </c>
      <c r="I53" s="80">
        <v>45153</v>
      </c>
      <c r="J53" s="91">
        <v>4</v>
      </c>
      <c r="K53" s="81" t="s">
        <v>88</v>
      </c>
    </row>
    <row r="54" spans="1:11" s="36" customFormat="1" x14ac:dyDescent="0.3">
      <c r="A54" s="47">
        <v>51</v>
      </c>
      <c r="B54" s="95" t="s">
        <v>8</v>
      </c>
      <c r="C54" s="79" t="s">
        <v>22</v>
      </c>
      <c r="D54" s="233">
        <v>15</v>
      </c>
      <c r="E54" s="98">
        <v>50</v>
      </c>
      <c r="F54" s="80">
        <v>45153</v>
      </c>
      <c r="G54" s="87">
        <v>4</v>
      </c>
      <c r="H54" s="98">
        <v>4</v>
      </c>
      <c r="I54" s="80">
        <v>45153</v>
      </c>
      <c r="J54" s="91">
        <v>4</v>
      </c>
      <c r="K54" s="81" t="s">
        <v>88</v>
      </c>
    </row>
    <row r="55" spans="1:11" s="36" customFormat="1" x14ac:dyDescent="0.3">
      <c r="A55" s="47" t="s">
        <v>96</v>
      </c>
      <c r="B55" s="60">
        <v>15</v>
      </c>
      <c r="C55" s="77" t="s">
        <v>76</v>
      </c>
      <c r="D55" s="108"/>
      <c r="E55" s="53">
        <v>0</v>
      </c>
      <c r="F55" s="66">
        <v>45153</v>
      </c>
      <c r="G55" s="87"/>
      <c r="H55" s="98">
        <v>250</v>
      </c>
      <c r="I55" s="80">
        <v>45153</v>
      </c>
      <c r="J55" s="91"/>
      <c r="K55" s="67" t="s">
        <v>77</v>
      </c>
    </row>
    <row r="56" spans="1:11" s="36" customFormat="1" x14ac:dyDescent="0.3">
      <c r="A56" s="103">
        <v>52</v>
      </c>
      <c r="B56" s="96" t="s">
        <v>0</v>
      </c>
      <c r="C56" s="82" t="s">
        <v>14</v>
      </c>
      <c r="D56" s="234">
        <v>22</v>
      </c>
      <c r="E56" s="99">
        <v>100</v>
      </c>
      <c r="F56" s="83">
        <v>45184</v>
      </c>
      <c r="G56" s="88">
        <v>1</v>
      </c>
      <c r="H56" s="99">
        <v>2</v>
      </c>
      <c r="I56" s="83">
        <v>45184</v>
      </c>
      <c r="J56" s="92">
        <v>1</v>
      </c>
      <c r="K56" s="84" t="s">
        <v>91</v>
      </c>
    </row>
    <row r="57" spans="1:11" s="36" customFormat="1" x14ac:dyDescent="0.3">
      <c r="A57" s="47">
        <v>53</v>
      </c>
      <c r="B57" s="96" t="s">
        <v>4</v>
      </c>
      <c r="C57" s="82" t="s">
        <v>18</v>
      </c>
      <c r="D57" s="234">
        <v>24</v>
      </c>
      <c r="E57" s="99">
        <v>200</v>
      </c>
      <c r="F57" s="83">
        <v>45184</v>
      </c>
      <c r="G57" s="88">
        <v>1</v>
      </c>
      <c r="H57" s="99">
        <v>4</v>
      </c>
      <c r="I57" s="83">
        <v>45184</v>
      </c>
      <c r="J57" s="92">
        <v>1</v>
      </c>
      <c r="K57" s="84" t="s">
        <v>92</v>
      </c>
    </row>
    <row r="58" spans="1:11" s="36" customFormat="1" x14ac:dyDescent="0.3">
      <c r="A58" s="47">
        <v>54</v>
      </c>
      <c r="B58" s="96" t="s">
        <v>9</v>
      </c>
      <c r="C58" s="82" t="s">
        <v>23</v>
      </c>
      <c r="D58" s="234">
        <v>19</v>
      </c>
      <c r="E58" s="99">
        <v>0</v>
      </c>
      <c r="F58" s="83">
        <v>45184</v>
      </c>
      <c r="G58" s="88"/>
      <c r="H58" s="99">
        <v>8</v>
      </c>
      <c r="I58" s="83">
        <v>45184</v>
      </c>
      <c r="J58" s="92">
        <v>3</v>
      </c>
      <c r="K58" s="84" t="s">
        <v>93</v>
      </c>
    </row>
    <row r="59" spans="1:11" s="36" customFormat="1" x14ac:dyDescent="0.3">
      <c r="A59" s="47">
        <v>55</v>
      </c>
      <c r="B59" s="96" t="s">
        <v>5</v>
      </c>
      <c r="C59" s="82" t="s">
        <v>19</v>
      </c>
      <c r="D59" s="234">
        <v>18</v>
      </c>
      <c r="E59" s="99">
        <v>25</v>
      </c>
      <c r="F59" s="83">
        <v>45184</v>
      </c>
      <c r="G59" s="88">
        <v>4</v>
      </c>
      <c r="H59" s="99">
        <v>2</v>
      </c>
      <c r="I59" s="83">
        <v>45184</v>
      </c>
      <c r="J59" s="92">
        <v>4</v>
      </c>
      <c r="K59" s="84" t="s">
        <v>88</v>
      </c>
    </row>
    <row r="60" spans="1:11" s="36" customFormat="1" x14ac:dyDescent="0.3">
      <c r="A60" s="47">
        <v>56</v>
      </c>
      <c r="B60" s="96">
        <v>11</v>
      </c>
      <c r="C60" s="82" t="s">
        <v>24</v>
      </c>
      <c r="D60" s="234">
        <v>20</v>
      </c>
      <c r="E60" s="99">
        <v>0</v>
      </c>
      <c r="F60" s="83">
        <v>45184</v>
      </c>
      <c r="G60" s="88"/>
      <c r="H60" s="99">
        <v>4</v>
      </c>
      <c r="I60" s="83">
        <v>45184</v>
      </c>
      <c r="J60" s="92">
        <v>3</v>
      </c>
      <c r="K60" s="84" t="s">
        <v>94</v>
      </c>
    </row>
    <row r="61" spans="1:11" x14ac:dyDescent="0.3">
      <c r="A61" s="47">
        <v>57</v>
      </c>
      <c r="B61" s="97">
        <v>3</v>
      </c>
      <c r="C61" s="85" t="s">
        <v>16</v>
      </c>
      <c r="D61" s="235">
        <v>21</v>
      </c>
      <c r="E61" s="100">
        <v>0</v>
      </c>
      <c r="F61" s="83">
        <v>45184</v>
      </c>
      <c r="G61" s="89">
        <v>3</v>
      </c>
      <c r="H61" s="100">
        <v>8</v>
      </c>
      <c r="I61" s="83">
        <v>45184</v>
      </c>
      <c r="J61" s="93">
        <v>3</v>
      </c>
      <c r="K61" s="101" t="s">
        <v>133</v>
      </c>
    </row>
    <row r="62" spans="1:11" x14ac:dyDescent="0.3">
      <c r="A62" s="54">
        <v>58</v>
      </c>
      <c r="B62" s="55">
        <v>2</v>
      </c>
      <c r="C62" s="102" t="s">
        <v>15</v>
      </c>
      <c r="D62" s="68"/>
      <c r="E62" s="56">
        <v>0</v>
      </c>
      <c r="F62" s="57"/>
      <c r="G62" s="106"/>
      <c r="H62" s="56">
        <v>0</v>
      </c>
      <c r="I62" s="57"/>
      <c r="J62" s="107"/>
      <c r="K62" s="58" t="s">
        <v>103</v>
      </c>
    </row>
    <row r="63" spans="1:11" x14ac:dyDescent="0.3">
      <c r="A63" s="54">
        <v>59</v>
      </c>
      <c r="B63" s="55">
        <v>3</v>
      </c>
      <c r="C63" s="102" t="s">
        <v>16</v>
      </c>
      <c r="D63" s="68">
        <v>21</v>
      </c>
      <c r="E63" s="56">
        <v>400</v>
      </c>
      <c r="F63" s="57">
        <v>45214</v>
      </c>
      <c r="G63" s="106">
        <v>4</v>
      </c>
      <c r="H63" s="56">
        <v>8</v>
      </c>
      <c r="I63" s="57">
        <v>45214</v>
      </c>
      <c r="J63" s="107">
        <v>4</v>
      </c>
      <c r="K63" s="58" t="s">
        <v>287</v>
      </c>
    </row>
    <row r="64" spans="1:11" x14ac:dyDescent="0.3">
      <c r="A64" s="54">
        <v>60</v>
      </c>
      <c r="B64" s="55">
        <v>13</v>
      </c>
      <c r="C64" s="102" t="s">
        <v>26</v>
      </c>
      <c r="D64" s="68">
        <v>25</v>
      </c>
      <c r="E64" s="56">
        <v>0</v>
      </c>
      <c r="F64" s="57">
        <v>45214</v>
      </c>
      <c r="G64" s="106">
        <v>1</v>
      </c>
      <c r="H64" s="56">
        <v>10</v>
      </c>
      <c r="I64" s="57">
        <v>45214</v>
      </c>
      <c r="J64" s="107">
        <v>1</v>
      </c>
      <c r="K64" s="58" t="s">
        <v>113</v>
      </c>
    </row>
    <row r="65" spans="1:11" x14ac:dyDescent="0.3">
      <c r="A65" s="54">
        <v>61</v>
      </c>
      <c r="B65" s="55">
        <v>4</v>
      </c>
      <c r="C65" s="102" t="s">
        <v>17</v>
      </c>
      <c r="D65" s="68">
        <v>26</v>
      </c>
      <c r="E65" s="56">
        <v>100</v>
      </c>
      <c r="F65" s="57">
        <v>45214</v>
      </c>
      <c r="G65" s="106">
        <v>1</v>
      </c>
      <c r="H65" s="56">
        <v>2</v>
      </c>
      <c r="I65" s="57">
        <v>45214</v>
      </c>
      <c r="J65" s="107">
        <v>1</v>
      </c>
      <c r="K65" s="58" t="s">
        <v>114</v>
      </c>
    </row>
    <row r="66" spans="1:11" x14ac:dyDescent="0.3">
      <c r="A66" s="54">
        <v>62</v>
      </c>
      <c r="B66" s="55">
        <v>10</v>
      </c>
      <c r="C66" s="102" t="s">
        <v>23</v>
      </c>
      <c r="D66" s="68">
        <v>19</v>
      </c>
      <c r="E66" s="56">
        <v>400</v>
      </c>
      <c r="F66" s="57">
        <v>45214</v>
      </c>
      <c r="G66" s="106">
        <v>4</v>
      </c>
      <c r="H66" s="56">
        <v>8</v>
      </c>
      <c r="I66" s="57">
        <v>45214</v>
      </c>
      <c r="J66" s="107">
        <v>4</v>
      </c>
      <c r="K66" s="58" t="s">
        <v>115</v>
      </c>
    </row>
    <row r="67" spans="1:11" x14ac:dyDescent="0.3">
      <c r="A67" s="54">
        <v>63</v>
      </c>
      <c r="B67" s="55">
        <v>2</v>
      </c>
      <c r="C67" s="102" t="s">
        <v>15</v>
      </c>
      <c r="D67" s="68">
        <v>27</v>
      </c>
      <c r="E67" s="56">
        <v>25</v>
      </c>
      <c r="F67" s="57">
        <v>45214</v>
      </c>
      <c r="G67" s="106">
        <v>1</v>
      </c>
      <c r="H67" s="56">
        <v>2</v>
      </c>
      <c r="I67" s="57">
        <v>45214</v>
      </c>
      <c r="J67" s="107">
        <v>1</v>
      </c>
      <c r="K67" s="58" t="s">
        <v>116</v>
      </c>
    </row>
    <row r="68" spans="1:11" x14ac:dyDescent="0.3">
      <c r="A68" s="54">
        <v>64</v>
      </c>
      <c r="B68" s="55">
        <v>11</v>
      </c>
      <c r="C68" s="102" t="s">
        <v>24</v>
      </c>
      <c r="D68" s="68">
        <v>20</v>
      </c>
      <c r="E68" s="56">
        <v>200</v>
      </c>
      <c r="F68" s="57">
        <v>45214</v>
      </c>
      <c r="G68" s="106">
        <v>4</v>
      </c>
      <c r="H68" s="56">
        <v>4</v>
      </c>
      <c r="I68" s="57">
        <v>45214</v>
      </c>
      <c r="J68" s="107">
        <v>4</v>
      </c>
      <c r="K68" s="58" t="s">
        <v>117</v>
      </c>
    </row>
    <row r="69" spans="1:11" x14ac:dyDescent="0.3">
      <c r="A69" s="54">
        <v>65</v>
      </c>
      <c r="B69" s="55">
        <v>2</v>
      </c>
      <c r="C69" s="102" t="s">
        <v>15</v>
      </c>
      <c r="D69" s="68">
        <v>27</v>
      </c>
      <c r="E69" s="56">
        <v>25</v>
      </c>
      <c r="F69" s="57">
        <v>45245</v>
      </c>
      <c r="G69" s="106">
        <v>2</v>
      </c>
      <c r="H69" s="56">
        <v>2</v>
      </c>
      <c r="I69" s="57">
        <v>45245</v>
      </c>
      <c r="J69" s="107">
        <v>2</v>
      </c>
      <c r="K69" s="58" t="s">
        <v>125</v>
      </c>
    </row>
    <row r="70" spans="1:11" x14ac:dyDescent="0.3">
      <c r="A70" s="54">
        <v>66</v>
      </c>
      <c r="B70" s="55">
        <v>6</v>
      </c>
      <c r="C70" s="102" t="s">
        <v>19</v>
      </c>
      <c r="D70" s="68">
        <v>28</v>
      </c>
      <c r="E70" s="56">
        <v>0</v>
      </c>
      <c r="F70" s="57">
        <v>45245</v>
      </c>
      <c r="G70" s="106">
        <v>1</v>
      </c>
      <c r="H70" s="56">
        <v>12</v>
      </c>
      <c r="I70" s="57">
        <v>45245</v>
      </c>
      <c r="J70" s="107">
        <v>1</v>
      </c>
      <c r="K70" s="58" t="s">
        <v>126</v>
      </c>
    </row>
    <row r="71" spans="1:11" x14ac:dyDescent="0.3">
      <c r="A71" s="54">
        <v>67</v>
      </c>
      <c r="B71" s="55">
        <v>9</v>
      </c>
      <c r="C71" s="102" t="s">
        <v>22</v>
      </c>
      <c r="D71" s="68">
        <v>30</v>
      </c>
      <c r="E71" s="56">
        <v>57.14</v>
      </c>
      <c r="F71" s="57">
        <v>45245</v>
      </c>
      <c r="G71" s="106">
        <v>1</v>
      </c>
      <c r="H71" s="56">
        <v>8</v>
      </c>
      <c r="I71" s="57">
        <v>45245</v>
      </c>
      <c r="J71" s="107">
        <v>1</v>
      </c>
      <c r="K71" s="58" t="s">
        <v>127</v>
      </c>
    </row>
    <row r="72" spans="1:11" x14ac:dyDescent="0.3">
      <c r="A72" s="54">
        <v>68</v>
      </c>
      <c r="B72" s="55">
        <v>12</v>
      </c>
      <c r="C72" s="102" t="s">
        <v>25</v>
      </c>
      <c r="D72" s="68">
        <v>29</v>
      </c>
      <c r="E72" s="56">
        <v>50</v>
      </c>
      <c r="F72" s="57">
        <v>45245</v>
      </c>
      <c r="G72" s="106">
        <v>1</v>
      </c>
      <c r="H72" s="56">
        <v>4</v>
      </c>
      <c r="I72" s="57">
        <v>45245</v>
      </c>
      <c r="J72" s="107">
        <v>1</v>
      </c>
      <c r="K72" s="58" t="s">
        <v>128</v>
      </c>
    </row>
    <row r="73" spans="1:11" x14ac:dyDescent="0.3">
      <c r="A73" s="54">
        <v>69</v>
      </c>
      <c r="B73" s="55">
        <v>13</v>
      </c>
      <c r="C73" s="102" t="s">
        <v>26</v>
      </c>
      <c r="D73" s="68">
        <v>25</v>
      </c>
      <c r="E73" s="56">
        <v>0</v>
      </c>
      <c r="F73" s="57">
        <v>45245</v>
      </c>
      <c r="G73" s="106">
        <v>1</v>
      </c>
      <c r="H73" s="56">
        <v>10</v>
      </c>
      <c r="I73" s="57">
        <v>45245</v>
      </c>
      <c r="J73" s="107">
        <v>1</v>
      </c>
      <c r="K73" s="58" t="s">
        <v>90</v>
      </c>
    </row>
    <row r="74" spans="1:11" x14ac:dyDescent="0.3">
      <c r="A74" s="54" t="s">
        <v>131</v>
      </c>
      <c r="B74" s="55">
        <v>14</v>
      </c>
      <c r="C74" s="102" t="s">
        <v>75</v>
      </c>
      <c r="D74" s="68"/>
      <c r="E74" s="56">
        <v>0</v>
      </c>
      <c r="F74" s="57">
        <v>45245</v>
      </c>
      <c r="G74" s="106"/>
      <c r="H74" s="56">
        <v>1.5</v>
      </c>
      <c r="I74" s="57">
        <v>45245</v>
      </c>
      <c r="J74" s="107">
        <v>1</v>
      </c>
      <c r="K74" s="58" t="s">
        <v>130</v>
      </c>
    </row>
    <row r="75" spans="1:11" x14ac:dyDescent="0.3">
      <c r="A75" s="54">
        <v>70</v>
      </c>
      <c r="B75" s="55">
        <v>3</v>
      </c>
      <c r="C75" s="102" t="s">
        <v>16</v>
      </c>
      <c r="D75" s="68">
        <v>31</v>
      </c>
      <c r="E75" s="56">
        <v>0</v>
      </c>
      <c r="F75" s="57">
        <v>45275</v>
      </c>
      <c r="G75" s="106">
        <v>2</v>
      </c>
      <c r="H75" s="56">
        <v>4</v>
      </c>
      <c r="I75" s="57">
        <v>45275</v>
      </c>
      <c r="J75" s="107">
        <v>2</v>
      </c>
      <c r="K75" s="58" t="s">
        <v>288</v>
      </c>
    </row>
    <row r="76" spans="1:11" x14ac:dyDescent="0.3">
      <c r="A76" s="54">
        <v>71</v>
      </c>
      <c r="B76" s="55">
        <v>3</v>
      </c>
      <c r="C76" s="102" t="s">
        <v>16</v>
      </c>
      <c r="D76" s="68">
        <v>31</v>
      </c>
      <c r="E76" s="56">
        <v>0</v>
      </c>
      <c r="F76" s="57">
        <v>45306</v>
      </c>
      <c r="G76" s="106">
        <v>3</v>
      </c>
      <c r="H76" s="56">
        <v>4</v>
      </c>
      <c r="I76" s="57">
        <v>45306</v>
      </c>
      <c r="J76" s="107">
        <v>3</v>
      </c>
      <c r="K76" s="58" t="s">
        <v>90</v>
      </c>
    </row>
    <row r="77" spans="1:11" x14ac:dyDescent="0.3">
      <c r="A77" s="54">
        <v>72</v>
      </c>
      <c r="B77" s="55">
        <v>13</v>
      </c>
      <c r="C77" s="102" t="s">
        <v>26</v>
      </c>
      <c r="D77" s="68">
        <v>25</v>
      </c>
      <c r="E77" s="56">
        <v>0</v>
      </c>
      <c r="F77" s="57">
        <v>45275</v>
      </c>
      <c r="G77" s="106">
        <v>2</v>
      </c>
      <c r="H77" s="56">
        <v>10</v>
      </c>
      <c r="I77" s="57">
        <v>45275</v>
      </c>
      <c r="J77" s="107">
        <v>2</v>
      </c>
      <c r="K77" s="58" t="s">
        <v>290</v>
      </c>
    </row>
    <row r="78" spans="1:11" x14ac:dyDescent="0.3">
      <c r="A78" s="54">
        <v>73</v>
      </c>
      <c r="B78" s="55">
        <v>13</v>
      </c>
      <c r="C78" s="102" t="s">
        <v>26</v>
      </c>
      <c r="D78" s="68">
        <v>25</v>
      </c>
      <c r="E78" s="56">
        <v>0</v>
      </c>
      <c r="F78" s="57">
        <v>45306</v>
      </c>
      <c r="G78" s="106">
        <v>3</v>
      </c>
      <c r="H78" s="56">
        <v>10</v>
      </c>
      <c r="I78" s="57">
        <v>45306</v>
      </c>
      <c r="J78" s="107">
        <v>3</v>
      </c>
      <c r="K78" s="58" t="s">
        <v>165</v>
      </c>
    </row>
    <row r="79" spans="1:11" x14ac:dyDescent="0.3">
      <c r="A79" s="54">
        <v>74</v>
      </c>
      <c r="B79" s="55">
        <v>9</v>
      </c>
      <c r="C79" s="102" t="s">
        <v>22</v>
      </c>
      <c r="D79" s="68">
        <v>30</v>
      </c>
      <c r="E79" s="56">
        <v>57.14</v>
      </c>
      <c r="F79" s="57">
        <v>45275</v>
      </c>
      <c r="G79" s="106">
        <v>2</v>
      </c>
      <c r="H79" s="56">
        <v>8</v>
      </c>
      <c r="I79" s="57">
        <v>45275</v>
      </c>
      <c r="J79" s="107">
        <v>2</v>
      </c>
      <c r="K79" s="58" t="s">
        <v>83</v>
      </c>
    </row>
    <row r="80" spans="1:11" x14ac:dyDescent="0.3">
      <c r="A80" s="54">
        <v>75</v>
      </c>
      <c r="B80" s="55">
        <v>9</v>
      </c>
      <c r="C80" s="102" t="s">
        <v>22</v>
      </c>
      <c r="D80" s="68">
        <v>30</v>
      </c>
      <c r="E80" s="56">
        <v>57.14</v>
      </c>
      <c r="F80" s="57">
        <v>45306</v>
      </c>
      <c r="G80" s="106">
        <v>3</v>
      </c>
      <c r="H80" s="56">
        <v>8</v>
      </c>
      <c r="I80" s="57">
        <v>45306</v>
      </c>
      <c r="J80" s="107">
        <v>3</v>
      </c>
      <c r="K80" s="58" t="s">
        <v>86</v>
      </c>
    </row>
    <row r="81" spans="1:11" x14ac:dyDescent="0.3">
      <c r="A81" s="54">
        <v>76</v>
      </c>
      <c r="B81" s="55">
        <v>12</v>
      </c>
      <c r="C81" s="102" t="s">
        <v>25</v>
      </c>
      <c r="D81" s="68">
        <v>29</v>
      </c>
      <c r="E81" s="56">
        <v>50</v>
      </c>
      <c r="F81" s="57">
        <v>45275</v>
      </c>
      <c r="G81" s="106">
        <v>2</v>
      </c>
      <c r="H81" s="56">
        <v>4</v>
      </c>
      <c r="I81" s="57">
        <v>45275</v>
      </c>
      <c r="J81" s="107">
        <v>2</v>
      </c>
      <c r="K81" s="58" t="s">
        <v>83</v>
      </c>
    </row>
    <row r="82" spans="1:11" x14ac:dyDescent="0.3">
      <c r="A82" s="54">
        <v>77</v>
      </c>
      <c r="B82" s="55">
        <v>12</v>
      </c>
      <c r="C82" s="102" t="s">
        <v>25</v>
      </c>
      <c r="D82" s="68">
        <v>29</v>
      </c>
      <c r="E82" s="56">
        <v>100</v>
      </c>
      <c r="F82" s="57">
        <v>45306</v>
      </c>
      <c r="G82" s="106">
        <v>4</v>
      </c>
      <c r="H82" s="56">
        <v>8</v>
      </c>
      <c r="I82" s="57">
        <v>45306</v>
      </c>
      <c r="J82" s="107">
        <v>4</v>
      </c>
      <c r="K82" s="58" t="s">
        <v>134</v>
      </c>
    </row>
    <row r="83" spans="1:11" x14ac:dyDescent="0.3">
      <c r="A83" s="54">
        <v>78</v>
      </c>
      <c r="B83" s="55">
        <v>6</v>
      </c>
      <c r="C83" s="102" t="s">
        <v>19</v>
      </c>
      <c r="D83" s="68">
        <v>28</v>
      </c>
      <c r="E83" s="56">
        <v>0</v>
      </c>
      <c r="F83" s="57">
        <v>45275</v>
      </c>
      <c r="G83" s="106">
        <v>2</v>
      </c>
      <c r="H83" s="56">
        <v>12</v>
      </c>
      <c r="I83" s="57">
        <v>45275</v>
      </c>
      <c r="J83" s="107">
        <v>2</v>
      </c>
      <c r="K83" s="58" t="s">
        <v>90</v>
      </c>
    </row>
    <row r="84" spans="1:11" x14ac:dyDescent="0.3">
      <c r="A84" s="54">
        <v>79</v>
      </c>
      <c r="B84" s="55">
        <v>6</v>
      </c>
      <c r="C84" s="102" t="s">
        <v>19</v>
      </c>
      <c r="D84" s="68">
        <v>28</v>
      </c>
      <c r="E84" s="56">
        <v>0</v>
      </c>
      <c r="F84" s="57">
        <v>45306</v>
      </c>
      <c r="G84" s="106">
        <v>3</v>
      </c>
      <c r="H84" s="56">
        <v>12</v>
      </c>
      <c r="I84" s="57">
        <v>45306</v>
      </c>
      <c r="J84" s="107">
        <v>3</v>
      </c>
      <c r="K84" s="58" t="s">
        <v>86</v>
      </c>
    </row>
    <row r="85" spans="1:11" x14ac:dyDescent="0.3">
      <c r="A85" s="54">
        <v>80</v>
      </c>
      <c r="B85" s="55">
        <v>10</v>
      </c>
      <c r="C85" s="102" t="s">
        <v>23</v>
      </c>
      <c r="D85" s="68">
        <v>32</v>
      </c>
      <c r="E85" s="56">
        <v>0</v>
      </c>
      <c r="F85" s="57">
        <v>45275</v>
      </c>
      <c r="G85" s="106">
        <v>1</v>
      </c>
      <c r="H85" s="56">
        <v>5</v>
      </c>
      <c r="I85" s="57">
        <v>45275</v>
      </c>
      <c r="J85" s="107">
        <v>2</v>
      </c>
      <c r="K85" s="58" t="s">
        <v>89</v>
      </c>
    </row>
    <row r="86" spans="1:11" x14ac:dyDescent="0.3">
      <c r="A86" s="54">
        <v>81</v>
      </c>
      <c r="B86" s="55">
        <v>10</v>
      </c>
      <c r="C86" s="102" t="s">
        <v>23</v>
      </c>
      <c r="D86" s="68">
        <v>32</v>
      </c>
      <c r="E86" s="56">
        <v>250</v>
      </c>
      <c r="F86" s="57">
        <v>45306</v>
      </c>
      <c r="G86" s="106">
        <v>2</v>
      </c>
      <c r="H86" s="56">
        <v>5</v>
      </c>
      <c r="I86" s="57">
        <v>45306</v>
      </c>
      <c r="J86" s="107">
        <v>3</v>
      </c>
      <c r="K86" s="58" t="s">
        <v>135</v>
      </c>
    </row>
    <row r="87" spans="1:11" x14ac:dyDescent="0.3">
      <c r="A87" s="54">
        <v>82</v>
      </c>
      <c r="B87" s="55">
        <v>2</v>
      </c>
      <c r="C87" s="102" t="s">
        <v>15</v>
      </c>
      <c r="D87" s="68">
        <v>27</v>
      </c>
      <c r="E87" s="56">
        <v>25</v>
      </c>
      <c r="F87" s="57">
        <v>45275</v>
      </c>
      <c r="G87" s="106">
        <v>2</v>
      </c>
      <c r="H87" s="56">
        <v>2</v>
      </c>
      <c r="I87" s="57">
        <v>45275</v>
      </c>
      <c r="J87" s="107">
        <v>2</v>
      </c>
      <c r="K87" s="58" t="s">
        <v>83</v>
      </c>
    </row>
    <row r="88" spans="1:11" x14ac:dyDescent="0.3">
      <c r="A88" s="54">
        <v>83</v>
      </c>
      <c r="B88" s="55">
        <v>2</v>
      </c>
      <c r="C88" s="102" t="s">
        <v>15</v>
      </c>
      <c r="D88" s="68">
        <v>27</v>
      </c>
      <c r="E88" s="56">
        <v>25</v>
      </c>
      <c r="F88" s="57">
        <v>45306</v>
      </c>
      <c r="G88" s="106">
        <v>3</v>
      </c>
      <c r="H88" s="56">
        <v>2</v>
      </c>
      <c r="I88" s="57">
        <v>45306</v>
      </c>
      <c r="J88" s="107">
        <v>3</v>
      </c>
      <c r="K88" s="58" t="s">
        <v>86</v>
      </c>
    </row>
    <row r="89" spans="1:11" x14ac:dyDescent="0.3">
      <c r="A89" s="54" t="s">
        <v>138</v>
      </c>
      <c r="B89" s="55">
        <v>10</v>
      </c>
      <c r="C89" s="77" t="s">
        <v>23</v>
      </c>
      <c r="D89" s="68">
        <v>32</v>
      </c>
      <c r="E89" s="56">
        <v>0</v>
      </c>
      <c r="F89" s="57">
        <v>45306</v>
      </c>
      <c r="G89" s="106"/>
      <c r="H89" s="56">
        <v>10</v>
      </c>
      <c r="I89" s="57">
        <v>45306</v>
      </c>
      <c r="J89" s="107"/>
      <c r="K89" s="58" t="s">
        <v>139</v>
      </c>
    </row>
    <row r="90" spans="1:11" x14ac:dyDescent="0.3">
      <c r="A90" s="54">
        <v>84</v>
      </c>
      <c r="B90" s="55">
        <v>3</v>
      </c>
      <c r="C90" s="102" t="s">
        <v>16</v>
      </c>
      <c r="D90" s="68">
        <v>31</v>
      </c>
      <c r="E90" s="56">
        <v>0</v>
      </c>
      <c r="F90" s="57">
        <v>45337</v>
      </c>
      <c r="G90" s="106">
        <v>4</v>
      </c>
      <c r="H90" s="56">
        <v>4</v>
      </c>
      <c r="I90" s="57">
        <v>45337</v>
      </c>
      <c r="J90" s="107">
        <v>4</v>
      </c>
      <c r="K90" s="58" t="s">
        <v>133</v>
      </c>
    </row>
    <row r="91" spans="1:11" x14ac:dyDescent="0.3">
      <c r="A91" s="54">
        <v>85</v>
      </c>
      <c r="B91" s="55">
        <v>13</v>
      </c>
      <c r="C91" s="102" t="s">
        <v>26</v>
      </c>
      <c r="D91" s="68">
        <v>25</v>
      </c>
      <c r="E91" s="56">
        <v>0</v>
      </c>
      <c r="F91" s="57">
        <v>45337</v>
      </c>
      <c r="G91" s="106">
        <v>5</v>
      </c>
      <c r="H91" s="56">
        <v>10</v>
      </c>
      <c r="I91" s="57">
        <v>45337</v>
      </c>
      <c r="J91" s="107">
        <v>5</v>
      </c>
      <c r="K91" s="58" t="s">
        <v>166</v>
      </c>
    </row>
    <row r="92" spans="1:11" x14ac:dyDescent="0.3">
      <c r="A92" s="54">
        <v>86</v>
      </c>
      <c r="B92" s="55">
        <v>9</v>
      </c>
      <c r="C92" s="102" t="s">
        <v>22</v>
      </c>
      <c r="D92" s="68">
        <v>30</v>
      </c>
      <c r="E92" s="56">
        <v>57.14</v>
      </c>
      <c r="F92" s="57">
        <v>45337</v>
      </c>
      <c r="G92" s="106">
        <v>4</v>
      </c>
      <c r="H92" s="56">
        <v>8</v>
      </c>
      <c r="I92" s="57">
        <v>45337</v>
      </c>
      <c r="J92" s="107">
        <v>4</v>
      </c>
      <c r="K92" s="58" t="s">
        <v>88</v>
      </c>
    </row>
    <row r="93" spans="1:11" x14ac:dyDescent="0.3">
      <c r="A93" s="54">
        <v>87</v>
      </c>
      <c r="B93" s="55">
        <v>11</v>
      </c>
      <c r="C93" s="102" t="s">
        <v>24</v>
      </c>
      <c r="D93" s="68">
        <v>34</v>
      </c>
      <c r="E93" s="56">
        <v>0</v>
      </c>
      <c r="F93" s="57">
        <v>45337</v>
      </c>
      <c r="G93" s="106">
        <v>1</v>
      </c>
      <c r="H93" s="56">
        <v>2</v>
      </c>
      <c r="I93" s="57">
        <v>45337</v>
      </c>
      <c r="J93" s="107">
        <v>1</v>
      </c>
      <c r="K93" s="58" t="s">
        <v>89</v>
      </c>
    </row>
    <row r="94" spans="1:11" x14ac:dyDescent="0.3">
      <c r="A94" s="54">
        <v>88</v>
      </c>
      <c r="B94" s="55">
        <v>6</v>
      </c>
      <c r="C94" s="102" t="s">
        <v>19</v>
      </c>
      <c r="D94" s="68">
        <v>28</v>
      </c>
      <c r="E94" s="56">
        <v>600</v>
      </c>
      <c r="F94" s="57">
        <v>45337</v>
      </c>
      <c r="G94" s="106">
        <v>4</v>
      </c>
      <c r="H94" s="56">
        <v>12</v>
      </c>
      <c r="I94" s="57">
        <v>45337</v>
      </c>
      <c r="J94" s="107">
        <v>4</v>
      </c>
      <c r="K94" s="58" t="s">
        <v>167</v>
      </c>
    </row>
    <row r="95" spans="1:11" x14ac:dyDescent="0.3">
      <c r="A95" s="54">
        <v>89</v>
      </c>
      <c r="B95" s="55">
        <v>10</v>
      </c>
      <c r="C95" s="102" t="s">
        <v>23</v>
      </c>
      <c r="D95" s="68">
        <v>33</v>
      </c>
      <c r="E95" s="56">
        <v>0</v>
      </c>
      <c r="F95" s="57">
        <v>45337</v>
      </c>
      <c r="G95" s="106">
        <v>1</v>
      </c>
      <c r="H95" s="56">
        <v>10</v>
      </c>
      <c r="I95" s="57">
        <v>45337</v>
      </c>
      <c r="J95" s="107">
        <v>1</v>
      </c>
      <c r="K95" s="58" t="s">
        <v>168</v>
      </c>
    </row>
    <row r="96" spans="1:11" x14ac:dyDescent="0.3">
      <c r="A96" s="54" t="s">
        <v>169</v>
      </c>
      <c r="B96" s="55">
        <v>4</v>
      </c>
      <c r="C96" s="102" t="s">
        <v>17</v>
      </c>
      <c r="D96" s="68"/>
      <c r="E96" s="56">
        <v>0</v>
      </c>
      <c r="F96" s="57">
        <v>45337</v>
      </c>
      <c r="G96" s="106"/>
      <c r="H96" s="56">
        <v>4</v>
      </c>
      <c r="I96" s="57">
        <v>45337</v>
      </c>
      <c r="J96" s="107">
        <v>1</v>
      </c>
      <c r="K96" s="58" t="s">
        <v>170</v>
      </c>
    </row>
    <row r="97" spans="1:11" x14ac:dyDescent="0.3">
      <c r="A97" s="54" t="s">
        <v>171</v>
      </c>
      <c r="B97" s="55">
        <v>5</v>
      </c>
      <c r="C97" s="102" t="s">
        <v>18</v>
      </c>
      <c r="D97" s="68"/>
      <c r="E97" s="56">
        <v>0</v>
      </c>
      <c r="F97" s="57">
        <v>45337</v>
      </c>
      <c r="G97" s="106"/>
      <c r="H97" s="56">
        <v>4</v>
      </c>
      <c r="I97" s="57">
        <v>45337</v>
      </c>
      <c r="J97" s="107">
        <v>1</v>
      </c>
      <c r="K97" s="58" t="s">
        <v>170</v>
      </c>
    </row>
    <row r="98" spans="1:11" x14ac:dyDescent="0.3">
      <c r="A98" s="54">
        <v>90</v>
      </c>
      <c r="B98" s="55">
        <v>9</v>
      </c>
      <c r="C98" s="102" t="s">
        <v>22</v>
      </c>
      <c r="D98" s="68">
        <v>30</v>
      </c>
      <c r="E98" s="56">
        <v>57.14</v>
      </c>
      <c r="F98" s="57">
        <v>45366</v>
      </c>
      <c r="G98" s="106">
        <v>5</v>
      </c>
      <c r="H98" s="56">
        <v>8</v>
      </c>
      <c r="I98" s="57">
        <v>45366</v>
      </c>
      <c r="J98" s="107">
        <v>5</v>
      </c>
      <c r="K98" s="58" t="s">
        <v>213</v>
      </c>
    </row>
    <row r="99" spans="1:11" x14ac:dyDescent="0.3">
      <c r="A99" s="54">
        <v>91</v>
      </c>
      <c r="B99" s="55">
        <v>3</v>
      </c>
      <c r="C99" s="102" t="s">
        <v>16</v>
      </c>
      <c r="D99" s="68">
        <v>31</v>
      </c>
      <c r="E99" s="56">
        <v>200</v>
      </c>
      <c r="F99" s="57">
        <v>45366</v>
      </c>
      <c r="G99" s="106">
        <v>4</v>
      </c>
      <c r="H99" s="56">
        <v>4</v>
      </c>
      <c r="I99" s="57">
        <v>45366</v>
      </c>
      <c r="J99" s="107">
        <v>4</v>
      </c>
      <c r="K99" s="58" t="s">
        <v>287</v>
      </c>
    </row>
    <row r="100" spans="1:11" x14ac:dyDescent="0.3">
      <c r="A100" s="54">
        <v>92</v>
      </c>
      <c r="B100" s="55">
        <v>13</v>
      </c>
      <c r="C100" s="102" t="s">
        <v>26</v>
      </c>
      <c r="D100" s="68">
        <v>25</v>
      </c>
      <c r="E100" s="56">
        <v>500</v>
      </c>
      <c r="F100" s="57">
        <v>45366</v>
      </c>
      <c r="G100" s="106">
        <v>6</v>
      </c>
      <c r="H100" s="56">
        <v>10</v>
      </c>
      <c r="I100" s="57">
        <v>45366</v>
      </c>
      <c r="J100" s="107">
        <v>6</v>
      </c>
      <c r="K100" s="58" t="s">
        <v>215</v>
      </c>
    </row>
    <row r="101" spans="1:11" x14ac:dyDescent="0.3">
      <c r="A101" s="54">
        <v>93</v>
      </c>
      <c r="B101" s="55">
        <v>11</v>
      </c>
      <c r="C101" s="102" t="s">
        <v>24</v>
      </c>
      <c r="D101" s="68">
        <v>34</v>
      </c>
      <c r="E101" s="56">
        <v>100</v>
      </c>
      <c r="F101" s="57">
        <v>45366</v>
      </c>
      <c r="G101" s="106">
        <v>3</v>
      </c>
      <c r="H101" s="56">
        <v>2</v>
      </c>
      <c r="I101" s="57">
        <v>45366</v>
      </c>
      <c r="J101" s="107">
        <v>3</v>
      </c>
      <c r="K101" s="58" t="s">
        <v>217</v>
      </c>
    </row>
    <row r="102" spans="1:11" x14ac:dyDescent="0.3">
      <c r="A102" s="54">
        <v>94</v>
      </c>
      <c r="B102" s="55">
        <v>6</v>
      </c>
      <c r="C102" s="102" t="s">
        <v>19</v>
      </c>
      <c r="D102" s="68">
        <v>35</v>
      </c>
      <c r="E102" s="56">
        <v>120</v>
      </c>
      <c r="F102" s="57">
        <v>45366</v>
      </c>
      <c r="G102" s="106">
        <v>1</v>
      </c>
      <c r="H102" s="56">
        <v>12</v>
      </c>
      <c r="I102" s="57">
        <v>45366</v>
      </c>
      <c r="J102" s="107">
        <v>1</v>
      </c>
      <c r="K102" s="58" t="s">
        <v>214</v>
      </c>
    </row>
    <row r="103" spans="1:11" x14ac:dyDescent="0.3">
      <c r="A103" s="54">
        <v>95</v>
      </c>
      <c r="B103" s="55">
        <v>10</v>
      </c>
      <c r="C103" s="102" t="s">
        <v>23</v>
      </c>
      <c r="D103" s="68">
        <v>33</v>
      </c>
      <c r="E103" s="56">
        <v>500</v>
      </c>
      <c r="F103" s="57">
        <v>45366</v>
      </c>
      <c r="G103" s="106">
        <v>2</v>
      </c>
      <c r="H103" s="56">
        <v>10</v>
      </c>
      <c r="I103" s="57">
        <v>45366</v>
      </c>
      <c r="J103" s="107">
        <v>2</v>
      </c>
      <c r="K103" s="58" t="s">
        <v>216</v>
      </c>
    </row>
    <row r="104" spans="1:11" x14ac:dyDescent="0.3">
      <c r="A104" s="54">
        <v>96</v>
      </c>
      <c r="B104" s="55">
        <v>1</v>
      </c>
      <c r="C104" s="102" t="s">
        <v>14</v>
      </c>
      <c r="D104" s="68">
        <v>36</v>
      </c>
      <c r="E104" s="56">
        <v>25</v>
      </c>
      <c r="F104" s="57">
        <v>45366</v>
      </c>
      <c r="G104" s="106">
        <v>1</v>
      </c>
      <c r="H104" s="56">
        <v>2</v>
      </c>
      <c r="I104" s="57">
        <v>45366</v>
      </c>
      <c r="J104" s="107">
        <v>1</v>
      </c>
      <c r="K104" s="58" t="s">
        <v>82</v>
      </c>
    </row>
    <row r="105" spans="1:11" x14ac:dyDescent="0.3">
      <c r="A105" s="54" t="s">
        <v>224</v>
      </c>
      <c r="B105" s="55">
        <v>11</v>
      </c>
      <c r="C105" s="102" t="s">
        <v>24</v>
      </c>
      <c r="D105" s="68">
        <v>34</v>
      </c>
      <c r="E105" s="56">
        <v>0</v>
      </c>
      <c r="F105" s="57">
        <v>45366</v>
      </c>
      <c r="G105" s="106">
        <v>3</v>
      </c>
      <c r="H105" s="56">
        <v>6</v>
      </c>
      <c r="I105" s="57">
        <v>45366</v>
      </c>
      <c r="J105" s="107">
        <v>3</v>
      </c>
      <c r="K105" s="58" t="s">
        <v>139</v>
      </c>
    </row>
    <row r="106" spans="1:11" x14ac:dyDescent="0.3">
      <c r="A106" s="54">
        <v>97</v>
      </c>
      <c r="B106" s="55">
        <v>1</v>
      </c>
      <c r="C106" s="102" t="s">
        <v>14</v>
      </c>
      <c r="D106" s="68">
        <v>36</v>
      </c>
      <c r="E106" s="56">
        <v>25</v>
      </c>
      <c r="F106" s="57">
        <v>45397</v>
      </c>
      <c r="G106" s="106">
        <v>2</v>
      </c>
      <c r="H106" s="56">
        <v>2</v>
      </c>
      <c r="I106" s="57">
        <v>45397</v>
      </c>
      <c r="J106" s="107">
        <v>2</v>
      </c>
      <c r="K106" s="58" t="s">
        <v>83</v>
      </c>
    </row>
    <row r="107" spans="1:11" x14ac:dyDescent="0.3">
      <c r="A107" s="54">
        <v>98</v>
      </c>
      <c r="B107" s="55">
        <v>3</v>
      </c>
      <c r="C107" s="102" t="s">
        <v>16</v>
      </c>
      <c r="D107" s="68">
        <v>37</v>
      </c>
      <c r="E107" s="56">
        <v>100</v>
      </c>
      <c r="F107" s="57">
        <v>45397</v>
      </c>
      <c r="G107" s="106">
        <v>1</v>
      </c>
      <c r="H107" s="56">
        <v>20</v>
      </c>
      <c r="I107" s="57">
        <v>45397</v>
      </c>
      <c r="J107" s="107">
        <v>1</v>
      </c>
      <c r="K107" s="58" t="s">
        <v>82</v>
      </c>
    </row>
    <row r="108" spans="1:11" x14ac:dyDescent="0.3">
      <c r="A108" s="54">
        <v>99</v>
      </c>
      <c r="B108" s="55">
        <v>6</v>
      </c>
      <c r="C108" s="102" t="s">
        <v>19</v>
      </c>
      <c r="D108" s="68">
        <v>35</v>
      </c>
      <c r="E108" s="56">
        <v>120</v>
      </c>
      <c r="F108" s="57">
        <v>45397</v>
      </c>
      <c r="G108" s="106">
        <v>1</v>
      </c>
      <c r="H108" s="56">
        <v>12</v>
      </c>
      <c r="I108" s="57">
        <v>45397</v>
      </c>
      <c r="J108" s="107">
        <v>1</v>
      </c>
      <c r="K108" s="58" t="s">
        <v>82</v>
      </c>
    </row>
    <row r="109" spans="1:11" x14ac:dyDescent="0.3">
      <c r="A109" s="54">
        <v>100</v>
      </c>
      <c r="B109" s="55">
        <v>7</v>
      </c>
      <c r="C109" s="102" t="s">
        <v>20</v>
      </c>
      <c r="D109" s="68">
        <v>40</v>
      </c>
      <c r="E109" s="56">
        <v>20</v>
      </c>
      <c r="F109" s="57">
        <v>45397</v>
      </c>
      <c r="G109" s="106">
        <v>1</v>
      </c>
      <c r="H109" s="56">
        <v>2</v>
      </c>
      <c r="I109" s="57">
        <v>45397</v>
      </c>
      <c r="J109" s="107">
        <v>1</v>
      </c>
      <c r="K109" s="58" t="s">
        <v>82</v>
      </c>
    </row>
    <row r="110" spans="1:11" x14ac:dyDescent="0.3">
      <c r="A110" s="54">
        <v>101</v>
      </c>
      <c r="B110" s="55">
        <v>9</v>
      </c>
      <c r="C110" s="102" t="s">
        <v>22</v>
      </c>
      <c r="D110" s="68">
        <v>30</v>
      </c>
      <c r="E110" s="56">
        <v>57.14</v>
      </c>
      <c r="F110" s="57">
        <v>45397</v>
      </c>
      <c r="G110" s="106">
        <v>6</v>
      </c>
      <c r="H110" s="56">
        <v>8</v>
      </c>
      <c r="I110" s="57">
        <v>45397</v>
      </c>
      <c r="J110" s="107">
        <v>6</v>
      </c>
      <c r="K110" s="58" t="s">
        <v>227</v>
      </c>
    </row>
    <row r="111" spans="1:11" x14ac:dyDescent="0.3">
      <c r="A111" s="54">
        <v>102</v>
      </c>
      <c r="B111" s="55">
        <v>10</v>
      </c>
      <c r="C111" s="102" t="s">
        <v>23</v>
      </c>
      <c r="D111" s="68">
        <v>39</v>
      </c>
      <c r="E111" s="56">
        <v>100</v>
      </c>
      <c r="F111" s="57">
        <v>45397</v>
      </c>
      <c r="G111" s="106">
        <v>1</v>
      </c>
      <c r="H111" s="56">
        <v>8</v>
      </c>
      <c r="I111" s="57">
        <v>45397</v>
      </c>
      <c r="J111" s="107">
        <v>1</v>
      </c>
      <c r="K111" s="58" t="s">
        <v>82</v>
      </c>
    </row>
    <row r="112" spans="1:11" x14ac:dyDescent="0.3">
      <c r="A112" s="54">
        <v>103</v>
      </c>
      <c r="B112" s="55">
        <v>11</v>
      </c>
      <c r="C112" s="102" t="s">
        <v>24</v>
      </c>
      <c r="D112" s="68">
        <v>38</v>
      </c>
      <c r="E112" s="56">
        <v>50</v>
      </c>
      <c r="F112" s="57">
        <v>45397</v>
      </c>
      <c r="G112" s="106">
        <v>1</v>
      </c>
      <c r="H112" s="56">
        <v>12</v>
      </c>
      <c r="I112" s="57">
        <v>45397</v>
      </c>
      <c r="J112" s="107">
        <v>1</v>
      </c>
      <c r="K112" s="58" t="s">
        <v>82</v>
      </c>
    </row>
    <row r="113" spans="1:11" x14ac:dyDescent="0.3">
      <c r="A113" s="54">
        <v>104</v>
      </c>
      <c r="B113" s="55">
        <v>3</v>
      </c>
      <c r="C113" s="102" t="s">
        <v>16</v>
      </c>
      <c r="D113" s="68">
        <v>37</v>
      </c>
      <c r="E113" s="56">
        <v>100</v>
      </c>
      <c r="F113" s="57">
        <v>45427</v>
      </c>
      <c r="G113" s="106">
        <v>2</v>
      </c>
      <c r="H113" s="56">
        <v>20</v>
      </c>
      <c r="I113" s="57">
        <v>45427</v>
      </c>
      <c r="J113" s="107">
        <v>2</v>
      </c>
      <c r="K113" s="58" t="s">
        <v>83</v>
      </c>
    </row>
    <row r="114" spans="1:11" x14ac:dyDescent="0.3">
      <c r="A114" s="54">
        <v>105</v>
      </c>
      <c r="B114" s="55">
        <v>1</v>
      </c>
      <c r="C114" s="102" t="s">
        <v>14</v>
      </c>
      <c r="D114" s="68">
        <v>36</v>
      </c>
      <c r="E114" s="56">
        <v>25</v>
      </c>
      <c r="F114" s="57">
        <v>45427</v>
      </c>
      <c r="G114" s="106">
        <v>3</v>
      </c>
      <c r="H114" s="56">
        <v>2</v>
      </c>
      <c r="I114" s="57">
        <v>45427</v>
      </c>
      <c r="J114" s="107">
        <v>3</v>
      </c>
      <c r="K114" s="58" t="s">
        <v>86</v>
      </c>
    </row>
    <row r="115" spans="1:11" x14ac:dyDescent="0.3">
      <c r="A115" s="54">
        <v>106</v>
      </c>
      <c r="B115" s="55">
        <v>9</v>
      </c>
      <c r="C115" s="102" t="s">
        <v>22</v>
      </c>
      <c r="D115" s="68">
        <v>30</v>
      </c>
      <c r="E115" s="56">
        <v>57.14</v>
      </c>
      <c r="F115" s="57">
        <v>45427</v>
      </c>
      <c r="G115" s="106">
        <v>7</v>
      </c>
      <c r="H115" s="56">
        <v>8</v>
      </c>
      <c r="I115" s="57">
        <v>45427</v>
      </c>
      <c r="J115" s="107">
        <v>7</v>
      </c>
      <c r="K115" s="58" t="s">
        <v>232</v>
      </c>
    </row>
    <row r="116" spans="1:11" x14ac:dyDescent="0.3">
      <c r="A116" s="54">
        <v>107</v>
      </c>
      <c r="B116" s="55">
        <v>11</v>
      </c>
      <c r="C116" s="102" t="s">
        <v>24</v>
      </c>
      <c r="D116" s="68">
        <v>38</v>
      </c>
      <c r="E116" s="56">
        <v>50</v>
      </c>
      <c r="F116" s="57">
        <v>45427</v>
      </c>
      <c r="G116" s="106">
        <v>2</v>
      </c>
      <c r="H116" s="56">
        <v>12</v>
      </c>
      <c r="I116" s="57">
        <v>45427</v>
      </c>
      <c r="J116" s="107">
        <v>2</v>
      </c>
      <c r="K116" s="58" t="s">
        <v>83</v>
      </c>
    </row>
    <row r="117" spans="1:11" x14ac:dyDescent="0.3">
      <c r="A117" s="54">
        <v>108</v>
      </c>
      <c r="B117" s="55">
        <v>7</v>
      </c>
      <c r="C117" s="102" t="s">
        <v>20</v>
      </c>
      <c r="D117" s="68">
        <v>40</v>
      </c>
      <c r="E117" s="56">
        <v>20</v>
      </c>
      <c r="F117" s="57">
        <v>45427</v>
      </c>
      <c r="G117" s="106">
        <v>2</v>
      </c>
      <c r="H117" s="56">
        <v>2</v>
      </c>
      <c r="I117" s="57">
        <v>45427</v>
      </c>
      <c r="J117" s="107">
        <v>2</v>
      </c>
      <c r="K117" s="58" t="s">
        <v>83</v>
      </c>
    </row>
    <row r="118" spans="1:11" x14ac:dyDescent="0.3">
      <c r="A118" s="54">
        <v>109</v>
      </c>
      <c r="B118" s="55">
        <v>6</v>
      </c>
      <c r="C118" s="102" t="s">
        <v>19</v>
      </c>
      <c r="D118" s="68">
        <v>35</v>
      </c>
      <c r="E118" s="56">
        <v>120</v>
      </c>
      <c r="F118" s="57">
        <v>45427</v>
      </c>
      <c r="G118" s="106">
        <v>3</v>
      </c>
      <c r="H118" s="56">
        <v>12</v>
      </c>
      <c r="I118" s="57">
        <v>45427</v>
      </c>
      <c r="J118" s="107">
        <v>3</v>
      </c>
      <c r="K118" s="58" t="s">
        <v>86</v>
      </c>
    </row>
    <row r="119" spans="1:11" x14ac:dyDescent="0.3">
      <c r="A119" s="54">
        <v>110</v>
      </c>
      <c r="B119" s="55">
        <v>10</v>
      </c>
      <c r="C119" s="102" t="s">
        <v>23</v>
      </c>
      <c r="D119" s="68">
        <v>39</v>
      </c>
      <c r="E119" s="56">
        <v>100</v>
      </c>
      <c r="F119" s="57">
        <v>45427</v>
      </c>
      <c r="G119" s="106">
        <v>2</v>
      </c>
      <c r="H119" s="56">
        <v>8</v>
      </c>
      <c r="I119" s="57">
        <v>45427</v>
      </c>
      <c r="J119" s="107">
        <v>2</v>
      </c>
      <c r="K119" s="58" t="s">
        <v>83</v>
      </c>
    </row>
    <row r="120" spans="1:11" x14ac:dyDescent="0.3">
      <c r="A120" s="47" t="s">
        <v>235</v>
      </c>
      <c r="B120" s="94">
        <v>8</v>
      </c>
      <c r="C120" s="77" t="s">
        <v>21</v>
      </c>
      <c r="D120" s="108"/>
      <c r="E120" s="53">
        <v>0</v>
      </c>
      <c r="F120" s="57">
        <v>45427</v>
      </c>
      <c r="G120" s="86"/>
      <c r="H120" s="53">
        <v>4</v>
      </c>
      <c r="I120" s="57">
        <v>45427</v>
      </c>
      <c r="J120" s="90">
        <v>0</v>
      </c>
      <c r="K120" s="61" t="s">
        <v>170</v>
      </c>
    </row>
    <row r="121" spans="1:11" x14ac:dyDescent="0.3">
      <c r="A121" s="54">
        <v>111</v>
      </c>
      <c r="B121" s="55">
        <v>3</v>
      </c>
      <c r="C121" s="102" t="s">
        <v>16</v>
      </c>
      <c r="D121" s="68">
        <v>37</v>
      </c>
      <c r="E121" s="56">
        <v>100</v>
      </c>
      <c r="F121" s="57">
        <v>45458</v>
      </c>
      <c r="G121" s="106">
        <v>3</v>
      </c>
      <c r="H121" s="56">
        <v>20</v>
      </c>
      <c r="I121" s="57">
        <v>45458</v>
      </c>
      <c r="J121" s="107">
        <v>3</v>
      </c>
      <c r="K121" s="58" t="s">
        <v>86</v>
      </c>
    </row>
    <row r="122" spans="1:11" x14ac:dyDescent="0.3">
      <c r="A122" s="54">
        <v>112</v>
      </c>
      <c r="B122" s="55">
        <v>1</v>
      </c>
      <c r="C122" s="102" t="s">
        <v>14</v>
      </c>
      <c r="D122" s="68">
        <v>36</v>
      </c>
      <c r="E122" s="56">
        <v>25</v>
      </c>
      <c r="F122" s="57">
        <v>45458</v>
      </c>
      <c r="G122" s="106">
        <v>4</v>
      </c>
      <c r="H122" s="56">
        <v>2</v>
      </c>
      <c r="I122" s="57">
        <v>45458</v>
      </c>
      <c r="J122" s="107">
        <v>4</v>
      </c>
      <c r="K122" s="58" t="s">
        <v>88</v>
      </c>
    </row>
    <row r="123" spans="1:11" x14ac:dyDescent="0.3">
      <c r="A123" s="54">
        <v>113</v>
      </c>
      <c r="B123" s="55">
        <v>9</v>
      </c>
      <c r="C123" s="102" t="s">
        <v>22</v>
      </c>
      <c r="D123" s="68">
        <v>42</v>
      </c>
      <c r="E123" s="56">
        <v>85.7</v>
      </c>
      <c r="F123" s="57">
        <v>45458</v>
      </c>
      <c r="G123" s="106">
        <v>1</v>
      </c>
      <c r="H123" s="56">
        <v>12</v>
      </c>
      <c r="I123" s="57">
        <v>45458</v>
      </c>
      <c r="J123" s="107">
        <v>1</v>
      </c>
      <c r="K123" s="58" t="s">
        <v>82</v>
      </c>
    </row>
    <row r="124" spans="1:11" x14ac:dyDescent="0.3">
      <c r="A124" s="54">
        <v>114</v>
      </c>
      <c r="B124" s="55">
        <v>11</v>
      </c>
      <c r="C124" s="102" t="s">
        <v>24</v>
      </c>
      <c r="D124" s="68">
        <v>38</v>
      </c>
      <c r="E124" s="56">
        <v>50</v>
      </c>
      <c r="F124" s="57">
        <v>45458</v>
      </c>
      <c r="G124" s="106">
        <v>3</v>
      </c>
      <c r="H124" s="56">
        <v>12</v>
      </c>
      <c r="I124" s="57">
        <v>45458</v>
      </c>
      <c r="J124" s="107">
        <v>3</v>
      </c>
      <c r="K124" s="58" t="s">
        <v>86</v>
      </c>
    </row>
    <row r="125" spans="1:11" x14ac:dyDescent="0.3">
      <c r="A125" s="54">
        <v>115</v>
      </c>
      <c r="B125" s="55">
        <v>7</v>
      </c>
      <c r="C125" s="102" t="s">
        <v>20</v>
      </c>
      <c r="D125" s="68">
        <v>40</v>
      </c>
      <c r="E125" s="56">
        <v>20</v>
      </c>
      <c r="F125" s="57">
        <v>45458</v>
      </c>
      <c r="G125" s="106">
        <v>3</v>
      </c>
      <c r="H125" s="56">
        <v>2</v>
      </c>
      <c r="I125" s="57">
        <v>45458</v>
      </c>
      <c r="J125" s="107">
        <v>3</v>
      </c>
      <c r="K125" s="58" t="s">
        <v>86</v>
      </c>
    </row>
    <row r="126" spans="1:11" x14ac:dyDescent="0.3">
      <c r="A126" s="54">
        <v>116</v>
      </c>
      <c r="B126" s="55">
        <v>4</v>
      </c>
      <c r="C126" s="102" t="s">
        <v>17</v>
      </c>
      <c r="D126" s="68">
        <v>43</v>
      </c>
      <c r="E126" s="56">
        <v>100</v>
      </c>
      <c r="F126" s="57">
        <v>45458</v>
      </c>
      <c r="G126" s="106">
        <v>1</v>
      </c>
      <c r="H126" s="56">
        <v>8</v>
      </c>
      <c r="I126" s="57">
        <v>45458</v>
      </c>
      <c r="J126" s="107">
        <v>1</v>
      </c>
      <c r="K126" s="58" t="s">
        <v>82</v>
      </c>
    </row>
    <row r="127" spans="1:11" x14ac:dyDescent="0.3">
      <c r="A127" s="54">
        <v>117</v>
      </c>
      <c r="B127" s="55">
        <v>6</v>
      </c>
      <c r="C127" s="102" t="s">
        <v>19</v>
      </c>
      <c r="D127" s="68">
        <v>35</v>
      </c>
      <c r="E127" s="56">
        <v>120</v>
      </c>
      <c r="F127" s="57">
        <v>45458</v>
      </c>
      <c r="G127" s="106">
        <v>4</v>
      </c>
      <c r="H127" s="56">
        <v>12</v>
      </c>
      <c r="I127" s="57">
        <v>45458</v>
      </c>
      <c r="J127" s="107">
        <v>4</v>
      </c>
      <c r="K127" s="58" t="s">
        <v>88</v>
      </c>
    </row>
    <row r="128" spans="1:11" x14ac:dyDescent="0.3">
      <c r="A128" s="54">
        <v>118</v>
      </c>
      <c r="B128" s="55">
        <v>10</v>
      </c>
      <c r="C128" s="102" t="s">
        <v>23</v>
      </c>
      <c r="D128" s="68">
        <v>39</v>
      </c>
      <c r="E128" s="56">
        <v>200</v>
      </c>
      <c r="F128" s="57">
        <v>45458</v>
      </c>
      <c r="G128" s="106">
        <v>3</v>
      </c>
      <c r="H128" s="56">
        <v>8</v>
      </c>
      <c r="I128" s="57">
        <v>45458</v>
      </c>
      <c r="J128" s="107">
        <v>3</v>
      </c>
      <c r="K128" s="58" t="s">
        <v>243</v>
      </c>
    </row>
    <row r="129" spans="1:11" x14ac:dyDescent="0.3">
      <c r="A129" s="54" t="s">
        <v>239</v>
      </c>
      <c r="B129" s="55">
        <v>10</v>
      </c>
      <c r="C129" s="102" t="s">
        <v>23</v>
      </c>
      <c r="D129" s="68">
        <v>39</v>
      </c>
      <c r="E129" s="56">
        <v>0</v>
      </c>
      <c r="F129" s="57">
        <v>45458</v>
      </c>
      <c r="G129" s="106" t="s">
        <v>240</v>
      </c>
      <c r="H129" s="56">
        <v>8</v>
      </c>
      <c r="I129" s="57">
        <v>45458</v>
      </c>
      <c r="J129" s="107">
        <v>4</v>
      </c>
      <c r="K129" s="58" t="s">
        <v>241</v>
      </c>
    </row>
    <row r="130" spans="1:11" x14ac:dyDescent="0.3">
      <c r="A130" s="54">
        <v>119</v>
      </c>
      <c r="B130" s="55">
        <v>3</v>
      </c>
      <c r="C130" s="102" t="s">
        <v>16</v>
      </c>
      <c r="D130" s="68">
        <v>37</v>
      </c>
      <c r="E130" s="56">
        <v>100</v>
      </c>
      <c r="F130" s="57">
        <v>45488</v>
      </c>
      <c r="G130" s="106">
        <v>4</v>
      </c>
      <c r="H130" s="56">
        <v>20</v>
      </c>
      <c r="I130" s="57">
        <v>45488</v>
      </c>
      <c r="J130" s="107">
        <v>4</v>
      </c>
      <c r="K130" s="58" t="s">
        <v>88</v>
      </c>
    </row>
    <row r="131" spans="1:11" x14ac:dyDescent="0.3">
      <c r="A131" s="54">
        <v>120</v>
      </c>
      <c r="B131" s="55">
        <v>9</v>
      </c>
      <c r="C131" s="102" t="s">
        <v>22</v>
      </c>
      <c r="D131" s="68">
        <v>42</v>
      </c>
      <c r="E131" s="56">
        <v>85.7</v>
      </c>
      <c r="F131" s="57">
        <v>45488</v>
      </c>
      <c r="G131" s="106">
        <v>2</v>
      </c>
      <c r="H131" s="56">
        <v>12</v>
      </c>
      <c r="I131" s="57">
        <v>45488</v>
      </c>
      <c r="J131" s="107">
        <v>2</v>
      </c>
      <c r="K131" s="58" t="s">
        <v>83</v>
      </c>
    </row>
    <row r="132" spans="1:11" x14ac:dyDescent="0.3">
      <c r="A132" s="54">
        <v>121</v>
      </c>
      <c r="B132" s="55">
        <v>11</v>
      </c>
      <c r="C132" s="102" t="s">
        <v>24</v>
      </c>
      <c r="D132" s="68">
        <v>38</v>
      </c>
      <c r="E132" s="56">
        <v>50</v>
      </c>
      <c r="F132" s="57">
        <v>45488</v>
      </c>
      <c r="G132" s="106">
        <v>4</v>
      </c>
      <c r="H132" s="56">
        <v>12</v>
      </c>
      <c r="I132" s="57">
        <v>45488</v>
      </c>
      <c r="J132" s="107">
        <v>4</v>
      </c>
      <c r="K132" s="58" t="s">
        <v>88</v>
      </c>
    </row>
    <row r="133" spans="1:11" x14ac:dyDescent="0.3">
      <c r="A133" s="54">
        <v>122</v>
      </c>
      <c r="B133" s="55">
        <v>12</v>
      </c>
      <c r="C133" s="102" t="s">
        <v>25</v>
      </c>
      <c r="D133" s="68">
        <v>41</v>
      </c>
      <c r="E133" s="56">
        <v>150</v>
      </c>
      <c r="F133" s="57">
        <v>45488</v>
      </c>
      <c r="G133" s="106">
        <v>3</v>
      </c>
      <c r="H133" s="56">
        <v>9</v>
      </c>
      <c r="I133" s="57">
        <v>45488</v>
      </c>
      <c r="J133" s="107">
        <v>3</v>
      </c>
      <c r="K133" s="58" t="s">
        <v>245</v>
      </c>
    </row>
    <row r="134" spans="1:11" x14ac:dyDescent="0.3">
      <c r="A134" s="54">
        <v>123</v>
      </c>
      <c r="B134" s="55">
        <v>7</v>
      </c>
      <c r="C134" s="102" t="s">
        <v>20</v>
      </c>
      <c r="D134" s="68">
        <v>40</v>
      </c>
      <c r="E134" s="56">
        <v>20</v>
      </c>
      <c r="F134" s="57">
        <v>45488</v>
      </c>
      <c r="G134" s="106">
        <v>4</v>
      </c>
      <c r="H134" s="56">
        <v>2</v>
      </c>
      <c r="I134" s="57">
        <v>45488</v>
      </c>
      <c r="J134" s="107">
        <v>4</v>
      </c>
      <c r="K134" s="58" t="s">
        <v>88</v>
      </c>
    </row>
    <row r="135" spans="1:11" x14ac:dyDescent="0.3">
      <c r="A135" s="54">
        <v>124</v>
      </c>
      <c r="B135" s="55">
        <v>4</v>
      </c>
      <c r="C135" s="102" t="s">
        <v>17</v>
      </c>
      <c r="D135" s="68">
        <v>43</v>
      </c>
      <c r="E135" s="56">
        <v>100</v>
      </c>
      <c r="F135" s="57">
        <v>45488</v>
      </c>
      <c r="G135" s="106">
        <v>2</v>
      </c>
      <c r="H135" s="56">
        <v>8</v>
      </c>
      <c r="I135" s="57">
        <v>45488</v>
      </c>
      <c r="J135" s="107">
        <v>2</v>
      </c>
      <c r="K135" s="58" t="s">
        <v>83</v>
      </c>
    </row>
    <row r="136" spans="1:11" x14ac:dyDescent="0.3">
      <c r="A136" s="54">
        <v>125</v>
      </c>
      <c r="B136" s="55">
        <v>5</v>
      </c>
      <c r="C136" s="102" t="s">
        <v>18</v>
      </c>
      <c r="D136" s="68">
        <v>45</v>
      </c>
      <c r="E136" s="56">
        <v>100</v>
      </c>
      <c r="F136" s="57">
        <v>45488</v>
      </c>
      <c r="G136" s="106">
        <v>1</v>
      </c>
      <c r="H136" s="56">
        <v>6</v>
      </c>
      <c r="I136" s="57">
        <v>45488</v>
      </c>
      <c r="J136" s="107">
        <v>1</v>
      </c>
      <c r="K136" s="58" t="s">
        <v>82</v>
      </c>
    </row>
    <row r="137" spans="1:11" x14ac:dyDescent="0.3">
      <c r="A137" s="54">
        <v>126</v>
      </c>
      <c r="B137" s="55">
        <v>6</v>
      </c>
      <c r="C137" s="102" t="s">
        <v>19</v>
      </c>
      <c r="D137" s="68">
        <v>35</v>
      </c>
      <c r="E137" s="56">
        <v>120</v>
      </c>
      <c r="F137" s="57">
        <v>45488</v>
      </c>
      <c r="G137" s="106">
        <v>5</v>
      </c>
      <c r="H137" s="56">
        <v>12</v>
      </c>
      <c r="I137" s="57">
        <v>45488</v>
      </c>
      <c r="J137" s="107">
        <v>5</v>
      </c>
      <c r="K137" s="58" t="s">
        <v>246</v>
      </c>
    </row>
    <row r="138" spans="1:11" x14ac:dyDescent="0.3">
      <c r="A138" s="54">
        <v>127</v>
      </c>
      <c r="B138" s="55">
        <v>10</v>
      </c>
      <c r="C138" s="102" t="s">
        <v>23</v>
      </c>
      <c r="D138" s="68">
        <v>44</v>
      </c>
      <c r="E138" s="56">
        <v>140</v>
      </c>
      <c r="F138" s="57">
        <v>45488</v>
      </c>
      <c r="G138" s="106">
        <v>1</v>
      </c>
      <c r="H138" s="56">
        <v>14</v>
      </c>
      <c r="I138" s="57">
        <v>45488</v>
      </c>
      <c r="J138" s="107">
        <v>1</v>
      </c>
      <c r="K138" s="58" t="s">
        <v>82</v>
      </c>
    </row>
    <row r="139" spans="1:11" x14ac:dyDescent="0.3">
      <c r="A139" s="54">
        <v>128</v>
      </c>
      <c r="B139" s="55">
        <v>3</v>
      </c>
      <c r="C139" s="102" t="s">
        <v>16</v>
      </c>
      <c r="D139" s="68">
        <v>37</v>
      </c>
      <c r="E139" s="56">
        <v>100</v>
      </c>
      <c r="F139" s="57">
        <v>45519</v>
      </c>
      <c r="G139" s="106">
        <v>5</v>
      </c>
      <c r="H139" s="56">
        <v>20</v>
      </c>
      <c r="I139" s="57">
        <v>45519</v>
      </c>
      <c r="J139" s="107">
        <v>5</v>
      </c>
      <c r="K139" s="58" t="s">
        <v>213</v>
      </c>
    </row>
    <row r="140" spans="1:11" x14ac:dyDescent="0.3">
      <c r="A140" s="54">
        <v>129</v>
      </c>
      <c r="B140" s="55">
        <v>13</v>
      </c>
      <c r="C140" s="102" t="s">
        <v>26</v>
      </c>
      <c r="D140" s="68">
        <v>46</v>
      </c>
      <c r="E140" s="56">
        <v>100</v>
      </c>
      <c r="F140" s="57">
        <v>45519</v>
      </c>
      <c r="G140" s="106">
        <v>1</v>
      </c>
      <c r="H140" s="56">
        <v>10</v>
      </c>
      <c r="I140" s="57">
        <v>45519</v>
      </c>
      <c r="J140" s="107">
        <v>1</v>
      </c>
      <c r="K140" s="58" t="s">
        <v>82</v>
      </c>
    </row>
    <row r="141" spans="1:11" x14ac:dyDescent="0.3">
      <c r="A141" s="54">
        <v>130</v>
      </c>
      <c r="B141" s="55">
        <v>9</v>
      </c>
      <c r="C141" s="102" t="s">
        <v>22</v>
      </c>
      <c r="D141" s="68">
        <v>42</v>
      </c>
      <c r="E141" s="56">
        <v>85.7</v>
      </c>
      <c r="F141" s="57">
        <v>45519</v>
      </c>
      <c r="G141" s="106">
        <v>3</v>
      </c>
      <c r="H141" s="56">
        <v>12</v>
      </c>
      <c r="I141" s="57">
        <v>45519</v>
      </c>
      <c r="J141" s="107">
        <v>3</v>
      </c>
      <c r="K141" s="58" t="s">
        <v>86</v>
      </c>
    </row>
    <row r="142" spans="1:11" x14ac:dyDescent="0.3">
      <c r="A142" s="54">
        <v>131</v>
      </c>
      <c r="B142" s="55">
        <v>11</v>
      </c>
      <c r="C142" s="102" t="s">
        <v>24</v>
      </c>
      <c r="D142" s="68">
        <v>38</v>
      </c>
      <c r="E142" s="56">
        <v>50</v>
      </c>
      <c r="F142" s="57">
        <v>45519</v>
      </c>
      <c r="G142" s="106">
        <v>5</v>
      </c>
      <c r="H142" s="56">
        <v>12</v>
      </c>
      <c r="I142" s="57">
        <v>45519</v>
      </c>
      <c r="J142" s="107">
        <v>5</v>
      </c>
      <c r="K142" s="58" t="s">
        <v>213</v>
      </c>
    </row>
    <row r="143" spans="1:11" x14ac:dyDescent="0.3">
      <c r="A143" s="54">
        <v>132</v>
      </c>
      <c r="B143" s="55">
        <v>12</v>
      </c>
      <c r="C143" s="102" t="s">
        <v>25</v>
      </c>
      <c r="D143" s="68">
        <v>47</v>
      </c>
      <c r="E143" s="56">
        <v>41.67</v>
      </c>
      <c r="F143" s="57">
        <v>45519</v>
      </c>
      <c r="G143" s="106">
        <v>1</v>
      </c>
      <c r="H143" s="56">
        <v>10</v>
      </c>
      <c r="I143" s="57">
        <v>45519</v>
      </c>
      <c r="J143" s="107">
        <v>1</v>
      </c>
      <c r="K143" s="58" t="s">
        <v>82</v>
      </c>
    </row>
    <row r="144" spans="1:11" x14ac:dyDescent="0.3">
      <c r="A144" s="54">
        <v>133</v>
      </c>
      <c r="B144" s="55">
        <v>7</v>
      </c>
      <c r="C144" s="102" t="s">
        <v>20</v>
      </c>
      <c r="D144" s="68">
        <v>40</v>
      </c>
      <c r="E144" s="56">
        <v>20</v>
      </c>
      <c r="F144" s="57">
        <v>45519</v>
      </c>
      <c r="G144" s="106">
        <v>5</v>
      </c>
      <c r="H144" s="56">
        <v>2</v>
      </c>
      <c r="I144" s="57">
        <v>45519</v>
      </c>
      <c r="J144" s="107">
        <v>5</v>
      </c>
      <c r="K144" s="58" t="s">
        <v>213</v>
      </c>
    </row>
    <row r="145" spans="1:11" x14ac:dyDescent="0.3">
      <c r="A145" s="54">
        <v>134</v>
      </c>
      <c r="B145" s="55">
        <v>4</v>
      </c>
      <c r="C145" s="102" t="s">
        <v>17</v>
      </c>
      <c r="D145" s="68">
        <v>43</v>
      </c>
      <c r="E145" s="56">
        <v>100</v>
      </c>
      <c r="F145" s="57">
        <v>45519</v>
      </c>
      <c r="G145" s="106">
        <v>3</v>
      </c>
      <c r="H145" s="56">
        <v>8</v>
      </c>
      <c r="I145" s="57">
        <v>45519</v>
      </c>
      <c r="J145" s="107">
        <v>3</v>
      </c>
      <c r="K145" s="58" t="s">
        <v>86</v>
      </c>
    </row>
    <row r="146" spans="1:11" x14ac:dyDescent="0.3">
      <c r="A146" s="54">
        <v>135</v>
      </c>
      <c r="B146" s="55">
        <v>10</v>
      </c>
      <c r="C146" s="102" t="s">
        <v>23</v>
      </c>
      <c r="D146" s="68">
        <v>44</v>
      </c>
      <c r="E146" s="56">
        <v>140</v>
      </c>
      <c r="F146" s="57">
        <v>45519</v>
      </c>
      <c r="G146" s="106">
        <v>2</v>
      </c>
      <c r="H146" s="56">
        <v>14</v>
      </c>
      <c r="I146" s="57">
        <v>45519</v>
      </c>
      <c r="J146" s="107">
        <v>2</v>
      </c>
      <c r="K146" s="58" t="s">
        <v>83</v>
      </c>
    </row>
    <row r="147" spans="1:11" x14ac:dyDescent="0.3">
      <c r="A147" s="54">
        <v>136</v>
      </c>
      <c r="B147" s="55">
        <v>5</v>
      </c>
      <c r="C147" s="102" t="s">
        <v>18</v>
      </c>
      <c r="D147" s="68">
        <v>45</v>
      </c>
      <c r="E147" s="56">
        <v>100</v>
      </c>
      <c r="F147" s="57">
        <v>45519</v>
      </c>
      <c r="G147" s="106">
        <v>2</v>
      </c>
      <c r="H147" s="56">
        <v>6</v>
      </c>
      <c r="I147" s="57">
        <v>45519</v>
      </c>
      <c r="J147" s="107">
        <v>2</v>
      </c>
      <c r="K147" s="58" t="s">
        <v>83</v>
      </c>
    </row>
    <row r="148" spans="1:11" x14ac:dyDescent="0.3">
      <c r="A148" s="54">
        <v>137</v>
      </c>
      <c r="B148" s="55">
        <v>1</v>
      </c>
      <c r="C148" s="102" t="s">
        <v>14</v>
      </c>
      <c r="D148" s="68">
        <v>49</v>
      </c>
      <c r="E148" s="56">
        <v>50</v>
      </c>
      <c r="F148" s="57">
        <v>45550</v>
      </c>
      <c r="G148" s="106">
        <v>1</v>
      </c>
      <c r="H148" s="56">
        <v>6</v>
      </c>
      <c r="I148" s="57">
        <v>45550</v>
      </c>
      <c r="J148" s="107">
        <v>1</v>
      </c>
      <c r="K148" s="58" t="s">
        <v>262</v>
      </c>
    </row>
    <row r="149" spans="1:11" x14ac:dyDescent="0.3">
      <c r="A149" s="54">
        <v>138</v>
      </c>
      <c r="B149" s="55">
        <v>3</v>
      </c>
      <c r="C149" s="102" t="s">
        <v>16</v>
      </c>
      <c r="D149" s="68">
        <v>37</v>
      </c>
      <c r="E149" s="56">
        <v>100</v>
      </c>
      <c r="F149" s="57">
        <v>45550</v>
      </c>
      <c r="G149" s="106">
        <v>6</v>
      </c>
      <c r="H149" s="56">
        <v>20</v>
      </c>
      <c r="I149" s="57">
        <v>45550</v>
      </c>
      <c r="J149" s="107">
        <v>6</v>
      </c>
      <c r="K149" s="58" t="s">
        <v>263</v>
      </c>
    </row>
    <row r="150" spans="1:11" x14ac:dyDescent="0.3">
      <c r="A150" s="54">
        <v>139</v>
      </c>
      <c r="B150" s="55">
        <v>4</v>
      </c>
      <c r="C150" s="102" t="s">
        <v>17</v>
      </c>
      <c r="D150" s="68">
        <v>43</v>
      </c>
      <c r="E150" s="56">
        <v>100</v>
      </c>
      <c r="F150" s="57">
        <v>45550</v>
      </c>
      <c r="G150" s="106">
        <v>4</v>
      </c>
      <c r="H150" s="56">
        <v>8</v>
      </c>
      <c r="I150" s="57">
        <v>45550</v>
      </c>
      <c r="J150" s="107">
        <v>4</v>
      </c>
      <c r="K150" s="58" t="s">
        <v>264</v>
      </c>
    </row>
    <row r="151" spans="1:11" x14ac:dyDescent="0.3">
      <c r="A151" s="54">
        <v>140</v>
      </c>
      <c r="B151" s="55">
        <v>5</v>
      </c>
      <c r="C151" s="102" t="s">
        <v>18</v>
      </c>
      <c r="D151" s="68">
        <v>45</v>
      </c>
      <c r="E151" s="56">
        <v>100</v>
      </c>
      <c r="F151" s="57">
        <v>45550</v>
      </c>
      <c r="G151" s="106">
        <v>3</v>
      </c>
      <c r="H151" s="56">
        <v>6</v>
      </c>
      <c r="I151" s="57">
        <v>45550</v>
      </c>
      <c r="J151" s="107">
        <v>3</v>
      </c>
      <c r="K151" s="58" t="s">
        <v>265</v>
      </c>
    </row>
    <row r="152" spans="1:11" x14ac:dyDescent="0.3">
      <c r="A152" s="54">
        <v>141</v>
      </c>
      <c r="B152" s="55">
        <v>6</v>
      </c>
      <c r="C152" s="102" t="s">
        <v>19</v>
      </c>
      <c r="D152" s="68">
        <v>48</v>
      </c>
      <c r="E152" s="56">
        <v>100</v>
      </c>
      <c r="F152" s="57">
        <v>45550</v>
      </c>
      <c r="G152" s="106">
        <v>1</v>
      </c>
      <c r="H152" s="56">
        <v>12</v>
      </c>
      <c r="I152" s="57">
        <v>45550</v>
      </c>
      <c r="J152" s="107">
        <v>1</v>
      </c>
      <c r="K152" s="58" t="s">
        <v>262</v>
      </c>
    </row>
    <row r="153" spans="1:11" x14ac:dyDescent="0.3">
      <c r="A153" s="54">
        <v>142</v>
      </c>
      <c r="B153" s="55">
        <v>9</v>
      </c>
      <c r="C153" s="102" t="s">
        <v>22</v>
      </c>
      <c r="D153" s="68">
        <v>42</v>
      </c>
      <c r="E153" s="56">
        <v>85.7</v>
      </c>
      <c r="F153" s="57">
        <v>45550</v>
      </c>
      <c r="G153" s="106">
        <v>4</v>
      </c>
      <c r="H153" s="56">
        <v>12</v>
      </c>
      <c r="I153" s="57">
        <v>45550</v>
      </c>
      <c r="J153" s="107">
        <v>4</v>
      </c>
      <c r="K153" s="58" t="s">
        <v>264</v>
      </c>
    </row>
    <row r="154" spans="1:11" x14ac:dyDescent="0.3">
      <c r="A154" s="54">
        <v>143</v>
      </c>
      <c r="B154" s="55">
        <v>10</v>
      </c>
      <c r="C154" s="102" t="s">
        <v>23</v>
      </c>
      <c r="D154" s="68">
        <v>44</v>
      </c>
      <c r="E154" s="56">
        <v>140</v>
      </c>
      <c r="F154" s="57">
        <v>45550</v>
      </c>
      <c r="G154" s="106">
        <v>3</v>
      </c>
      <c r="H154" s="56">
        <v>14</v>
      </c>
      <c r="I154" s="57">
        <v>45550</v>
      </c>
      <c r="J154" s="107">
        <v>3</v>
      </c>
      <c r="K154" s="58" t="s">
        <v>265</v>
      </c>
    </row>
    <row r="155" spans="1:11" x14ac:dyDescent="0.3">
      <c r="A155" s="54">
        <v>144</v>
      </c>
      <c r="B155" s="55">
        <v>11</v>
      </c>
      <c r="C155" s="102" t="s">
        <v>24</v>
      </c>
      <c r="D155" s="68">
        <v>38</v>
      </c>
      <c r="E155" s="56">
        <v>50</v>
      </c>
      <c r="F155" s="57">
        <v>45550</v>
      </c>
      <c r="G155" s="106">
        <v>6</v>
      </c>
      <c r="H155" s="56">
        <v>12</v>
      </c>
      <c r="I155" s="57">
        <v>45550</v>
      </c>
      <c r="J155" s="107">
        <v>6</v>
      </c>
      <c r="K155" s="58" t="s">
        <v>263</v>
      </c>
    </row>
    <row r="156" spans="1:11" x14ac:dyDescent="0.3">
      <c r="A156" s="54">
        <v>145</v>
      </c>
      <c r="B156" s="55">
        <v>12</v>
      </c>
      <c r="C156" s="102" t="s">
        <v>25</v>
      </c>
      <c r="D156" s="68">
        <v>47</v>
      </c>
      <c r="E156" s="56">
        <v>41.67</v>
      </c>
      <c r="F156" s="57">
        <v>45550</v>
      </c>
      <c r="G156" s="106">
        <v>2</v>
      </c>
      <c r="H156" s="56">
        <v>10</v>
      </c>
      <c r="I156" s="57">
        <v>45550</v>
      </c>
      <c r="J156" s="107">
        <v>2</v>
      </c>
      <c r="K156" s="58" t="s">
        <v>266</v>
      </c>
    </row>
    <row r="157" spans="1:11" x14ac:dyDescent="0.3">
      <c r="A157" s="54">
        <v>146</v>
      </c>
      <c r="B157" s="55">
        <v>13</v>
      </c>
      <c r="C157" s="102" t="s">
        <v>26</v>
      </c>
      <c r="D157" s="68">
        <v>46</v>
      </c>
      <c r="E157" s="56">
        <v>100</v>
      </c>
      <c r="F157" s="57">
        <v>45550</v>
      </c>
      <c r="G157" s="106">
        <v>2</v>
      </c>
      <c r="H157" s="56">
        <v>10</v>
      </c>
      <c r="I157" s="57">
        <v>45550</v>
      </c>
      <c r="J157" s="107">
        <v>2</v>
      </c>
      <c r="K157" s="58" t="s">
        <v>266</v>
      </c>
    </row>
    <row r="158" spans="1:11" x14ac:dyDescent="0.3">
      <c r="A158" s="54">
        <v>147</v>
      </c>
      <c r="B158" s="55">
        <v>3</v>
      </c>
      <c r="C158" s="102" t="s">
        <v>16</v>
      </c>
      <c r="D158" s="68">
        <v>37</v>
      </c>
      <c r="E158" s="56">
        <v>100</v>
      </c>
      <c r="F158" s="57">
        <v>45580</v>
      </c>
      <c r="G158" s="106">
        <v>7</v>
      </c>
      <c r="H158" s="56">
        <v>20</v>
      </c>
      <c r="I158" s="57">
        <v>45580</v>
      </c>
      <c r="J158" s="107">
        <v>7</v>
      </c>
      <c r="K158" s="58" t="s">
        <v>270</v>
      </c>
    </row>
    <row r="159" spans="1:11" x14ac:dyDescent="0.3">
      <c r="A159" s="54">
        <v>148</v>
      </c>
      <c r="B159" s="55">
        <v>1</v>
      </c>
      <c r="C159" s="102" t="s">
        <v>14</v>
      </c>
      <c r="D159" s="68">
        <v>49</v>
      </c>
      <c r="E159" s="56">
        <v>50</v>
      </c>
      <c r="F159" s="57">
        <v>45580</v>
      </c>
      <c r="G159" s="106">
        <v>2</v>
      </c>
      <c r="H159" s="56">
        <v>6</v>
      </c>
      <c r="I159" s="57">
        <v>45580</v>
      </c>
      <c r="J159" s="107">
        <v>2</v>
      </c>
      <c r="K159" s="58" t="s">
        <v>266</v>
      </c>
    </row>
    <row r="160" spans="1:11" x14ac:dyDescent="0.3">
      <c r="A160" s="54">
        <v>149</v>
      </c>
      <c r="B160" s="55">
        <v>13</v>
      </c>
      <c r="C160" s="102" t="s">
        <v>26</v>
      </c>
      <c r="D160" s="68">
        <v>46</v>
      </c>
      <c r="E160" s="56">
        <v>100</v>
      </c>
      <c r="F160" s="57">
        <v>45580</v>
      </c>
      <c r="G160" s="106">
        <v>3</v>
      </c>
      <c r="H160" s="56">
        <v>10</v>
      </c>
      <c r="I160" s="57">
        <v>45580</v>
      </c>
      <c r="J160" s="107">
        <v>3</v>
      </c>
      <c r="K160" s="58" t="s">
        <v>265</v>
      </c>
    </row>
    <row r="161" spans="1:11" x14ac:dyDescent="0.3">
      <c r="A161" s="54">
        <v>150</v>
      </c>
      <c r="B161" s="55">
        <v>9</v>
      </c>
      <c r="C161" s="102" t="s">
        <v>22</v>
      </c>
      <c r="D161" s="68">
        <v>42</v>
      </c>
      <c r="E161" s="56">
        <v>85.7</v>
      </c>
      <c r="F161" s="57">
        <v>45580</v>
      </c>
      <c r="G161" s="106">
        <v>5</v>
      </c>
      <c r="H161" s="56">
        <v>12</v>
      </c>
      <c r="I161" s="57">
        <v>45580</v>
      </c>
      <c r="J161" s="107">
        <v>5</v>
      </c>
      <c r="K161" s="58" t="s">
        <v>271</v>
      </c>
    </row>
    <row r="162" spans="1:11" x14ac:dyDescent="0.3">
      <c r="A162" s="54">
        <v>151</v>
      </c>
      <c r="B162" s="55">
        <v>11</v>
      </c>
      <c r="C162" s="102" t="s">
        <v>24</v>
      </c>
      <c r="D162" s="68">
        <v>38</v>
      </c>
      <c r="E162" s="56">
        <v>50</v>
      </c>
      <c r="F162" s="57">
        <v>45580</v>
      </c>
      <c r="G162" s="106">
        <v>7</v>
      </c>
      <c r="H162" s="56">
        <v>12</v>
      </c>
      <c r="I162" s="57">
        <v>45580</v>
      </c>
      <c r="J162" s="107">
        <v>7</v>
      </c>
      <c r="K162" s="58" t="s">
        <v>270</v>
      </c>
    </row>
    <row r="163" spans="1:11" x14ac:dyDescent="0.3">
      <c r="A163" s="54">
        <v>152</v>
      </c>
      <c r="B163" s="55">
        <v>12</v>
      </c>
      <c r="C163" s="102" t="s">
        <v>25</v>
      </c>
      <c r="D163" s="68">
        <v>47</v>
      </c>
      <c r="E163" s="56">
        <v>41.67</v>
      </c>
      <c r="F163" s="57">
        <v>45580</v>
      </c>
      <c r="G163" s="106">
        <v>3</v>
      </c>
      <c r="H163" s="56">
        <v>10</v>
      </c>
      <c r="I163" s="57">
        <v>45580</v>
      </c>
      <c r="J163" s="107">
        <v>3</v>
      </c>
      <c r="K163" s="58" t="s">
        <v>265</v>
      </c>
    </row>
    <row r="164" spans="1:11" x14ac:dyDescent="0.3">
      <c r="A164" s="54">
        <v>153</v>
      </c>
      <c r="B164" s="55">
        <v>8</v>
      </c>
      <c r="C164" s="102" t="s">
        <v>21</v>
      </c>
      <c r="D164" s="68">
        <v>50</v>
      </c>
      <c r="E164" s="56">
        <v>100</v>
      </c>
      <c r="F164" s="57">
        <v>45580</v>
      </c>
      <c r="G164" s="106">
        <v>1</v>
      </c>
      <c r="H164" s="56">
        <v>8</v>
      </c>
      <c r="I164" s="57">
        <v>45580</v>
      </c>
      <c r="J164" s="107">
        <v>1</v>
      </c>
      <c r="K164" s="58" t="s">
        <v>262</v>
      </c>
    </row>
    <row r="165" spans="1:11" x14ac:dyDescent="0.3">
      <c r="A165" s="54">
        <v>154</v>
      </c>
      <c r="B165" s="55">
        <v>6</v>
      </c>
      <c r="C165" s="102" t="s">
        <v>19</v>
      </c>
      <c r="D165" s="68">
        <v>48</v>
      </c>
      <c r="E165" s="56">
        <v>100</v>
      </c>
      <c r="F165" s="57">
        <v>45580</v>
      </c>
      <c r="G165" s="106">
        <v>2</v>
      </c>
      <c r="H165" s="56">
        <v>12</v>
      </c>
      <c r="I165" s="57">
        <v>45580</v>
      </c>
      <c r="J165" s="107">
        <v>2</v>
      </c>
      <c r="K165" s="58" t="s">
        <v>266</v>
      </c>
    </row>
    <row r="166" spans="1:11" x14ac:dyDescent="0.3">
      <c r="A166" s="54">
        <v>155</v>
      </c>
      <c r="B166" s="55">
        <v>10</v>
      </c>
      <c r="C166" s="102" t="s">
        <v>23</v>
      </c>
      <c r="D166" s="68">
        <v>44</v>
      </c>
      <c r="E166" s="56">
        <v>280</v>
      </c>
      <c r="F166" s="57">
        <v>45580</v>
      </c>
      <c r="G166" s="106">
        <v>4</v>
      </c>
      <c r="H166" s="56">
        <v>14</v>
      </c>
      <c r="I166" s="57">
        <v>45580</v>
      </c>
      <c r="J166" s="107">
        <v>4</v>
      </c>
      <c r="K166" s="58" t="s">
        <v>274</v>
      </c>
    </row>
    <row r="167" spans="1:11" x14ac:dyDescent="0.3">
      <c r="A167" s="54" t="s">
        <v>323</v>
      </c>
      <c r="B167" s="55">
        <v>14</v>
      </c>
      <c r="C167" s="102" t="s">
        <v>16</v>
      </c>
      <c r="D167" s="68"/>
      <c r="E167" s="56">
        <v>13.35</v>
      </c>
      <c r="F167" s="57">
        <v>45580</v>
      </c>
      <c r="G167" s="106"/>
      <c r="H167" s="56"/>
      <c r="I167" s="57">
        <v>45580</v>
      </c>
      <c r="J167" s="107"/>
      <c r="K167" s="58" t="s">
        <v>322</v>
      </c>
    </row>
    <row r="168" spans="1:11" x14ac:dyDescent="0.3">
      <c r="A168" s="54" t="s">
        <v>324</v>
      </c>
      <c r="B168" s="55">
        <v>14</v>
      </c>
      <c r="C168" s="102" t="s">
        <v>17</v>
      </c>
      <c r="D168" s="68"/>
      <c r="E168" s="56">
        <v>13.35</v>
      </c>
      <c r="F168" s="57">
        <v>45580</v>
      </c>
      <c r="G168" s="106"/>
      <c r="H168" s="56"/>
      <c r="I168" s="57">
        <v>45580</v>
      </c>
      <c r="J168" s="107"/>
      <c r="K168" s="58" t="s">
        <v>322</v>
      </c>
    </row>
    <row r="169" spans="1:11" x14ac:dyDescent="0.3">
      <c r="A169" s="54" t="s">
        <v>275</v>
      </c>
      <c r="B169" s="55">
        <v>10</v>
      </c>
      <c r="C169" s="102" t="s">
        <v>23</v>
      </c>
      <c r="D169" s="68">
        <v>44</v>
      </c>
      <c r="E169" s="56">
        <v>0</v>
      </c>
      <c r="F169" s="57">
        <v>45580</v>
      </c>
      <c r="G169" s="106">
        <v>5</v>
      </c>
      <c r="H169" s="56">
        <v>14</v>
      </c>
      <c r="I169" s="57">
        <v>45580</v>
      </c>
      <c r="J169" s="107">
        <v>5</v>
      </c>
      <c r="K169" s="58" t="s">
        <v>300</v>
      </c>
    </row>
    <row r="170" spans="1:11" x14ac:dyDescent="0.3">
      <c r="A170" s="54" t="s">
        <v>279</v>
      </c>
      <c r="B170" s="55">
        <v>15</v>
      </c>
      <c r="C170" s="102" t="s">
        <v>76</v>
      </c>
      <c r="D170" s="68"/>
      <c r="E170" s="56">
        <v>0</v>
      </c>
      <c r="F170" s="57">
        <v>45580</v>
      </c>
      <c r="G170" s="106"/>
      <c r="H170" s="56">
        <v>200</v>
      </c>
      <c r="I170" s="57">
        <v>45580</v>
      </c>
      <c r="J170" s="107"/>
      <c r="K170" s="58" t="s">
        <v>280</v>
      </c>
    </row>
    <row r="171" spans="1:11" x14ac:dyDescent="0.3">
      <c r="A171" s="54">
        <v>156</v>
      </c>
      <c r="B171" s="55">
        <v>11</v>
      </c>
      <c r="C171" s="102" t="s">
        <v>24</v>
      </c>
      <c r="D171" s="68">
        <v>38</v>
      </c>
      <c r="E171" s="56">
        <v>50</v>
      </c>
      <c r="F171" s="57">
        <v>45611</v>
      </c>
      <c r="G171" s="106">
        <v>8</v>
      </c>
      <c r="H171" s="56">
        <v>12</v>
      </c>
      <c r="I171" s="57">
        <v>45611</v>
      </c>
      <c r="J171" s="107">
        <v>8</v>
      </c>
      <c r="K171" s="58" t="s">
        <v>312</v>
      </c>
    </row>
    <row r="172" spans="1:11" x14ac:dyDescent="0.3">
      <c r="A172" s="54">
        <v>157</v>
      </c>
      <c r="B172" s="55">
        <v>9</v>
      </c>
      <c r="C172" s="102" t="s">
        <v>22</v>
      </c>
      <c r="D172" s="68">
        <v>42</v>
      </c>
      <c r="E172" s="56">
        <v>85.7</v>
      </c>
      <c r="F172" s="57">
        <v>45611</v>
      </c>
      <c r="G172" s="106">
        <v>6</v>
      </c>
      <c r="H172" s="56">
        <v>12</v>
      </c>
      <c r="I172" s="57">
        <v>45611</v>
      </c>
      <c r="J172" s="107">
        <v>6</v>
      </c>
      <c r="K172" s="58" t="s">
        <v>263</v>
      </c>
    </row>
    <row r="173" spans="1:11" x14ac:dyDescent="0.3">
      <c r="A173" s="54">
        <v>158</v>
      </c>
      <c r="B173" s="55">
        <v>12</v>
      </c>
      <c r="C173" s="102" t="s">
        <v>25</v>
      </c>
      <c r="D173" s="68">
        <v>47</v>
      </c>
      <c r="E173" s="56">
        <v>41.67</v>
      </c>
      <c r="F173" s="57">
        <v>45611</v>
      </c>
      <c r="G173" s="106">
        <v>4</v>
      </c>
      <c r="H173" s="56">
        <v>10</v>
      </c>
      <c r="I173" s="57">
        <v>45611</v>
      </c>
      <c r="J173" s="107">
        <v>4</v>
      </c>
      <c r="K173" s="58" t="s">
        <v>264</v>
      </c>
    </row>
    <row r="174" spans="1:11" x14ac:dyDescent="0.3">
      <c r="A174" s="54">
        <v>159</v>
      </c>
      <c r="B174" s="55">
        <v>1</v>
      </c>
      <c r="C174" s="102" t="s">
        <v>14</v>
      </c>
      <c r="D174" s="68">
        <v>49</v>
      </c>
      <c r="E174" s="56">
        <v>50</v>
      </c>
      <c r="F174" s="57">
        <v>45611</v>
      </c>
      <c r="G174" s="106">
        <v>3</v>
      </c>
      <c r="H174" s="56">
        <v>6</v>
      </c>
      <c r="I174" s="57">
        <v>45611</v>
      </c>
      <c r="J174" s="107">
        <v>3</v>
      </c>
      <c r="K174" s="58" t="s">
        <v>265</v>
      </c>
    </row>
    <row r="175" spans="1:11" x14ac:dyDescent="0.3">
      <c r="A175" s="54">
        <v>160</v>
      </c>
      <c r="B175" s="55">
        <v>8</v>
      </c>
      <c r="C175" s="102" t="s">
        <v>21</v>
      </c>
      <c r="D175" s="68">
        <v>50</v>
      </c>
      <c r="E175" s="56">
        <v>100</v>
      </c>
      <c r="F175" s="57">
        <v>45611</v>
      </c>
      <c r="G175" s="106">
        <v>2</v>
      </c>
      <c r="H175" s="56">
        <v>8</v>
      </c>
      <c r="I175" s="57">
        <v>45611</v>
      </c>
      <c r="J175" s="107">
        <v>50</v>
      </c>
      <c r="K175" s="58" t="s">
        <v>266</v>
      </c>
    </row>
    <row r="176" spans="1:11" x14ac:dyDescent="0.3">
      <c r="A176" s="54">
        <v>161</v>
      </c>
      <c r="B176" s="55">
        <v>4</v>
      </c>
      <c r="C176" s="102" t="s">
        <v>17</v>
      </c>
      <c r="D176" s="68">
        <v>51</v>
      </c>
      <c r="E176" s="56">
        <v>62.5</v>
      </c>
      <c r="F176" s="57">
        <v>45611</v>
      </c>
      <c r="G176" s="106">
        <v>1</v>
      </c>
      <c r="H176" s="56">
        <v>5</v>
      </c>
      <c r="I176" s="57">
        <v>45611</v>
      </c>
      <c r="J176" s="107">
        <v>1</v>
      </c>
      <c r="K176" s="58" t="s">
        <v>262</v>
      </c>
    </row>
    <row r="177" spans="1:11" x14ac:dyDescent="0.3">
      <c r="A177" s="54">
        <v>162</v>
      </c>
      <c r="B177" s="55">
        <v>5</v>
      </c>
      <c r="C177" s="102" t="s">
        <v>18</v>
      </c>
      <c r="D177" s="68">
        <v>52</v>
      </c>
      <c r="E177" s="56">
        <v>62.5</v>
      </c>
      <c r="F177" s="57">
        <v>45611</v>
      </c>
      <c r="G177" s="106">
        <v>1</v>
      </c>
      <c r="H177" s="56">
        <v>5</v>
      </c>
      <c r="I177" s="57">
        <v>45611</v>
      </c>
      <c r="J177" s="107">
        <v>1</v>
      </c>
      <c r="K177" s="58" t="s">
        <v>262</v>
      </c>
    </row>
    <row r="178" spans="1:11" x14ac:dyDescent="0.3">
      <c r="A178" s="54">
        <v>163</v>
      </c>
      <c r="B178" s="55">
        <v>10</v>
      </c>
      <c r="C178" s="102" t="s">
        <v>23</v>
      </c>
      <c r="D178" s="68">
        <v>53</v>
      </c>
      <c r="E178" s="56">
        <v>125</v>
      </c>
      <c r="F178" s="57">
        <v>45611</v>
      </c>
      <c r="G178" s="106">
        <v>1</v>
      </c>
      <c r="H178" s="56">
        <v>10</v>
      </c>
      <c r="I178" s="57">
        <v>45611</v>
      </c>
      <c r="J178" s="107">
        <v>1</v>
      </c>
      <c r="K178" s="58" t="s">
        <v>262</v>
      </c>
    </row>
    <row r="179" spans="1:11" x14ac:dyDescent="0.3">
      <c r="A179" s="54">
        <v>164</v>
      </c>
      <c r="B179" s="55">
        <v>3</v>
      </c>
      <c r="C179" s="102" t="s">
        <v>16</v>
      </c>
      <c r="D179" s="68">
        <v>37</v>
      </c>
      <c r="E179" s="56">
        <v>100</v>
      </c>
      <c r="F179" s="57">
        <v>45611</v>
      </c>
      <c r="G179" s="106">
        <v>8</v>
      </c>
      <c r="H179" s="56">
        <v>20</v>
      </c>
      <c r="I179" s="57">
        <v>45611</v>
      </c>
      <c r="J179" s="107">
        <v>8</v>
      </c>
      <c r="K179" s="58" t="s">
        <v>313</v>
      </c>
    </row>
    <row r="180" spans="1:11" x14ac:dyDescent="0.3">
      <c r="A180" s="54">
        <v>165</v>
      </c>
      <c r="B180" s="55">
        <v>13</v>
      </c>
      <c r="C180" s="102" t="s">
        <v>26</v>
      </c>
      <c r="D180" s="68">
        <v>46</v>
      </c>
      <c r="E180" s="56">
        <v>100</v>
      </c>
      <c r="F180" s="57">
        <v>45611</v>
      </c>
      <c r="G180" s="106">
        <v>4</v>
      </c>
      <c r="H180" s="56">
        <v>10</v>
      </c>
      <c r="I180" s="57">
        <v>45611</v>
      </c>
      <c r="J180" s="107">
        <v>4</v>
      </c>
      <c r="K180" s="58" t="s">
        <v>264</v>
      </c>
    </row>
    <row r="181" spans="1:11" x14ac:dyDescent="0.3">
      <c r="A181" s="54">
        <v>166</v>
      </c>
      <c r="B181" s="55">
        <v>9</v>
      </c>
      <c r="C181" s="102" t="s">
        <v>22</v>
      </c>
      <c r="D181" s="68">
        <v>42</v>
      </c>
      <c r="E181" s="56">
        <v>85.7</v>
      </c>
      <c r="F181" s="57">
        <v>45611</v>
      </c>
      <c r="G181" s="106">
        <v>7</v>
      </c>
      <c r="H181" s="56"/>
      <c r="I181" s="57">
        <v>45611</v>
      </c>
      <c r="J181" s="107"/>
      <c r="K181" s="58" t="s">
        <v>318</v>
      </c>
    </row>
    <row r="182" spans="1:11" x14ac:dyDescent="0.3">
      <c r="A182" s="54" t="s">
        <v>319</v>
      </c>
      <c r="B182" s="55">
        <v>9</v>
      </c>
      <c r="C182" s="102" t="s">
        <v>22</v>
      </c>
      <c r="D182" s="68">
        <v>42</v>
      </c>
      <c r="E182" s="56"/>
      <c r="F182" s="57">
        <v>45611</v>
      </c>
      <c r="G182" s="106"/>
      <c r="H182" s="56">
        <v>12</v>
      </c>
      <c r="I182" s="57">
        <v>45611</v>
      </c>
      <c r="J182" s="107">
        <v>7</v>
      </c>
      <c r="K182" s="58" t="s">
        <v>320</v>
      </c>
    </row>
    <row r="183" spans="1:11" x14ac:dyDescent="0.3">
      <c r="A183" s="54" t="s">
        <v>325</v>
      </c>
      <c r="B183" s="55">
        <v>14</v>
      </c>
      <c r="C183" s="102" t="s">
        <v>15</v>
      </c>
      <c r="D183" s="108"/>
      <c r="E183" s="56">
        <v>13.35</v>
      </c>
      <c r="F183" s="57">
        <v>45611</v>
      </c>
      <c r="G183" s="106"/>
      <c r="H183" s="56"/>
      <c r="I183" s="57">
        <v>45611</v>
      </c>
      <c r="J183" s="107"/>
      <c r="K183" s="58" t="s">
        <v>322</v>
      </c>
    </row>
    <row r="184" spans="1:11" x14ac:dyDescent="0.3">
      <c r="A184" s="54" t="s">
        <v>326</v>
      </c>
      <c r="B184" s="94">
        <v>14</v>
      </c>
      <c r="C184" s="77" t="s">
        <v>19</v>
      </c>
      <c r="D184" s="108"/>
      <c r="E184" s="56">
        <v>13.35</v>
      </c>
      <c r="F184" s="57">
        <v>45611</v>
      </c>
      <c r="G184" s="86"/>
      <c r="H184" s="56"/>
      <c r="I184" s="57">
        <v>45611</v>
      </c>
      <c r="J184" s="90"/>
      <c r="K184" s="58" t="s">
        <v>322</v>
      </c>
    </row>
    <row r="185" spans="1:11" x14ac:dyDescent="0.3">
      <c r="A185" s="54" t="s">
        <v>327</v>
      </c>
      <c r="B185" s="94">
        <v>14</v>
      </c>
      <c r="C185" s="77" t="s">
        <v>20</v>
      </c>
      <c r="D185" s="108"/>
      <c r="E185" s="56">
        <v>13.35</v>
      </c>
      <c r="F185" s="57">
        <v>45611</v>
      </c>
      <c r="G185" s="86"/>
      <c r="H185" s="56"/>
      <c r="I185" s="57">
        <v>45611</v>
      </c>
      <c r="J185" s="90"/>
      <c r="K185" s="58" t="s">
        <v>322</v>
      </c>
    </row>
    <row r="186" spans="1:11" x14ac:dyDescent="0.3">
      <c r="A186" s="54" t="s">
        <v>328</v>
      </c>
      <c r="B186" s="94">
        <v>14</v>
      </c>
      <c r="C186" s="77" t="s">
        <v>21</v>
      </c>
      <c r="D186" s="108"/>
      <c r="E186" s="56">
        <v>13.35</v>
      </c>
      <c r="F186" s="57">
        <v>45611</v>
      </c>
      <c r="G186" s="86"/>
      <c r="H186" s="56"/>
      <c r="I186" s="57">
        <v>45611</v>
      </c>
      <c r="J186" s="90"/>
      <c r="K186" s="58" t="s">
        <v>322</v>
      </c>
    </row>
    <row r="187" spans="1:11" x14ac:dyDescent="0.3">
      <c r="A187" s="54" t="s">
        <v>329</v>
      </c>
      <c r="B187" s="94">
        <v>14</v>
      </c>
      <c r="C187" s="77" t="s">
        <v>22</v>
      </c>
      <c r="D187" s="108"/>
      <c r="E187" s="56">
        <v>13.35</v>
      </c>
      <c r="F187" s="57">
        <v>45611</v>
      </c>
      <c r="G187" s="86"/>
      <c r="H187" s="56"/>
      <c r="I187" s="57">
        <v>45611</v>
      </c>
      <c r="J187" s="90"/>
      <c r="K187" s="58" t="s">
        <v>322</v>
      </c>
    </row>
    <row r="188" spans="1:11" x14ac:dyDescent="0.3">
      <c r="A188" s="54" t="s">
        <v>330</v>
      </c>
      <c r="B188" s="94">
        <v>14</v>
      </c>
      <c r="C188" s="77" t="s">
        <v>23</v>
      </c>
      <c r="D188" s="108"/>
      <c r="E188" s="56">
        <v>13.35</v>
      </c>
      <c r="F188" s="57">
        <v>45611</v>
      </c>
      <c r="G188" s="86"/>
      <c r="H188" s="56"/>
      <c r="I188" s="57">
        <v>45611</v>
      </c>
      <c r="J188" s="90"/>
      <c r="K188" s="58" t="s">
        <v>322</v>
      </c>
    </row>
    <row r="189" spans="1:11" x14ac:dyDescent="0.3">
      <c r="A189" s="54" t="s">
        <v>331</v>
      </c>
      <c r="B189" s="94">
        <v>14</v>
      </c>
      <c r="C189" s="77" t="s">
        <v>24</v>
      </c>
      <c r="D189" s="108"/>
      <c r="E189" s="56">
        <v>13.35</v>
      </c>
      <c r="F189" s="57">
        <v>45611</v>
      </c>
      <c r="G189" s="86"/>
      <c r="H189" s="273"/>
      <c r="I189" s="57">
        <v>45611</v>
      </c>
      <c r="J189" s="90"/>
      <c r="K189" s="58" t="s">
        <v>322</v>
      </c>
    </row>
    <row r="190" spans="1:11" x14ac:dyDescent="0.3">
      <c r="A190" s="54" t="s">
        <v>332</v>
      </c>
      <c r="B190" s="94">
        <v>14</v>
      </c>
      <c r="C190" s="77" t="s">
        <v>25</v>
      </c>
      <c r="D190" s="108"/>
      <c r="E190" s="56">
        <v>13.35</v>
      </c>
      <c r="F190" s="57">
        <v>45611</v>
      </c>
      <c r="G190" s="86"/>
      <c r="H190" s="56"/>
      <c r="I190" s="57">
        <v>45611</v>
      </c>
      <c r="J190" s="90"/>
      <c r="K190" s="58" t="s">
        <v>322</v>
      </c>
    </row>
    <row r="191" spans="1:11" x14ac:dyDescent="0.3">
      <c r="A191" s="54">
        <v>167</v>
      </c>
      <c r="B191" s="55">
        <v>6</v>
      </c>
      <c r="C191" s="102" t="s">
        <v>19</v>
      </c>
      <c r="D191" s="68">
        <v>48</v>
      </c>
      <c r="E191" s="56">
        <v>100</v>
      </c>
      <c r="F191" s="57">
        <v>45611</v>
      </c>
      <c r="G191" s="106">
        <v>3</v>
      </c>
      <c r="H191" s="56">
        <v>12</v>
      </c>
      <c r="I191" s="57">
        <v>45611</v>
      </c>
      <c r="J191" s="107">
        <v>3</v>
      </c>
      <c r="K191" s="58" t="s">
        <v>265</v>
      </c>
    </row>
    <row r="192" spans="1:11" x14ac:dyDescent="0.3">
      <c r="A192" s="54">
        <v>168</v>
      </c>
      <c r="B192" s="55">
        <v>11</v>
      </c>
      <c r="C192" s="102" t="s">
        <v>24</v>
      </c>
      <c r="D192" s="68">
        <v>38</v>
      </c>
      <c r="E192" s="56">
        <v>50</v>
      </c>
      <c r="F192" s="57">
        <v>45641</v>
      </c>
      <c r="G192" s="106">
        <v>9</v>
      </c>
      <c r="H192" s="56">
        <v>12</v>
      </c>
      <c r="I192" s="57">
        <v>45641</v>
      </c>
      <c r="J192" s="107">
        <v>9</v>
      </c>
      <c r="K192" s="58" t="s">
        <v>334</v>
      </c>
    </row>
    <row r="193" spans="1:11" x14ac:dyDescent="0.3">
      <c r="A193" s="54">
        <v>169</v>
      </c>
      <c r="B193" s="55">
        <v>3</v>
      </c>
      <c r="C193" s="102" t="s">
        <v>16</v>
      </c>
      <c r="D193" s="68">
        <v>37</v>
      </c>
      <c r="E193" s="56">
        <v>100</v>
      </c>
      <c r="F193" s="57">
        <v>45641</v>
      </c>
      <c r="G193" s="106">
        <v>9</v>
      </c>
      <c r="H193" s="56">
        <v>20</v>
      </c>
      <c r="I193" s="57">
        <v>45641</v>
      </c>
      <c r="J193" s="107">
        <v>9</v>
      </c>
      <c r="K193" s="58" t="s">
        <v>334</v>
      </c>
    </row>
    <row r="194" spans="1:11" x14ac:dyDescent="0.3">
      <c r="A194" s="54">
        <v>170</v>
      </c>
      <c r="B194" s="55">
        <v>9</v>
      </c>
      <c r="C194" s="102" t="s">
        <v>22</v>
      </c>
      <c r="D194" s="68">
        <v>55</v>
      </c>
      <c r="E194" s="56">
        <v>100</v>
      </c>
      <c r="F194" s="57">
        <v>45641</v>
      </c>
      <c r="G194" s="106">
        <v>1</v>
      </c>
      <c r="H194" s="56">
        <v>20</v>
      </c>
      <c r="I194" s="57">
        <v>45641</v>
      </c>
      <c r="J194" s="107">
        <v>1</v>
      </c>
      <c r="K194" s="58" t="s">
        <v>262</v>
      </c>
    </row>
    <row r="195" spans="1:11" x14ac:dyDescent="0.3">
      <c r="A195" s="54">
        <v>171</v>
      </c>
      <c r="B195" s="55">
        <v>12</v>
      </c>
      <c r="C195" s="102" t="s">
        <v>25</v>
      </c>
      <c r="D195" s="68">
        <v>47</v>
      </c>
      <c r="E195" s="56">
        <v>41.67</v>
      </c>
      <c r="F195" s="57">
        <v>45641</v>
      </c>
      <c r="G195" s="106">
        <v>5</v>
      </c>
      <c r="H195" s="56">
        <v>10</v>
      </c>
      <c r="I195" s="57">
        <v>45641</v>
      </c>
      <c r="J195" s="107">
        <v>5</v>
      </c>
      <c r="K195" s="58" t="s">
        <v>271</v>
      </c>
    </row>
    <row r="196" spans="1:11" x14ac:dyDescent="0.3">
      <c r="A196" s="54">
        <v>172</v>
      </c>
      <c r="B196" s="55">
        <v>6</v>
      </c>
      <c r="C196" s="102" t="s">
        <v>19</v>
      </c>
      <c r="D196" s="68">
        <v>48</v>
      </c>
      <c r="E196" s="56">
        <v>100</v>
      </c>
      <c r="F196" s="57">
        <v>45641</v>
      </c>
      <c r="G196" s="106">
        <v>4</v>
      </c>
      <c r="H196" s="56">
        <v>12</v>
      </c>
      <c r="I196" s="57">
        <v>45641</v>
      </c>
      <c r="J196" s="107">
        <v>4</v>
      </c>
      <c r="K196" s="58" t="s">
        <v>264</v>
      </c>
    </row>
    <row r="197" spans="1:11" x14ac:dyDescent="0.3">
      <c r="A197" s="54">
        <v>173</v>
      </c>
      <c r="B197" s="55">
        <v>1</v>
      </c>
      <c r="C197" s="102" t="s">
        <v>14</v>
      </c>
      <c r="D197" s="68">
        <v>49</v>
      </c>
      <c r="E197" s="56">
        <v>50</v>
      </c>
      <c r="F197" s="57">
        <v>45641</v>
      </c>
      <c r="G197" s="106">
        <v>4</v>
      </c>
      <c r="H197" s="56">
        <v>6</v>
      </c>
      <c r="I197" s="57">
        <v>45641</v>
      </c>
      <c r="J197" s="107">
        <v>4</v>
      </c>
      <c r="K197" s="58" t="s">
        <v>264</v>
      </c>
    </row>
    <row r="198" spans="1:11" x14ac:dyDescent="0.3">
      <c r="A198" s="54">
        <v>174</v>
      </c>
      <c r="B198" s="55">
        <v>8</v>
      </c>
      <c r="C198" s="102" t="s">
        <v>21</v>
      </c>
      <c r="D198" s="68">
        <v>50</v>
      </c>
      <c r="E198" s="56">
        <v>100</v>
      </c>
      <c r="F198" s="57">
        <v>45641</v>
      </c>
      <c r="G198" s="106">
        <v>3</v>
      </c>
      <c r="H198" s="56">
        <v>8</v>
      </c>
      <c r="I198" s="57">
        <v>45641</v>
      </c>
      <c r="J198" s="107">
        <v>3</v>
      </c>
      <c r="K198" s="58" t="s">
        <v>265</v>
      </c>
    </row>
    <row r="199" spans="1:11" x14ac:dyDescent="0.3">
      <c r="A199" s="54">
        <v>175</v>
      </c>
      <c r="B199" s="55">
        <v>4</v>
      </c>
      <c r="C199" s="102" t="s">
        <v>17</v>
      </c>
      <c r="D199" s="68">
        <v>51</v>
      </c>
      <c r="E199" s="56">
        <v>62.5</v>
      </c>
      <c r="F199" s="57">
        <v>45641</v>
      </c>
      <c r="G199" s="106">
        <v>2</v>
      </c>
      <c r="H199" s="56">
        <v>5</v>
      </c>
      <c r="I199" s="57">
        <v>45641</v>
      </c>
      <c r="J199" s="107">
        <v>2</v>
      </c>
      <c r="K199" s="58" t="s">
        <v>266</v>
      </c>
    </row>
    <row r="200" spans="1:11" x14ac:dyDescent="0.3">
      <c r="A200" s="54">
        <v>176</v>
      </c>
      <c r="B200" s="55">
        <v>5</v>
      </c>
      <c r="C200" s="102" t="s">
        <v>18</v>
      </c>
      <c r="D200" s="68">
        <v>52</v>
      </c>
      <c r="E200" s="56">
        <v>62.5</v>
      </c>
      <c r="F200" s="57">
        <v>45641</v>
      </c>
      <c r="G200" s="106">
        <v>2</v>
      </c>
      <c r="H200" s="56">
        <v>5</v>
      </c>
      <c r="I200" s="57">
        <v>45641</v>
      </c>
      <c r="J200" s="107">
        <v>2</v>
      </c>
      <c r="K200" s="58" t="s">
        <v>266</v>
      </c>
    </row>
    <row r="201" spans="1:11" x14ac:dyDescent="0.3">
      <c r="A201" s="54">
        <v>177</v>
      </c>
      <c r="B201" s="55">
        <v>10</v>
      </c>
      <c r="C201" s="102" t="s">
        <v>23</v>
      </c>
      <c r="D201" s="68">
        <v>53</v>
      </c>
      <c r="E201" s="56">
        <v>125</v>
      </c>
      <c r="F201" s="57">
        <v>45641</v>
      </c>
      <c r="G201" s="106">
        <v>2</v>
      </c>
      <c r="H201" s="56">
        <v>10</v>
      </c>
      <c r="I201" s="57">
        <v>45641</v>
      </c>
      <c r="J201" s="107">
        <v>2</v>
      </c>
      <c r="K201" s="58" t="s">
        <v>266</v>
      </c>
    </row>
    <row r="202" spans="1:11" x14ac:dyDescent="0.3">
      <c r="A202" s="54">
        <v>178</v>
      </c>
      <c r="B202" s="55">
        <v>7</v>
      </c>
      <c r="C202" s="102" t="s">
        <v>20</v>
      </c>
      <c r="D202" s="68">
        <v>56</v>
      </c>
      <c r="E202" s="56">
        <v>40</v>
      </c>
      <c r="F202" s="57">
        <v>45641</v>
      </c>
      <c r="G202" s="106">
        <v>1</v>
      </c>
      <c r="H202" s="56">
        <v>4</v>
      </c>
      <c r="I202" s="57">
        <v>45641</v>
      </c>
      <c r="J202" s="107">
        <v>1</v>
      </c>
      <c r="K202" s="58" t="s">
        <v>262</v>
      </c>
    </row>
    <row r="203" spans="1:11" x14ac:dyDescent="0.3">
      <c r="A203" s="54" t="s">
        <v>335</v>
      </c>
      <c r="B203" s="55">
        <v>14</v>
      </c>
      <c r="C203" s="102" t="s">
        <v>26</v>
      </c>
      <c r="D203" s="68"/>
      <c r="E203" s="56">
        <v>13.35</v>
      </c>
      <c r="F203" s="57">
        <v>45641</v>
      </c>
      <c r="G203" s="106"/>
      <c r="H203" s="56"/>
      <c r="I203" s="57">
        <v>45641</v>
      </c>
      <c r="J203" s="107"/>
      <c r="K203" s="58" t="s">
        <v>322</v>
      </c>
    </row>
    <row r="204" spans="1:11" x14ac:dyDescent="0.3">
      <c r="A204" s="54" t="s">
        <v>336</v>
      </c>
      <c r="B204" s="55">
        <v>14</v>
      </c>
      <c r="C204" s="102" t="s">
        <v>18</v>
      </c>
      <c r="D204" s="68"/>
      <c r="E204" s="56">
        <v>13.35</v>
      </c>
      <c r="F204" s="57">
        <v>45641</v>
      </c>
      <c r="G204" s="106"/>
      <c r="H204" s="56"/>
      <c r="I204" s="57">
        <v>45641</v>
      </c>
      <c r="J204" s="107"/>
      <c r="K204" s="58" t="s">
        <v>322</v>
      </c>
    </row>
    <row r="205" spans="1:11" x14ac:dyDescent="0.3">
      <c r="A205" s="54">
        <v>179</v>
      </c>
      <c r="B205" s="55">
        <v>2</v>
      </c>
      <c r="C205" s="102" t="s">
        <v>15</v>
      </c>
      <c r="D205" s="68">
        <v>54</v>
      </c>
      <c r="E205" s="56">
        <v>166.67</v>
      </c>
      <c r="F205" s="57">
        <v>45641</v>
      </c>
      <c r="G205" s="106">
        <v>1</v>
      </c>
      <c r="H205" s="56">
        <v>10</v>
      </c>
      <c r="I205" s="57">
        <v>45641</v>
      </c>
      <c r="J205" s="107">
        <v>1</v>
      </c>
      <c r="K205" s="58" t="s">
        <v>262</v>
      </c>
    </row>
    <row r="206" spans="1:11" x14ac:dyDescent="0.3">
      <c r="A206" s="54">
        <v>180</v>
      </c>
      <c r="B206" s="55">
        <v>13</v>
      </c>
      <c r="C206" s="102" t="s">
        <v>26</v>
      </c>
      <c r="D206" s="68">
        <v>46</v>
      </c>
      <c r="E206" s="56">
        <v>100</v>
      </c>
      <c r="F206" s="57">
        <v>45641</v>
      </c>
      <c r="G206" s="106">
        <v>5</v>
      </c>
      <c r="H206" s="56">
        <v>0</v>
      </c>
      <c r="I206" s="57">
        <v>45641</v>
      </c>
      <c r="J206" s="107">
        <v>5</v>
      </c>
      <c r="K206" s="58" t="s">
        <v>339</v>
      </c>
    </row>
    <row r="207" spans="1:11" x14ac:dyDescent="0.3">
      <c r="A207" s="54" t="s">
        <v>359</v>
      </c>
      <c r="B207" s="55">
        <v>13</v>
      </c>
      <c r="C207" s="102" t="s">
        <v>26</v>
      </c>
      <c r="D207" s="68">
        <v>46</v>
      </c>
      <c r="E207" s="56">
        <v>0</v>
      </c>
      <c r="F207" s="57">
        <v>45641</v>
      </c>
      <c r="G207" s="106">
        <v>5</v>
      </c>
      <c r="H207" s="56">
        <v>8</v>
      </c>
      <c r="I207" s="57">
        <v>45641</v>
      </c>
      <c r="J207" s="107">
        <v>5</v>
      </c>
      <c r="K207" s="58" t="s">
        <v>320</v>
      </c>
    </row>
    <row r="208" spans="1:11" x14ac:dyDescent="0.3">
      <c r="A208" s="54">
        <v>181</v>
      </c>
      <c r="B208" s="55">
        <v>8</v>
      </c>
      <c r="C208" s="102" t="s">
        <v>21</v>
      </c>
      <c r="D208" s="68">
        <v>50</v>
      </c>
      <c r="E208" s="56">
        <v>100</v>
      </c>
      <c r="F208" s="57">
        <v>45641</v>
      </c>
      <c r="G208" s="106">
        <v>4</v>
      </c>
      <c r="H208" s="56">
        <v>0</v>
      </c>
      <c r="I208" s="57">
        <v>45641</v>
      </c>
      <c r="J208" s="107">
        <v>4</v>
      </c>
      <c r="K208" s="58" t="s">
        <v>343</v>
      </c>
    </row>
    <row r="209" spans="1:11" x14ac:dyDescent="0.3">
      <c r="A209" s="54" t="s">
        <v>363</v>
      </c>
      <c r="B209" s="55">
        <v>8</v>
      </c>
      <c r="C209" s="102" t="s">
        <v>21</v>
      </c>
      <c r="D209" s="68">
        <v>50</v>
      </c>
      <c r="E209" s="56">
        <v>0</v>
      </c>
      <c r="F209" s="57">
        <v>45641</v>
      </c>
      <c r="G209" s="106">
        <v>4</v>
      </c>
      <c r="H209" s="56">
        <v>8</v>
      </c>
      <c r="I209" s="57">
        <v>45641</v>
      </c>
      <c r="J209" s="107">
        <v>4</v>
      </c>
      <c r="K209" s="58" t="s">
        <v>345</v>
      </c>
    </row>
    <row r="210" spans="1:11" x14ac:dyDescent="0.3">
      <c r="A210" s="54">
        <v>182</v>
      </c>
      <c r="B210" s="55">
        <v>11</v>
      </c>
      <c r="C210" s="102" t="s">
        <v>24</v>
      </c>
      <c r="D210" s="68">
        <v>38</v>
      </c>
      <c r="E210" s="56">
        <v>50</v>
      </c>
      <c r="F210" s="57">
        <v>45672</v>
      </c>
      <c r="G210" s="106">
        <v>10</v>
      </c>
      <c r="H210" s="56">
        <v>12</v>
      </c>
      <c r="I210" s="57">
        <v>45672</v>
      </c>
      <c r="J210" s="107">
        <v>10</v>
      </c>
      <c r="K210" s="58" t="s">
        <v>354</v>
      </c>
    </row>
    <row r="211" spans="1:11" x14ac:dyDescent="0.3">
      <c r="A211" s="54">
        <v>183</v>
      </c>
      <c r="B211" s="55">
        <v>12</v>
      </c>
      <c r="C211" s="102" t="s">
        <v>25</v>
      </c>
      <c r="D211" s="68">
        <v>47</v>
      </c>
      <c r="E211" s="56">
        <v>41.67</v>
      </c>
      <c r="F211" s="57">
        <v>45672</v>
      </c>
      <c r="G211" s="106">
        <v>6</v>
      </c>
      <c r="H211" s="56">
        <v>10</v>
      </c>
      <c r="I211" s="57">
        <v>45672</v>
      </c>
      <c r="J211" s="107">
        <v>6</v>
      </c>
      <c r="K211" s="58" t="s">
        <v>227</v>
      </c>
    </row>
    <row r="212" spans="1:11" x14ac:dyDescent="0.3">
      <c r="A212" s="54">
        <v>184</v>
      </c>
      <c r="B212" s="55">
        <v>1</v>
      </c>
      <c r="C212" s="102" t="s">
        <v>14</v>
      </c>
      <c r="D212" s="68">
        <v>49</v>
      </c>
      <c r="E212" s="56">
        <v>50</v>
      </c>
      <c r="F212" s="57">
        <v>45672</v>
      </c>
      <c r="G212" s="106">
        <v>5</v>
      </c>
      <c r="H212" s="56">
        <v>6</v>
      </c>
      <c r="I212" s="57">
        <v>45672</v>
      </c>
      <c r="J212" s="107">
        <v>5</v>
      </c>
      <c r="K212" s="58" t="s">
        <v>213</v>
      </c>
    </row>
    <row r="213" spans="1:11" x14ac:dyDescent="0.3">
      <c r="A213" s="54">
        <v>185</v>
      </c>
      <c r="B213" s="55">
        <v>4</v>
      </c>
      <c r="C213" s="102" t="s">
        <v>17</v>
      </c>
      <c r="D213" s="68">
        <v>51</v>
      </c>
      <c r="E213" s="56">
        <v>62.5</v>
      </c>
      <c r="F213" s="57">
        <v>45672</v>
      </c>
      <c r="G213" s="106">
        <v>3</v>
      </c>
      <c r="H213" s="56">
        <v>5</v>
      </c>
      <c r="I213" s="57">
        <v>45672</v>
      </c>
      <c r="J213" s="107">
        <v>3</v>
      </c>
      <c r="K213" s="58" t="s">
        <v>355</v>
      </c>
    </row>
    <row r="214" spans="1:11" x14ac:dyDescent="0.3">
      <c r="A214" s="54">
        <v>186</v>
      </c>
      <c r="B214" s="55">
        <v>5</v>
      </c>
      <c r="C214" s="102" t="s">
        <v>18</v>
      </c>
      <c r="D214" s="68">
        <v>52</v>
      </c>
      <c r="E214" s="56">
        <v>62.5</v>
      </c>
      <c r="F214" s="57">
        <v>45672</v>
      </c>
      <c r="G214" s="106">
        <v>3</v>
      </c>
      <c r="H214" s="56">
        <v>5</v>
      </c>
      <c r="I214" s="57">
        <v>45672</v>
      </c>
      <c r="J214" s="107">
        <v>3</v>
      </c>
      <c r="K214" s="58" t="s">
        <v>86</v>
      </c>
    </row>
    <row r="215" spans="1:11" x14ac:dyDescent="0.3">
      <c r="A215" s="54">
        <v>187</v>
      </c>
      <c r="B215" s="55">
        <v>10</v>
      </c>
      <c r="C215" s="102" t="s">
        <v>23</v>
      </c>
      <c r="D215" s="68">
        <v>53</v>
      </c>
      <c r="E215" s="56">
        <v>125</v>
      </c>
      <c r="F215" s="57">
        <v>45672</v>
      </c>
      <c r="G215" s="106">
        <v>3</v>
      </c>
      <c r="H215" s="56">
        <v>10</v>
      </c>
      <c r="I215" s="57">
        <v>45672</v>
      </c>
      <c r="J215" s="107">
        <v>3</v>
      </c>
      <c r="K215" s="58" t="s">
        <v>86</v>
      </c>
    </row>
    <row r="216" spans="1:11" x14ac:dyDescent="0.3">
      <c r="A216" s="54">
        <v>188</v>
      </c>
      <c r="B216" s="55">
        <v>9</v>
      </c>
      <c r="C216" s="102" t="s">
        <v>22</v>
      </c>
      <c r="D216" s="68">
        <v>55</v>
      </c>
      <c r="E216" s="56">
        <v>100</v>
      </c>
      <c r="F216" s="57">
        <v>45672</v>
      </c>
      <c r="G216" s="106">
        <v>2</v>
      </c>
      <c r="H216" s="56">
        <v>20</v>
      </c>
      <c r="I216" s="57">
        <v>45672</v>
      </c>
      <c r="J216" s="107">
        <v>2</v>
      </c>
      <c r="K216" s="58" t="s">
        <v>356</v>
      </c>
    </row>
    <row r="217" spans="1:11" x14ac:dyDescent="0.3">
      <c r="A217" s="54">
        <v>189</v>
      </c>
      <c r="B217" s="55">
        <v>13</v>
      </c>
      <c r="C217" s="102" t="s">
        <v>26</v>
      </c>
      <c r="D217" s="68">
        <v>57</v>
      </c>
      <c r="E217" s="56">
        <v>100</v>
      </c>
      <c r="F217" s="57">
        <v>45672</v>
      </c>
      <c r="G217" s="106">
        <v>1</v>
      </c>
      <c r="H217" s="56">
        <v>20</v>
      </c>
      <c r="I217" s="57">
        <v>45672</v>
      </c>
      <c r="J217" s="107">
        <v>1</v>
      </c>
      <c r="K217" s="58" t="s">
        <v>262</v>
      </c>
    </row>
    <row r="218" spans="1:11" x14ac:dyDescent="0.3">
      <c r="A218" s="54">
        <v>190</v>
      </c>
      <c r="B218" s="55">
        <v>8</v>
      </c>
      <c r="C218" s="102" t="s">
        <v>21</v>
      </c>
      <c r="D218" s="68">
        <v>58</v>
      </c>
      <c r="E218" s="56">
        <v>100</v>
      </c>
      <c r="F218" s="57">
        <v>45672</v>
      </c>
      <c r="G218" s="106">
        <v>1</v>
      </c>
      <c r="H218" s="56">
        <v>10</v>
      </c>
      <c r="I218" s="57">
        <v>45672</v>
      </c>
      <c r="J218" s="107">
        <v>1</v>
      </c>
      <c r="K218" s="58" t="s">
        <v>357</v>
      </c>
    </row>
    <row r="219" spans="1:11" x14ac:dyDescent="0.3">
      <c r="A219" s="54">
        <v>191</v>
      </c>
      <c r="B219" s="55">
        <v>3</v>
      </c>
      <c r="C219" s="102" t="s">
        <v>16</v>
      </c>
      <c r="D219" s="68">
        <v>37</v>
      </c>
      <c r="E219" s="56">
        <v>100</v>
      </c>
      <c r="F219" s="57">
        <v>45672</v>
      </c>
      <c r="G219" s="106">
        <v>10</v>
      </c>
      <c r="H219" s="56">
        <v>20</v>
      </c>
      <c r="I219" s="57">
        <v>45672</v>
      </c>
      <c r="J219" s="107">
        <v>10</v>
      </c>
      <c r="K219" s="58" t="s">
        <v>358</v>
      </c>
    </row>
    <row r="220" spans="1:11" x14ac:dyDescent="0.3">
      <c r="A220" s="54">
        <v>192</v>
      </c>
      <c r="B220" s="55">
        <v>7</v>
      </c>
      <c r="C220" s="102" t="s">
        <v>20</v>
      </c>
      <c r="D220" s="68">
        <v>56</v>
      </c>
      <c r="E220" s="56">
        <v>40</v>
      </c>
      <c r="F220" s="57">
        <v>45672</v>
      </c>
      <c r="G220" s="106">
        <v>2</v>
      </c>
      <c r="H220" s="56">
        <v>4</v>
      </c>
      <c r="I220" s="57">
        <v>45672</v>
      </c>
      <c r="J220" s="107">
        <v>2</v>
      </c>
      <c r="K220" s="58" t="s">
        <v>370</v>
      </c>
    </row>
    <row r="221" spans="1:11" x14ac:dyDescent="0.3">
      <c r="A221" s="54">
        <v>193</v>
      </c>
      <c r="B221" s="55">
        <v>6</v>
      </c>
      <c r="C221" s="102" t="s">
        <v>19</v>
      </c>
      <c r="D221" s="68">
        <v>48</v>
      </c>
      <c r="E221" s="56">
        <v>100</v>
      </c>
      <c r="F221" s="57">
        <v>45672</v>
      </c>
      <c r="G221" s="106">
        <v>5</v>
      </c>
      <c r="H221" s="56">
        <v>12</v>
      </c>
      <c r="I221" s="57">
        <v>45672</v>
      </c>
      <c r="J221" s="107">
        <v>5</v>
      </c>
      <c r="K221" s="58" t="s">
        <v>371</v>
      </c>
    </row>
    <row r="222" spans="1:11" x14ac:dyDescent="0.3">
      <c r="A222" s="54">
        <v>194</v>
      </c>
      <c r="B222" s="55">
        <v>6</v>
      </c>
      <c r="C222" s="102" t="s">
        <v>19</v>
      </c>
      <c r="D222" s="68">
        <v>48</v>
      </c>
      <c r="E222" s="56">
        <v>100</v>
      </c>
      <c r="F222" s="57">
        <v>45672</v>
      </c>
      <c r="G222" s="106">
        <v>6</v>
      </c>
      <c r="H222" s="56">
        <v>0</v>
      </c>
      <c r="I222" s="57">
        <v>45672</v>
      </c>
      <c r="J222" s="107">
        <v>6</v>
      </c>
      <c r="K222" s="58" t="s">
        <v>372</v>
      </c>
    </row>
    <row r="223" spans="1:11" x14ac:dyDescent="0.3">
      <c r="A223" s="54" t="s">
        <v>340</v>
      </c>
      <c r="B223" s="55">
        <v>6</v>
      </c>
      <c r="C223" s="102" t="s">
        <v>19</v>
      </c>
      <c r="D223" s="68">
        <v>48</v>
      </c>
      <c r="E223" s="56">
        <v>0</v>
      </c>
      <c r="F223" s="57">
        <v>45672</v>
      </c>
      <c r="G223" s="106">
        <v>6</v>
      </c>
      <c r="H223" s="56">
        <v>12</v>
      </c>
      <c r="I223" s="57">
        <v>45672</v>
      </c>
      <c r="J223" s="107">
        <v>6</v>
      </c>
      <c r="K223" s="58" t="s">
        <v>241</v>
      </c>
    </row>
    <row r="224" spans="1:11" x14ac:dyDescent="0.3">
      <c r="A224" s="54">
        <v>195</v>
      </c>
      <c r="B224" s="55">
        <v>2</v>
      </c>
      <c r="C224" s="102" t="s">
        <v>15</v>
      </c>
      <c r="D224" s="68">
        <v>54</v>
      </c>
      <c r="E224" s="56">
        <v>166.67</v>
      </c>
      <c r="F224" s="57">
        <v>45672</v>
      </c>
      <c r="G224" s="106">
        <v>2</v>
      </c>
      <c r="H224" s="56">
        <v>10</v>
      </c>
      <c r="I224" s="57">
        <v>45672</v>
      </c>
      <c r="J224" s="107">
        <v>2</v>
      </c>
      <c r="K224" s="58" t="s">
        <v>360</v>
      </c>
    </row>
    <row r="225" spans="1:11" x14ac:dyDescent="0.3">
      <c r="A225" s="54">
        <v>196</v>
      </c>
      <c r="B225" s="55">
        <v>10</v>
      </c>
      <c r="C225" s="102" t="s">
        <v>23</v>
      </c>
      <c r="D225" s="68">
        <v>53</v>
      </c>
      <c r="E225" s="56">
        <v>125</v>
      </c>
      <c r="F225" s="57">
        <v>45672</v>
      </c>
      <c r="G225" s="106">
        <v>4</v>
      </c>
      <c r="H225" s="56">
        <v>0</v>
      </c>
      <c r="I225" s="57">
        <v>45672</v>
      </c>
      <c r="J225" s="107">
        <v>4</v>
      </c>
      <c r="K225" s="58" t="s">
        <v>373</v>
      </c>
    </row>
    <row r="226" spans="1:11" x14ac:dyDescent="0.3">
      <c r="A226" s="54" t="s">
        <v>344</v>
      </c>
      <c r="B226" s="55">
        <v>10</v>
      </c>
      <c r="C226" s="102" t="s">
        <v>23</v>
      </c>
      <c r="D226" s="68">
        <v>53</v>
      </c>
      <c r="E226" s="56">
        <v>0</v>
      </c>
      <c r="F226" s="57">
        <v>45672</v>
      </c>
      <c r="G226" s="106">
        <v>4</v>
      </c>
      <c r="H226" s="56">
        <v>10</v>
      </c>
      <c r="I226" s="57">
        <v>45672</v>
      </c>
      <c r="J226" s="107">
        <v>4</v>
      </c>
      <c r="K226" s="58" t="s">
        <v>241</v>
      </c>
    </row>
    <row r="227" spans="1:11" x14ac:dyDescent="0.3">
      <c r="A227" s="47">
        <v>197</v>
      </c>
      <c r="B227" s="94">
        <v>12</v>
      </c>
      <c r="C227" s="77" t="s">
        <v>25</v>
      </c>
      <c r="D227" s="108">
        <v>59</v>
      </c>
      <c r="E227" s="53">
        <v>80</v>
      </c>
      <c r="F227" s="78">
        <v>45672</v>
      </c>
      <c r="G227" s="86">
        <v>1</v>
      </c>
      <c r="H227" s="53">
        <v>1.6</v>
      </c>
      <c r="I227" s="78">
        <v>45672</v>
      </c>
      <c r="J227" s="90">
        <v>1</v>
      </c>
      <c r="K227" s="61" t="s">
        <v>366</v>
      </c>
    </row>
  </sheetData>
  <sheetProtection algorithmName="SHA-512" hashValue="m/6M0fOmG4R94+7SHKBFCunPaTpNwyzUBGxbWN91CA9MzKQ+AowMp1pRtm3ENnjC0ldnB/WzXUWC52XGaZmnWw==" saltValue="Tzk86WTazNQY9LvDWDJtXQ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</sheetPr>
  <dimension ref="A1:N20"/>
  <sheetViews>
    <sheetView zoomScale="92" zoomScaleNormal="92" workbookViewId="0">
      <selection activeCell="E9" sqref="E9"/>
    </sheetView>
  </sheetViews>
  <sheetFormatPr baseColWidth="10" defaultColWidth="11.5546875" defaultRowHeight="14.4" x14ac:dyDescent="0.3"/>
  <cols>
    <col min="1" max="1" width="21" bestFit="1" customWidth="1"/>
    <col min="2" max="2" width="8.88671875" bestFit="1" customWidth="1"/>
    <col min="3" max="3" width="2.77734375" customWidth="1"/>
    <col min="4" max="4" width="23.33203125" bestFit="1" customWidth="1"/>
    <col min="5" max="5" width="19.33203125" bestFit="1" customWidth="1"/>
    <col min="6" max="6" width="10" bestFit="1" customWidth="1"/>
    <col min="7" max="7" width="3.21875" customWidth="1"/>
    <col min="8" max="8" width="23.33203125" bestFit="1" customWidth="1"/>
    <col min="9" max="9" width="19.33203125" bestFit="1" customWidth="1"/>
    <col min="10" max="10" width="8.109375" bestFit="1" customWidth="1"/>
    <col min="11" max="11" width="3.109375" customWidth="1"/>
    <col min="12" max="12" width="20.6640625" bestFit="1" customWidth="1"/>
    <col min="13" max="14" width="11.5546875" bestFit="1" customWidth="1"/>
    <col min="15" max="15" width="3.109375" customWidth="1"/>
  </cols>
  <sheetData>
    <row r="1" spans="1:14" x14ac:dyDescent="0.3">
      <c r="A1" s="260" t="s">
        <v>301</v>
      </c>
      <c r="B1" s="260"/>
      <c r="D1" s="261" t="s">
        <v>59</v>
      </c>
      <c r="E1" s="261"/>
      <c r="F1" s="261"/>
      <c r="H1" s="262" t="s">
        <v>302</v>
      </c>
      <c r="I1" s="262"/>
      <c r="J1" s="262"/>
      <c r="L1" s="263" t="s">
        <v>303</v>
      </c>
      <c r="M1" s="263"/>
      <c r="N1" s="263"/>
    </row>
    <row r="2" spans="1:14" x14ac:dyDescent="0.3">
      <c r="D2" s="269" t="s">
        <v>72</v>
      </c>
      <c r="E2" t="s">
        <v>304</v>
      </c>
      <c r="H2" s="269" t="s">
        <v>72</v>
      </c>
      <c r="I2" t="s">
        <v>304</v>
      </c>
    </row>
    <row r="4" spans="1:14" ht="28.8" x14ac:dyDescent="0.3">
      <c r="A4" s="269" t="s">
        <v>56</v>
      </c>
      <c r="B4" t="s">
        <v>305</v>
      </c>
      <c r="D4" s="269" t="s">
        <v>56</v>
      </c>
      <c r="E4" t="s">
        <v>306</v>
      </c>
      <c r="F4" t="s">
        <v>55</v>
      </c>
      <c r="H4" s="269" t="s">
        <v>307</v>
      </c>
      <c r="I4" t="s">
        <v>306</v>
      </c>
      <c r="J4" t="s">
        <v>34</v>
      </c>
      <c r="L4" s="264" t="s">
        <v>56</v>
      </c>
      <c r="M4" s="264" t="s">
        <v>308</v>
      </c>
      <c r="N4" s="264" t="s">
        <v>309</v>
      </c>
    </row>
    <row r="5" spans="1:14" x14ac:dyDescent="0.3">
      <c r="A5" s="20" t="s">
        <v>16</v>
      </c>
      <c r="B5">
        <v>290</v>
      </c>
      <c r="D5" s="20" t="s">
        <v>16</v>
      </c>
      <c r="E5">
        <v>2000</v>
      </c>
      <c r="F5">
        <v>270</v>
      </c>
      <c r="H5" s="20" t="s">
        <v>16</v>
      </c>
      <c r="I5">
        <v>2000</v>
      </c>
      <c r="J5">
        <v>270</v>
      </c>
      <c r="L5" s="265" t="s">
        <v>16</v>
      </c>
      <c r="M5" s="21">
        <f>GETPIVOTDATA("AMORT",$D$4,"NOMBRE CLIENTE","ANA TOAQUIZA")-GETPIVOTDATA("AMORT",$H$4,"NOMBRE CLIENTE","ANA TOAQUIZA")</f>
        <v>0</v>
      </c>
      <c r="N5" s="21">
        <f>GETPIVOTDATA("INTERESES",$D$4,"NOMBRE CLIENTE","ANA TOAQUIZA")-GETPIVOTDATA("INTERES",$H$4,"NOMBRE CLIENTE","ANA TOAQUIZA")</f>
        <v>0</v>
      </c>
    </row>
    <row r="6" spans="1:14" x14ac:dyDescent="0.3">
      <c r="A6" s="20" t="s">
        <v>14</v>
      </c>
      <c r="B6">
        <v>290</v>
      </c>
      <c r="D6" s="20" t="s">
        <v>14</v>
      </c>
      <c r="E6">
        <v>700</v>
      </c>
      <c r="F6">
        <v>62</v>
      </c>
      <c r="H6" s="20" t="s">
        <v>14</v>
      </c>
      <c r="I6">
        <v>650</v>
      </c>
      <c r="J6">
        <v>56</v>
      </c>
      <c r="L6" s="265" t="s">
        <v>14</v>
      </c>
      <c r="M6" s="21">
        <f>GETPIVOTDATA("AMORT",$D$4,"NOMBRE CLIENTE","CESAR TOAQUIZA")-GETPIVOTDATA("AMORT",$H$4,"NOMBRE CLIENTE","CESAR TOAQUIZA")</f>
        <v>50</v>
      </c>
      <c r="N6" s="21">
        <f>GETPIVOTDATA("INTERESES",$D$4,"NOMBRE CLIENTE","CESAR TOAQUIZA")-GETPIVOTDATA("INTERES",$H$4,"NOMBRE CLIENTE","CESAR TOAQUIZA")</f>
        <v>6</v>
      </c>
    </row>
    <row r="7" spans="1:14" x14ac:dyDescent="0.3">
      <c r="A7" s="20" t="s">
        <v>26</v>
      </c>
      <c r="B7">
        <v>290</v>
      </c>
      <c r="D7" s="20" t="s">
        <v>26</v>
      </c>
      <c r="E7">
        <v>2080</v>
      </c>
      <c r="F7">
        <v>311.60000000000002</v>
      </c>
      <c r="H7" s="20" t="s">
        <v>26</v>
      </c>
      <c r="I7">
        <v>1180</v>
      </c>
      <c r="J7">
        <v>121.6</v>
      </c>
      <c r="L7" s="265" t="s">
        <v>26</v>
      </c>
      <c r="M7" s="21">
        <f>GETPIVOTDATA("AMORT",$D$4,"NOMBRE CLIENTE","DANNY ALMACHI")-GETPIVOTDATA("AMORT",$H$4,"NOMBRE CLIENTE","DANNY ALMACHI")</f>
        <v>900</v>
      </c>
      <c r="N7" s="21">
        <f>GETPIVOTDATA("INTERESES",$D$4,"NOMBRE CLIENTE","DANNY ALMACHI")-GETPIVOTDATA("INTERES",$H$4,"NOMBRE CLIENTE","DANNY ALMACHI")</f>
        <v>190.00000000000003</v>
      </c>
    </row>
    <row r="8" spans="1:14" x14ac:dyDescent="0.3">
      <c r="A8" s="20" t="s">
        <v>22</v>
      </c>
      <c r="B8">
        <v>290</v>
      </c>
      <c r="D8" s="20" t="s">
        <v>22</v>
      </c>
      <c r="E8">
        <v>2300</v>
      </c>
      <c r="F8">
        <v>364</v>
      </c>
      <c r="H8" s="20" t="s">
        <v>22</v>
      </c>
      <c r="I8">
        <v>1499.88</v>
      </c>
      <c r="J8">
        <v>192</v>
      </c>
      <c r="L8" s="265" t="s">
        <v>22</v>
      </c>
      <c r="M8" s="21">
        <f>GETPIVOTDATA("AMORT",$D$4,"NOMBRE CLIENTE","DIEGO TOAQUIZA")-GETPIVOTDATA("AMORT",$H$4,"NOMBRE CLIENTE","DIEGO TOAQUIZA")</f>
        <v>800.11999999999989</v>
      </c>
      <c r="N8" s="21">
        <f>GETPIVOTDATA("INTERESES",$D$4,"NOMBRE CLIENTE","DIEGO TOAQUIZA")-GETPIVOTDATA("INTERES",$H$4,"NOMBRE CLIENTE","DIEGO TOAQUIZA")</f>
        <v>172</v>
      </c>
    </row>
    <row r="9" spans="1:14" x14ac:dyDescent="0.3">
      <c r="A9" s="20" t="s">
        <v>24</v>
      </c>
      <c r="B9">
        <v>290</v>
      </c>
      <c r="D9" s="20" t="s">
        <v>24</v>
      </c>
      <c r="E9">
        <v>1150</v>
      </c>
      <c r="F9">
        <v>185</v>
      </c>
      <c r="H9" s="20" t="s">
        <v>24</v>
      </c>
      <c r="I9">
        <v>1049.99</v>
      </c>
      <c r="J9">
        <v>155</v>
      </c>
      <c r="L9" s="265" t="s">
        <v>24</v>
      </c>
      <c r="M9" s="21">
        <f>GETPIVOTDATA("AMORT",$D$4,"NOMBRE CLIENTE","GUADALUPE TOAQUIZA")-GETPIVOTDATA("AMORT",$H$4,"NOMBRE CLIENTE","GUADALUPE TOAQUIZA")</f>
        <v>100.00999999999999</v>
      </c>
      <c r="N9" s="21">
        <f>GETPIVOTDATA("INTERESES",$D$4,"NOMBRE CLIENTE","GUADALUPE TOAQUIZA")-GETPIVOTDATA("INTERES",$H$4,"NOMBRE CLIENTE","GUADALUPE TOAQUIZA")</f>
        <v>30</v>
      </c>
    </row>
    <row r="10" spans="1:14" x14ac:dyDescent="0.3">
      <c r="A10" s="20" t="s">
        <v>25</v>
      </c>
      <c r="B10">
        <v>290</v>
      </c>
      <c r="D10" s="20" t="s">
        <v>25</v>
      </c>
      <c r="E10">
        <v>1130</v>
      </c>
      <c r="F10">
        <v>154.6</v>
      </c>
      <c r="H10" s="20" t="s">
        <v>25</v>
      </c>
      <c r="I10">
        <v>880.01999999999975</v>
      </c>
      <c r="J10">
        <v>94.6</v>
      </c>
      <c r="L10" s="265" t="s">
        <v>25</v>
      </c>
      <c r="M10" s="21">
        <f>GETPIVOTDATA("AMORT",$D$4,"NOMBRE CLIENTE","JEFFERSON TOAQUIZA")-GETPIVOTDATA("AMORT",$H$4,"NOMBRE CLIENTE","JEFFERSON TOAQUIZA")</f>
        <v>249.98000000000025</v>
      </c>
      <c r="N10" s="21">
        <f>GETPIVOTDATA("INTERESES",$D$4,"NOMBRE CLIENTE","JEFFERSON TOAQUIZA")-GETPIVOTDATA("INTERES",$H$4,"NOMBRE CLIENTE","JEFFERSON TOAQUIZA")</f>
        <v>60</v>
      </c>
    </row>
    <row r="11" spans="1:14" x14ac:dyDescent="0.3">
      <c r="A11" s="20" t="s">
        <v>21</v>
      </c>
      <c r="B11">
        <v>290</v>
      </c>
      <c r="D11" s="20" t="s">
        <v>21</v>
      </c>
      <c r="E11">
        <v>1100</v>
      </c>
      <c r="F11">
        <v>86</v>
      </c>
      <c r="H11" s="20" t="s">
        <v>21</v>
      </c>
      <c r="I11">
        <v>700</v>
      </c>
      <c r="J11">
        <v>38</v>
      </c>
      <c r="L11" s="265" t="s">
        <v>21</v>
      </c>
      <c r="M11" s="21">
        <f>GETPIVOTDATA("AMORT",$D$4,"NOMBRE CLIENTE","LUIS TOAQUIZA")-GETPIVOTDATA("AMORT",$H$4,"NOMBRE CLIENTE","LUIS TOAQUIZA")</f>
        <v>400</v>
      </c>
      <c r="N11" s="21">
        <f>GETPIVOTDATA("INTERESES",$D$4,"NOMBRE CLIENTE","LUIS TOAQUIZA")-GETPIVOTDATA("INTERES",$H$4,"NOMBRE CLIENTE","LUIS TOAQUIZA")</f>
        <v>48</v>
      </c>
    </row>
    <row r="12" spans="1:14" x14ac:dyDescent="0.3">
      <c r="A12" s="20" t="s">
        <v>20</v>
      </c>
      <c r="B12">
        <v>290</v>
      </c>
      <c r="D12" s="20" t="s">
        <v>20</v>
      </c>
      <c r="E12">
        <v>400</v>
      </c>
      <c r="F12">
        <v>38</v>
      </c>
      <c r="H12" s="20" t="s">
        <v>20</v>
      </c>
      <c r="I12">
        <v>280</v>
      </c>
      <c r="J12">
        <v>26</v>
      </c>
      <c r="L12" s="265" t="s">
        <v>20</v>
      </c>
      <c r="M12" s="21">
        <f>GETPIVOTDATA("AMORT",$D$4,"NOMBRE CLIENTE","MARCIAL CHILIQUINGA")-GETPIVOTDATA("AMORT",$H$4,"NOMBRE CLIENTE","MARCIAL CHILIQUINGA")</f>
        <v>120</v>
      </c>
      <c r="N12" s="21">
        <f>GETPIVOTDATA("INTERESES",$D$4,"NOMBRE CLIENTE","MARCIAL CHILIQUINGA")-GETPIVOTDATA("INTERES",$H$4,"NOMBRE CLIENTE","MARCIAL CHILIQUINGA")</f>
        <v>12</v>
      </c>
    </row>
    <row r="13" spans="1:14" x14ac:dyDescent="0.3">
      <c r="A13" s="20" t="s">
        <v>17</v>
      </c>
      <c r="B13">
        <v>290</v>
      </c>
      <c r="D13" s="20" t="s">
        <v>17</v>
      </c>
      <c r="E13">
        <v>1550</v>
      </c>
      <c r="F13">
        <v>94</v>
      </c>
      <c r="H13" s="20" t="s">
        <v>17</v>
      </c>
      <c r="I13">
        <v>1487.5</v>
      </c>
      <c r="J13">
        <v>89</v>
      </c>
      <c r="L13" s="265" t="s">
        <v>17</v>
      </c>
      <c r="M13" s="21">
        <f>GETPIVOTDATA("AMORT",$D$4,"NOMBRE CLIENTE","MARLENE TOAQUIZA ")-GETPIVOTDATA("AMORT",$H$4,"NOMBRE CLIENTE","MARLENE TOAQUIZA ")</f>
        <v>62.5</v>
      </c>
      <c r="N13" s="21">
        <f>GETPIVOTDATA("INTERESES",$D$4,"NOMBRE CLIENTE","MARLENE TOAQUIZA ")-GETPIVOTDATA("INTERES",$H$4,"NOMBRE CLIENTE","MARLENE TOAQUIZA ")</f>
        <v>5</v>
      </c>
    </row>
    <row r="14" spans="1:14" x14ac:dyDescent="0.3">
      <c r="A14" s="20" t="s">
        <v>19</v>
      </c>
      <c r="B14">
        <v>290</v>
      </c>
      <c r="D14" s="20" t="s">
        <v>19</v>
      </c>
      <c r="E14">
        <v>2760</v>
      </c>
      <c r="F14">
        <v>296.39999999999998</v>
      </c>
      <c r="H14" s="20" t="s">
        <v>19</v>
      </c>
      <c r="I14">
        <v>2060</v>
      </c>
      <c r="J14">
        <v>186.4</v>
      </c>
      <c r="L14" s="265" t="s">
        <v>19</v>
      </c>
      <c r="M14" s="21">
        <f>GETPIVOTDATA("AMORT",$D$4,"NOMBRE CLIENTE","MAYRA TOAQUIZA")-GETPIVOTDATA("AMORT",$H$4,"NOMBRE CLIENTE","MAYRA TOAQUIZA")</f>
        <v>700</v>
      </c>
      <c r="N14" s="21">
        <f>GETPIVOTDATA("INTERESES",$D$4,"NOMBRE CLIENTE","MAYRA TOAQUIZA")-GETPIVOTDATA("INTERES",$H$4,"NOMBRE CLIENTE","MAYRA TOAQUIZA")</f>
        <v>109.99999999999997</v>
      </c>
    </row>
    <row r="15" spans="1:14" x14ac:dyDescent="0.3">
      <c r="A15" s="20" t="s">
        <v>23</v>
      </c>
      <c r="B15">
        <v>290</v>
      </c>
      <c r="D15" s="20" t="s">
        <v>23</v>
      </c>
      <c r="E15">
        <v>3620</v>
      </c>
      <c r="F15">
        <v>329</v>
      </c>
      <c r="H15" s="20" t="s">
        <v>23</v>
      </c>
      <c r="I15">
        <v>2920</v>
      </c>
      <c r="J15">
        <v>189</v>
      </c>
      <c r="L15" s="265" t="s">
        <v>23</v>
      </c>
      <c r="M15" s="21">
        <f>GETPIVOTDATA("AMORT",$D$4,"NOMBRE CLIENTE","ROCIO TOAQUIZA")-GETPIVOTDATA("AMORT",$H$4,"NOMBRE CLIENTE","ROCIO TOAQUIZA")</f>
        <v>700</v>
      </c>
      <c r="N15" s="21">
        <f>GETPIVOTDATA("INTERESES",$D$4,"NOMBRE CLIENTE","ROCIO TOAQUIZA")-GETPIVOTDATA("INTERES",$H$4,"NOMBRE CLIENTE","ROCIO TOAQUIZA")</f>
        <v>140</v>
      </c>
    </row>
    <row r="16" spans="1:14" x14ac:dyDescent="0.3">
      <c r="A16" s="20" t="s">
        <v>18</v>
      </c>
      <c r="B16">
        <v>290</v>
      </c>
      <c r="D16" s="20" t="s">
        <v>18</v>
      </c>
      <c r="E16">
        <v>950</v>
      </c>
      <c r="F16">
        <v>50</v>
      </c>
      <c r="H16" s="20" t="s">
        <v>18</v>
      </c>
      <c r="I16">
        <v>887.5</v>
      </c>
      <c r="J16">
        <v>45</v>
      </c>
      <c r="L16" s="265" t="s">
        <v>18</v>
      </c>
      <c r="M16" s="21">
        <f>GETPIVOTDATA("AMORT",$D$4,"NOMBRE CLIENTE","SEGUNDO GUAYTA ")-GETPIVOTDATA("AMORT",$H$4,"NOMBRE CLIENTE","SEGUNDO GUAYTA ")</f>
        <v>62.5</v>
      </c>
      <c r="N16" s="21">
        <f>GETPIVOTDATA("INTERESES",$D$4,"NOMBRE CLIENTE","SEGUNDO GUAYTA ")-GETPIVOTDATA("INTERES",$H$4,"NOMBRE CLIENTE","SEGUNDO GUAYTA ")</f>
        <v>5</v>
      </c>
    </row>
    <row r="17" spans="1:14" x14ac:dyDescent="0.3">
      <c r="A17" s="20" t="s">
        <v>15</v>
      </c>
      <c r="B17">
        <v>290</v>
      </c>
      <c r="D17" s="20" t="s">
        <v>15</v>
      </c>
      <c r="E17">
        <v>600</v>
      </c>
      <c r="F17">
        <v>38</v>
      </c>
      <c r="H17" s="20" t="s">
        <v>15</v>
      </c>
      <c r="I17">
        <v>433.33999999999992</v>
      </c>
      <c r="J17">
        <v>28</v>
      </c>
      <c r="L17" s="266" t="s">
        <v>15</v>
      </c>
      <c r="M17" s="21">
        <f>GETPIVOTDATA("AMORT",$D$4,"NOMBRE CLIENTE","TERESA VILCA")-GETPIVOTDATA("AMORT",$H$4,"NOMBRE CLIENTE","TERESA VILCA")</f>
        <v>166.66000000000008</v>
      </c>
      <c r="N17" s="21">
        <f>GETPIVOTDATA("INTERESES",$D$4,"NOMBRE CLIENTE","TERESA VILCA")-GETPIVOTDATA("INTERES",$H$4,"NOMBRE CLIENTE","TERESA VILCA")</f>
        <v>10</v>
      </c>
    </row>
    <row r="18" spans="1:14" x14ac:dyDescent="0.3">
      <c r="A18" s="20" t="s">
        <v>310</v>
      </c>
      <c r="B18">
        <v>3770</v>
      </c>
      <c r="D18" s="20" t="s">
        <v>310</v>
      </c>
      <c r="E18">
        <v>20340</v>
      </c>
      <c r="F18">
        <v>2278.6</v>
      </c>
      <c r="H18" s="20" t="s">
        <v>310</v>
      </c>
      <c r="I18">
        <v>16028.23</v>
      </c>
      <c r="J18">
        <v>1490.6000000000001</v>
      </c>
      <c r="L18" s="267" t="s">
        <v>310</v>
      </c>
      <c r="M18" s="268">
        <f>SUM(M5:M17)</f>
        <v>4311.7700000000004</v>
      </c>
      <c r="N18" s="268">
        <f>SUM(N5:N17)</f>
        <v>788</v>
      </c>
    </row>
    <row r="19" spans="1:14" x14ac:dyDescent="0.3">
      <c r="M19" s="22"/>
    </row>
    <row r="20" spans="1:14" x14ac:dyDescent="0.3">
      <c r="M20" s="22"/>
    </row>
  </sheetData>
  <sheetProtection algorithmName="SHA-512" hashValue="ikegXMSRmhmrb6f3H8dQ5LjV4AEodR9rfsHtJHcCs1OhLl2euXMgV1F0YXn882h08JQb2nQETaNSd4s/YUeCSg==" saltValue="MmJAO4yM6NHBP5v5EF3KlQ==" spinCount="100000" sheet="1" objects="1" scenarios="1"/>
  <pageMargins left="0.7" right="0.7" top="0.75" bottom="0.75" header="0.3" footer="0.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/>
  <dimension ref="B1:AH29"/>
  <sheetViews>
    <sheetView workbookViewId="0">
      <selection activeCell="Q19" sqref="Q19"/>
    </sheetView>
  </sheetViews>
  <sheetFormatPr baseColWidth="10" defaultColWidth="10.88671875" defaultRowHeight="14.4" x14ac:dyDescent="0.3"/>
  <cols>
    <col min="1" max="1" width="3" style="129" customWidth="1"/>
    <col min="2" max="2" width="20.44140625" style="129" bestFit="1" customWidth="1"/>
    <col min="3" max="3" width="15.88671875" style="129" bestFit="1" customWidth="1"/>
    <col min="4" max="4" width="9.33203125" style="129" customWidth="1"/>
    <col min="5" max="5" width="11.21875" style="129" bestFit="1" customWidth="1"/>
    <col min="6" max="6" width="2.88671875" style="129" customWidth="1"/>
    <col min="7" max="7" width="7.5546875" style="129" customWidth="1"/>
    <col min="8" max="8" width="12.21875" style="129" bestFit="1" customWidth="1"/>
    <col min="9" max="9" width="10.88671875" style="129"/>
    <col min="10" max="10" width="9.77734375" style="129" bestFit="1" customWidth="1"/>
    <col min="11" max="11" width="8.88671875" style="129" bestFit="1" customWidth="1"/>
    <col min="12" max="12" width="1.77734375" style="129" customWidth="1"/>
    <col min="13" max="13" width="10.88671875" style="129"/>
    <col min="14" max="14" width="12.21875" style="129" hidden="1" customWidth="1"/>
    <col min="15" max="15" width="10.88671875" style="129" hidden="1" customWidth="1"/>
    <col min="16" max="16" width="12.109375" style="129" bestFit="1" customWidth="1"/>
    <col min="17" max="17" width="12.21875" style="129" bestFit="1" customWidth="1"/>
    <col min="18" max="18" width="11.5546875" style="129" bestFit="1" customWidth="1"/>
    <col min="19" max="19" width="9.5546875" style="129" bestFit="1" customWidth="1"/>
    <col min="20" max="28" width="10.88671875" style="129" customWidth="1"/>
    <col min="29" max="29" width="10.88671875" style="129" hidden="1" customWidth="1"/>
    <col min="30" max="30" width="12.21875" style="129" hidden="1" customWidth="1"/>
    <col min="31" max="34" width="10.88671875" style="129" hidden="1" customWidth="1"/>
    <col min="35" max="16384" width="10.88671875" style="129"/>
  </cols>
  <sheetData>
    <row r="1" spans="2:34" ht="15" thickBot="1" x14ac:dyDescent="0.35">
      <c r="E1" s="274">
        <v>45672</v>
      </c>
      <c r="M1" s="141" t="s">
        <v>143</v>
      </c>
      <c r="N1" s="141" t="s">
        <v>144</v>
      </c>
      <c r="O1" s="141" t="s">
        <v>145</v>
      </c>
      <c r="P1" s="141" t="s">
        <v>146</v>
      </c>
      <c r="Q1" s="141" t="s">
        <v>147</v>
      </c>
      <c r="R1" s="141" t="s">
        <v>148</v>
      </c>
      <c r="S1" s="141" t="s">
        <v>149</v>
      </c>
      <c r="AC1" s="141" t="s">
        <v>141</v>
      </c>
      <c r="AD1" s="141"/>
      <c r="AE1" s="141"/>
      <c r="AF1" s="141"/>
      <c r="AG1" s="141"/>
      <c r="AH1" s="147"/>
    </row>
    <row r="2" spans="2:34" ht="15.6" thickTop="1" thickBot="1" x14ac:dyDescent="0.35">
      <c r="B2" s="291" t="s">
        <v>98</v>
      </c>
      <c r="C2" s="292"/>
      <c r="D2" s="293"/>
      <c r="E2" s="140">
        <v>44788</v>
      </c>
      <c r="G2" s="115" t="s">
        <v>98</v>
      </c>
      <c r="H2" s="116"/>
      <c r="I2" s="116"/>
      <c r="J2" s="117"/>
      <c r="M2" s="141" t="s">
        <v>141</v>
      </c>
      <c r="N2" s="141"/>
      <c r="O2" s="141"/>
      <c r="P2" s="141"/>
      <c r="Q2" s="141"/>
      <c r="R2" s="147"/>
      <c r="AC2" s="142">
        <v>100</v>
      </c>
      <c r="AD2" s="144">
        <v>1000000</v>
      </c>
      <c r="AE2" s="144">
        <v>100000</v>
      </c>
      <c r="AF2" s="144">
        <v>10000</v>
      </c>
      <c r="AG2" s="144">
        <v>1000</v>
      </c>
      <c r="AH2" s="144">
        <v>100</v>
      </c>
    </row>
    <row r="3" spans="2:34" ht="15.6" thickTop="1" thickBot="1" x14ac:dyDescent="0.35">
      <c r="B3" s="294"/>
      <c r="C3" s="295"/>
      <c r="D3" s="296"/>
      <c r="E3" s="140">
        <v>45702</v>
      </c>
      <c r="G3" s="114" t="s">
        <v>121</v>
      </c>
      <c r="H3" s="2"/>
      <c r="I3" s="2"/>
      <c r="J3" s="136">
        <v>130</v>
      </c>
      <c r="M3" s="142">
        <v>20</v>
      </c>
      <c r="N3" s="144">
        <v>200000</v>
      </c>
      <c r="O3" s="144">
        <v>20000</v>
      </c>
      <c r="P3" s="152"/>
      <c r="Q3" s="152"/>
      <c r="R3" s="152">
        <v>2</v>
      </c>
      <c r="S3" s="153">
        <f>SUM(P3*100+Q3*10+R3*1)</f>
        <v>2</v>
      </c>
      <c r="AC3" s="142">
        <v>50</v>
      </c>
      <c r="AD3" s="144">
        <v>500000</v>
      </c>
      <c r="AE3" s="144">
        <v>50000</v>
      </c>
      <c r="AF3" s="144">
        <v>5000</v>
      </c>
      <c r="AG3" s="144">
        <v>500</v>
      </c>
      <c r="AH3" s="144">
        <v>50</v>
      </c>
    </row>
    <row r="4" spans="2:34" ht="15.6" thickTop="1" thickBot="1" x14ac:dyDescent="0.35">
      <c r="B4" s="114" t="s">
        <v>97</v>
      </c>
      <c r="C4" s="2"/>
      <c r="D4" s="2"/>
      <c r="E4" s="209">
        <f>SUMIFS(APORTACIONESOCIOS[MONTO],APORTACIONESOCIOS[FECHA],"&gt;="&amp;$E$2,APORTACIONESOCIOS[FECHA],"&lt;="&amp;$E$3)</f>
        <v>3900</v>
      </c>
      <c r="G4" s="114" t="s">
        <v>109</v>
      </c>
      <c r="H4" s="2"/>
      <c r="I4" s="2"/>
      <c r="J4" s="124">
        <f>E8</f>
        <v>1550</v>
      </c>
      <c r="M4" s="142">
        <v>10</v>
      </c>
      <c r="N4" s="144">
        <v>100000</v>
      </c>
      <c r="O4" s="144">
        <v>10000</v>
      </c>
      <c r="P4" s="152"/>
      <c r="Q4" s="152">
        <v>1</v>
      </c>
      <c r="R4" s="152">
        <v>7</v>
      </c>
      <c r="S4" s="153">
        <f>SUM(P4*100+Q4*10+R4*1)</f>
        <v>17</v>
      </c>
      <c r="AC4" s="142">
        <v>20</v>
      </c>
      <c r="AD4" s="144">
        <v>200000</v>
      </c>
      <c r="AE4" s="144">
        <v>20000</v>
      </c>
      <c r="AF4" s="144">
        <v>2000</v>
      </c>
      <c r="AG4" s="144">
        <v>200</v>
      </c>
      <c r="AH4" s="144">
        <v>20</v>
      </c>
    </row>
    <row r="5" spans="2:34" ht="15.6" thickTop="1" thickBot="1" x14ac:dyDescent="0.35">
      <c r="B5" s="115" t="s">
        <v>188</v>
      </c>
      <c r="C5" s="116"/>
      <c r="D5" s="116"/>
      <c r="E5" s="217"/>
      <c r="G5" s="114" t="s">
        <v>110</v>
      </c>
      <c r="H5" s="2"/>
      <c r="I5" s="2"/>
      <c r="J5" s="124">
        <f>SUMIFS(PAGOS[PAGO DEL MONTO],PAGOS[REG],"&lt;&gt;EGRESO*",PAGOS[FECHA PAGO DEL MONTO],"&gt;="&amp;$E$1,PAGOS[FECHA PAGO DEL MONTO],"&lt;="&amp;$E$3)</f>
        <v>1403.3400000000001</v>
      </c>
      <c r="M5" s="142">
        <v>5</v>
      </c>
      <c r="N5" s="144">
        <v>50000</v>
      </c>
      <c r="O5" s="144">
        <v>5000</v>
      </c>
      <c r="P5" s="152"/>
      <c r="Q5" s="152"/>
      <c r="R5" s="152"/>
      <c r="S5" s="153">
        <f>SUM(P5*100+Q5*10+R5*1)</f>
        <v>0</v>
      </c>
      <c r="AC5" s="142">
        <v>10</v>
      </c>
      <c r="AD5" s="144">
        <v>100000</v>
      </c>
      <c r="AE5" s="144">
        <v>10000</v>
      </c>
      <c r="AF5" s="144">
        <v>1000</v>
      </c>
      <c r="AG5" s="144">
        <v>100</v>
      </c>
      <c r="AH5" s="144">
        <v>10</v>
      </c>
    </row>
    <row r="6" spans="2:34" ht="15" thickTop="1" x14ac:dyDescent="0.3">
      <c r="B6" s="215" t="s">
        <v>255</v>
      </c>
      <c r="C6" s="2"/>
      <c r="D6" s="2"/>
      <c r="E6" s="208">
        <f>SUMIFS(PRESTAMOS[MONTO AMORTIZACION],PRESTAMOS[REG],"&lt;&gt;AYUDA*",PRESTAMOS[FECHA DEL PRESTAMO],"&gt;="&amp;$E$2,PRESTAMOS[FECHA DEL PRESTAMO],"&lt;="&amp;$E$3)</f>
        <v>20490</v>
      </c>
      <c r="G6" s="114" t="s">
        <v>111</v>
      </c>
      <c r="H6" s="2"/>
      <c r="I6" s="2"/>
      <c r="J6" s="124">
        <f>E10</f>
        <v>202</v>
      </c>
      <c r="M6" s="142">
        <v>1</v>
      </c>
      <c r="N6" s="144">
        <v>10000</v>
      </c>
      <c r="O6" s="144">
        <v>1000</v>
      </c>
      <c r="P6" s="152"/>
      <c r="Q6" s="152"/>
      <c r="R6" s="152">
        <v>1</v>
      </c>
      <c r="S6" s="153">
        <f>SUM(P6*100+Q6*10+R6*1)</f>
        <v>1</v>
      </c>
      <c r="AC6" s="142">
        <v>5</v>
      </c>
      <c r="AD6" s="144">
        <v>50000</v>
      </c>
      <c r="AE6" s="144">
        <v>5000</v>
      </c>
      <c r="AF6" s="144">
        <v>500</v>
      </c>
      <c r="AG6" s="144">
        <v>50</v>
      </c>
      <c r="AH6" s="144">
        <v>5</v>
      </c>
    </row>
    <row r="7" spans="2:34" ht="15" thickBot="1" x14ac:dyDescent="0.35">
      <c r="B7" s="216" t="s">
        <v>256</v>
      </c>
      <c r="C7" s="2"/>
      <c r="D7" s="2"/>
      <c r="E7" s="123">
        <f>SUMIFS(PRESTAMOS[MONTO AMORTIZACION],PRESTAMOS[REG],"AYUDA*",PRESTAMOS[FECHA DEL PRESTAMO],"&gt;="&amp;$E$2,PRESTAMOS[FECHA DEL PRESTAMO],"&lt;="&amp;$E$3)</f>
        <v>460</v>
      </c>
      <c r="G7" s="114" t="s">
        <v>112</v>
      </c>
      <c r="H7" s="2"/>
      <c r="I7" s="2"/>
      <c r="J7" s="124">
        <f>E16</f>
        <v>145.6</v>
      </c>
      <c r="M7" s="143" t="s">
        <v>142</v>
      </c>
      <c r="N7" s="145"/>
      <c r="O7" s="145"/>
      <c r="P7" s="145"/>
      <c r="Q7" s="145"/>
      <c r="R7" s="148"/>
      <c r="AC7" s="142">
        <v>1</v>
      </c>
      <c r="AD7" s="144">
        <v>10000</v>
      </c>
      <c r="AE7" s="144">
        <v>1000</v>
      </c>
      <c r="AF7" s="144">
        <v>100</v>
      </c>
      <c r="AG7" s="144">
        <v>10</v>
      </c>
      <c r="AH7" s="144">
        <v>1</v>
      </c>
    </row>
    <row r="8" spans="2:34" ht="15.6" thickTop="1" thickBot="1" x14ac:dyDescent="0.35">
      <c r="B8" s="114" t="s">
        <v>109</v>
      </c>
      <c r="C8" s="2"/>
      <c r="D8" s="2"/>
      <c r="E8" s="124">
        <f>SUMIFS(PRESTAMOS[MONTO AMORTIZACION],PRESTAMOS[REG],"&lt;&gt;AYUDA*",PRESTAMOS[FECHA DEL PRESTAMO],"&gt;="&amp;$E$1,PRESTAMOS[FECHA DEL PRESTAMO],"&lt;="&amp;$E$3)</f>
        <v>1550</v>
      </c>
      <c r="G8" s="119" t="s">
        <v>124</v>
      </c>
      <c r="H8" s="120"/>
      <c r="I8" s="120"/>
      <c r="J8" s="226">
        <v>112.61</v>
      </c>
      <c r="K8" s="130"/>
      <c r="M8" s="142">
        <v>1</v>
      </c>
      <c r="N8" s="146">
        <v>10000</v>
      </c>
      <c r="O8" s="146">
        <v>1000</v>
      </c>
      <c r="P8" s="151"/>
      <c r="Q8" s="151">
        <v>2</v>
      </c>
      <c r="R8" s="151">
        <v>1</v>
      </c>
      <c r="S8" s="153">
        <f t="shared" ref="S8:S13" si="0">SUM(P8*100+Q8*10+R8*1)</f>
        <v>21</v>
      </c>
      <c r="AC8" s="143" t="s">
        <v>142</v>
      </c>
      <c r="AD8" s="145"/>
      <c r="AE8" s="145"/>
      <c r="AF8" s="145"/>
      <c r="AG8" s="145"/>
      <c r="AH8" s="148"/>
    </row>
    <row r="9" spans="2:34" ht="15" thickTop="1" x14ac:dyDescent="0.3">
      <c r="B9" s="216" t="s">
        <v>257</v>
      </c>
      <c r="C9" s="2"/>
      <c r="D9" s="2"/>
      <c r="E9" s="218">
        <f>SUMIFS(PRESTAMOS[T. INT],PRESTAMOS[REG],"&lt;&gt;AYUDA*",PRESTAMOS[FECHA DEL PRESTAMO],"&gt;="&amp;$E$2,PRESTAMOS[FECHA DEL PRESTAMO],"&lt;="&amp;$E$3)</f>
        <v>2284.6</v>
      </c>
      <c r="G9" s="131" t="s">
        <v>122</v>
      </c>
      <c r="H9" s="111"/>
      <c r="I9" s="111"/>
      <c r="J9" s="133">
        <f>J3+J5+J7+J8</f>
        <v>1791.55</v>
      </c>
      <c r="M9" s="142">
        <v>0.5</v>
      </c>
      <c r="N9" s="144">
        <v>5000</v>
      </c>
      <c r="O9" s="144">
        <v>500</v>
      </c>
      <c r="P9" s="152"/>
      <c r="Q9" s="152"/>
      <c r="R9" s="152">
        <v>3</v>
      </c>
      <c r="S9" s="153">
        <f t="shared" si="0"/>
        <v>3</v>
      </c>
      <c r="AC9" s="142">
        <v>1</v>
      </c>
      <c r="AD9" s="146">
        <v>10000</v>
      </c>
      <c r="AE9" s="146">
        <v>1000</v>
      </c>
      <c r="AF9" s="146">
        <v>100</v>
      </c>
      <c r="AG9" s="146">
        <v>10</v>
      </c>
      <c r="AH9" s="146">
        <v>1</v>
      </c>
    </row>
    <row r="10" spans="2:34" ht="15" thickBot="1" x14ac:dyDescent="0.35">
      <c r="B10" s="114" t="s">
        <v>111</v>
      </c>
      <c r="C10" s="2"/>
      <c r="D10" s="2"/>
      <c r="E10" s="124">
        <f>SUMIFS(PRESTAMOS[T. INT],PRESTAMOS[REG],"&lt;&gt;AYUDA*",PRESTAMOS[FECHA DEL PRESTAMO],"&gt;="&amp;$E$1,PRESTAMOS[FECHA DEL PRESTAMO],"&lt;="&amp;$E$3)</f>
        <v>202</v>
      </c>
      <c r="G10" s="132" t="s">
        <v>123</v>
      </c>
      <c r="H10" s="2"/>
      <c r="I10" s="2"/>
      <c r="J10" s="134">
        <f>J4</f>
        <v>1550</v>
      </c>
      <c r="M10" s="142">
        <v>0.25</v>
      </c>
      <c r="N10" s="144">
        <v>2000</v>
      </c>
      <c r="O10" s="144">
        <v>200</v>
      </c>
      <c r="P10" s="152"/>
      <c r="Q10" s="152">
        <v>1</v>
      </c>
      <c r="R10" s="152">
        <v>5</v>
      </c>
      <c r="S10" s="153">
        <f t="shared" si="0"/>
        <v>15</v>
      </c>
      <c r="AC10" s="142">
        <v>0.5</v>
      </c>
      <c r="AD10" s="144">
        <v>5000</v>
      </c>
      <c r="AE10" s="144">
        <v>500</v>
      </c>
      <c r="AF10" s="144">
        <v>50</v>
      </c>
      <c r="AG10" s="144">
        <v>5</v>
      </c>
      <c r="AH10" s="144">
        <v>0.5</v>
      </c>
    </row>
    <row r="11" spans="2:34" ht="15.6" thickTop="1" thickBot="1" x14ac:dyDescent="0.35">
      <c r="B11" s="219" t="s">
        <v>41</v>
      </c>
      <c r="C11" s="116"/>
      <c r="D11" s="116"/>
      <c r="E11" s="217"/>
      <c r="G11" s="112" t="s">
        <v>137</v>
      </c>
      <c r="H11" s="113"/>
      <c r="I11" s="113"/>
      <c r="J11" s="135">
        <f>J9-J10</f>
        <v>241.54999999999995</v>
      </c>
      <c r="K11" s="130"/>
      <c r="M11" s="142">
        <v>0.1</v>
      </c>
      <c r="N11" s="144">
        <v>1000</v>
      </c>
      <c r="O11" s="144">
        <v>100</v>
      </c>
      <c r="P11" s="152"/>
      <c r="Q11" s="152">
        <v>2</v>
      </c>
      <c r="R11" s="152">
        <v>5</v>
      </c>
      <c r="S11" s="153">
        <f t="shared" si="0"/>
        <v>25</v>
      </c>
      <c r="AC11" s="142">
        <v>0.25</v>
      </c>
      <c r="AD11" s="144">
        <v>2000</v>
      </c>
      <c r="AE11" s="144">
        <v>200</v>
      </c>
      <c r="AF11" s="144">
        <v>20</v>
      </c>
      <c r="AG11" s="144">
        <v>2</v>
      </c>
      <c r="AH11" s="144">
        <v>0.25</v>
      </c>
    </row>
    <row r="12" spans="2:34" ht="15" thickTop="1" x14ac:dyDescent="0.3">
      <c r="B12" s="114" t="s">
        <v>107</v>
      </c>
      <c r="C12" s="2"/>
      <c r="D12" s="2"/>
      <c r="E12" s="123">
        <f>SUMIFS(PAGOS[PAGO DEL MONTO],PAGOS[REG],"&lt;&gt;INGRESO*",PAGOS[REG],"&lt;&gt;EGRESO*",PAGOS[FECHA PAGO DEL MONTO],"&gt;="&amp;$E$2,PAGOS[FECHA PAGO DEL MONTO],"&lt;="&amp;$E$3)</f>
        <v>16028.230000000007</v>
      </c>
      <c r="K12" s="130"/>
      <c r="M12" s="142">
        <v>0.05</v>
      </c>
      <c r="N12" s="144">
        <v>500</v>
      </c>
      <c r="O12" s="144">
        <v>50</v>
      </c>
      <c r="P12" s="152"/>
      <c r="Q12" s="152">
        <v>4</v>
      </c>
      <c r="R12" s="152">
        <v>1</v>
      </c>
      <c r="S12" s="153">
        <f t="shared" si="0"/>
        <v>41</v>
      </c>
      <c r="AC12" s="142">
        <v>0.1</v>
      </c>
      <c r="AD12" s="144">
        <v>1000</v>
      </c>
      <c r="AE12" s="144">
        <v>100</v>
      </c>
      <c r="AF12" s="144">
        <v>10</v>
      </c>
      <c r="AG12" s="144">
        <v>1</v>
      </c>
      <c r="AH12" s="144">
        <v>0.1</v>
      </c>
    </row>
    <row r="13" spans="2:34" x14ac:dyDescent="0.3">
      <c r="B13" s="114" t="s">
        <v>110</v>
      </c>
      <c r="C13" s="2"/>
      <c r="D13" s="2"/>
      <c r="E13" s="124">
        <f>SUMIFS(PAGOS[PAGO DEL MONTO],PAGOS[REG],"&lt;&gt;INGRESO*",PAGOS[REG],"&lt;&gt;EGRESO*",PAGOS[FECHA PAGO DEL MONTO],"&gt;="&amp;$E$1,PAGOS[FECHA PAGO DEL MONTO],"&lt;="&amp;$E$3)</f>
        <v>1403.3400000000001</v>
      </c>
      <c r="G13" s="155" t="s">
        <v>150</v>
      </c>
      <c r="H13" s="156">
        <f>K14+K19</f>
        <v>241.55</v>
      </c>
      <c r="I13" s="157"/>
      <c r="J13" s="157"/>
      <c r="K13" s="154"/>
      <c r="M13" s="142">
        <v>0.01</v>
      </c>
      <c r="N13" s="144">
        <v>100</v>
      </c>
      <c r="O13" s="144">
        <v>10</v>
      </c>
      <c r="P13" s="152"/>
      <c r="Q13" s="152">
        <v>2</v>
      </c>
      <c r="R13" s="152">
        <v>5</v>
      </c>
      <c r="S13" s="153">
        <f t="shared" si="0"/>
        <v>25</v>
      </c>
      <c r="AC13" s="142">
        <v>0.05</v>
      </c>
      <c r="AD13" s="144">
        <v>500</v>
      </c>
      <c r="AE13" s="144">
        <v>50</v>
      </c>
      <c r="AF13" s="144">
        <v>5</v>
      </c>
      <c r="AG13" s="144">
        <v>0.5</v>
      </c>
      <c r="AH13" s="144">
        <v>0.05</v>
      </c>
    </row>
    <row r="14" spans="2:34" ht="15" thickBot="1" x14ac:dyDescent="0.35">
      <c r="B14" s="128" t="s">
        <v>101</v>
      </c>
      <c r="C14" s="127"/>
      <c r="D14" s="118"/>
      <c r="E14" s="126">
        <f>E6-E12</f>
        <v>4461.7699999999932</v>
      </c>
      <c r="G14" s="141" t="s">
        <v>141</v>
      </c>
      <c r="H14" s="141"/>
      <c r="I14" s="141"/>
      <c r="J14" s="147"/>
      <c r="K14" s="142">
        <f>SUM(K15:K18)</f>
        <v>211</v>
      </c>
      <c r="AC14" s="142">
        <v>0.01</v>
      </c>
      <c r="AD14" s="144">
        <v>100</v>
      </c>
      <c r="AE14" s="144">
        <v>10</v>
      </c>
      <c r="AF14" s="144">
        <v>1</v>
      </c>
      <c r="AG14" s="144">
        <v>0.1</v>
      </c>
      <c r="AH14" s="144">
        <v>0.01</v>
      </c>
    </row>
    <row r="15" spans="2:34" ht="15" thickTop="1" x14ac:dyDescent="0.3">
      <c r="B15" s="114" t="s">
        <v>108</v>
      </c>
      <c r="C15" s="2"/>
      <c r="D15" s="2"/>
      <c r="E15" s="123">
        <f>SUMIFS(PAGOS[PAGO DEL INTERES],PAGOS[REG],"&lt;&gt;EGRESO*",PAGOS[REG],"&lt;&gt;INGRESO*",PAGOS[FECHA PAGO INTERES],"&gt;="&amp;$E$2,PAGOS[FECHA PAGO INTERES],"&lt;="&amp;$E$3)</f>
        <v>1490.6</v>
      </c>
      <c r="G15" s="142">
        <v>20</v>
      </c>
      <c r="H15" s="144">
        <f t="shared" ref="H15:J18" si="1">AF4*P3</f>
        <v>0</v>
      </c>
      <c r="I15" s="144">
        <f t="shared" si="1"/>
        <v>0</v>
      </c>
      <c r="J15" s="144">
        <f t="shared" si="1"/>
        <v>40</v>
      </c>
      <c r="K15" s="150">
        <f>SUM(H15:J15)</f>
        <v>40</v>
      </c>
      <c r="M15" s="149"/>
      <c r="P15" s="149"/>
    </row>
    <row r="16" spans="2:34" x14ac:dyDescent="0.3">
      <c r="B16" s="114" t="s">
        <v>112</v>
      </c>
      <c r="C16" s="2"/>
      <c r="D16" s="2"/>
      <c r="E16" s="124">
        <f>SUMIFS(PAGOS[PAGO DEL INTERES],PAGOS[REG],"&lt;&gt;EGRESO*",PAGOS[REG],"&lt;&gt;INGRESO*",PAGOS[FECHA PAGO INTERES],"&gt;="&amp;$E$1,PAGOS[FECHA PAGO INTERES],"&lt;="&amp;$E$3)</f>
        <v>145.6</v>
      </c>
      <c r="G16" s="142">
        <v>10</v>
      </c>
      <c r="H16" s="144">
        <f t="shared" si="1"/>
        <v>0</v>
      </c>
      <c r="I16" s="144">
        <f t="shared" si="1"/>
        <v>100</v>
      </c>
      <c r="J16" s="144">
        <f t="shared" si="1"/>
        <v>70</v>
      </c>
      <c r="K16" s="150">
        <f>SUM(H16:J16)</f>
        <v>170</v>
      </c>
      <c r="M16" s="130"/>
      <c r="P16" s="149"/>
      <c r="Q16" s="149"/>
    </row>
    <row r="17" spans="2:17" ht="15" thickBot="1" x14ac:dyDescent="0.35">
      <c r="B17" s="128" t="s">
        <v>104</v>
      </c>
      <c r="C17" s="118"/>
      <c r="D17" s="118"/>
      <c r="E17" s="126">
        <f>E9-E15</f>
        <v>794</v>
      </c>
      <c r="G17" s="142">
        <v>5</v>
      </c>
      <c r="H17" s="144">
        <f t="shared" si="1"/>
        <v>0</v>
      </c>
      <c r="I17" s="144">
        <f t="shared" si="1"/>
        <v>0</v>
      </c>
      <c r="J17" s="144">
        <f t="shared" si="1"/>
        <v>0</v>
      </c>
      <c r="K17" s="150">
        <f>SUM(H17:J17)</f>
        <v>0</v>
      </c>
      <c r="M17" s="130"/>
      <c r="P17" s="130"/>
      <c r="Q17" s="130"/>
    </row>
    <row r="18" spans="2:17" ht="15.6" thickTop="1" thickBot="1" x14ac:dyDescent="0.35">
      <c r="B18" s="115" t="s">
        <v>258</v>
      </c>
      <c r="C18" s="220"/>
      <c r="D18" s="116"/>
      <c r="E18" s="224"/>
      <c r="G18" s="142">
        <v>1</v>
      </c>
      <c r="H18" s="144">
        <f t="shared" si="1"/>
        <v>0</v>
      </c>
      <c r="I18" s="144">
        <f t="shared" si="1"/>
        <v>0</v>
      </c>
      <c r="J18" s="144">
        <f t="shared" si="1"/>
        <v>1</v>
      </c>
      <c r="K18" s="150">
        <f>SUM(H18:J18)</f>
        <v>1</v>
      </c>
      <c r="M18" s="130"/>
      <c r="Q18" s="130"/>
    </row>
    <row r="19" spans="2:17" ht="15" thickTop="1" x14ac:dyDescent="0.3">
      <c r="B19" s="114" t="s">
        <v>350</v>
      </c>
      <c r="C19" s="210"/>
      <c r="D19" s="2"/>
      <c r="E19" s="125">
        <f>SUMIFS(PAGOS[PAGO DEL INTERES],PAGOS[REG],"INGRESO*",PAGOS[FECHA PAGO DEL MONTO],"&gt;="&amp;$E$2,PAGOS[FECHA PAGO DEL MONTO],"&lt;="&amp;$E$3)+SUMIFS(PAGOS[PAGO DEL MONTO],PAGOS[REG],"INGRESO*",PAGOS[FECHA PAGO DEL MONTO],"&gt;="&amp;$E$2,PAGOS[FECHA PAGO DEL MONTO],"&lt;="&amp;$E$3)</f>
        <v>183.69999999999996</v>
      </c>
      <c r="G19" s="143" t="s">
        <v>142</v>
      </c>
      <c r="H19" s="145"/>
      <c r="I19" s="145"/>
      <c r="J19" s="148"/>
      <c r="K19" s="142">
        <f>SUM(K20:K25)</f>
        <v>30.55</v>
      </c>
      <c r="M19" s="130"/>
      <c r="P19" s="149"/>
      <c r="Q19" s="130"/>
    </row>
    <row r="20" spans="2:17" x14ac:dyDescent="0.3">
      <c r="B20" s="114" t="s">
        <v>282</v>
      </c>
      <c r="C20" s="221"/>
      <c r="D20" s="222"/>
      <c r="E20" s="123">
        <f>SUMIFS(PAGOS[PAGO DEL INTERES],PAGOS[REG],"EGRESO*",PAGOS[CODIGO CLIENTE],"=15",PAGOS[FECHA PAGO DEL MONTO],"&gt;="&amp;$E$2,PAGOS[FECHA PAGO DEL MONTO],"&lt;="&amp;$E$3)</f>
        <v>450</v>
      </c>
      <c r="G20" s="142">
        <v>1</v>
      </c>
      <c r="H20" s="146">
        <f t="shared" ref="H20:J25" si="2">AF9*P8</f>
        <v>0</v>
      </c>
      <c r="I20" s="146">
        <f t="shared" si="2"/>
        <v>20</v>
      </c>
      <c r="J20" s="146">
        <f t="shared" si="2"/>
        <v>1</v>
      </c>
      <c r="K20" s="150">
        <f t="shared" ref="K20:K25" si="3">SUM(H20:J20)</f>
        <v>21</v>
      </c>
      <c r="M20" s="130"/>
    </row>
    <row r="21" spans="2:17" x14ac:dyDescent="0.3">
      <c r="B21" s="114" t="s">
        <v>281</v>
      </c>
      <c r="C21" s="221"/>
      <c r="D21" s="222"/>
      <c r="E21" s="123">
        <f>SUMIFS(PAGOS[PAGO DEL INTERES],PAGOS[REG],"EGRESO*",PAGOS[CODIGO CLIENTE],"&lt;&gt;15",PAGOS[FECHA PAGO DEL MONTO],"&gt;="&amp;$E$2,PAGOS[FECHA PAGO DEL MONTO],"&lt;="&amp;$E$3)</f>
        <v>88</v>
      </c>
      <c r="G21" s="142">
        <v>0.5</v>
      </c>
      <c r="H21" s="146">
        <f t="shared" si="2"/>
        <v>0</v>
      </c>
      <c r="I21" s="146">
        <f t="shared" si="2"/>
        <v>0</v>
      </c>
      <c r="J21" s="146">
        <f t="shared" si="2"/>
        <v>1.5</v>
      </c>
      <c r="K21" s="150">
        <f t="shared" si="3"/>
        <v>1.5</v>
      </c>
      <c r="M21" s="130"/>
      <c r="P21" s="130"/>
    </row>
    <row r="22" spans="2:17" x14ac:dyDescent="0.3">
      <c r="B22" s="114" t="s">
        <v>99</v>
      </c>
      <c r="C22" s="2"/>
      <c r="D22" s="2"/>
      <c r="E22" s="122">
        <f>E4-E7</f>
        <v>3440</v>
      </c>
      <c r="G22" s="142">
        <v>0.25</v>
      </c>
      <c r="H22" s="146">
        <f t="shared" si="2"/>
        <v>0</v>
      </c>
      <c r="I22" s="146">
        <f t="shared" si="2"/>
        <v>2</v>
      </c>
      <c r="J22" s="146">
        <f t="shared" si="2"/>
        <v>1.25</v>
      </c>
      <c r="K22" s="150">
        <f t="shared" si="3"/>
        <v>3.25</v>
      </c>
      <c r="M22" s="130"/>
    </row>
    <row r="23" spans="2:17" x14ac:dyDescent="0.3">
      <c r="B23" s="114" t="s">
        <v>106</v>
      </c>
      <c r="C23" s="2"/>
      <c r="D23" s="2"/>
      <c r="E23" s="121">
        <f>E22/13</f>
        <v>264.61538461538464</v>
      </c>
      <c r="G23" s="142">
        <v>0.1</v>
      </c>
      <c r="H23" s="146">
        <f t="shared" si="2"/>
        <v>0</v>
      </c>
      <c r="I23" s="146">
        <f t="shared" si="2"/>
        <v>2</v>
      </c>
      <c r="J23" s="146">
        <f t="shared" si="2"/>
        <v>0.5</v>
      </c>
      <c r="K23" s="150">
        <f t="shared" si="3"/>
        <v>2.5</v>
      </c>
    </row>
    <row r="24" spans="2:17" x14ac:dyDescent="0.3">
      <c r="B24" s="114" t="s">
        <v>268</v>
      </c>
      <c r="C24" s="2"/>
      <c r="D24" s="2"/>
      <c r="E24" s="122">
        <f>E9-E20-E21+E19</f>
        <v>1930.3</v>
      </c>
      <c r="G24" s="142">
        <v>0.05</v>
      </c>
      <c r="H24" s="146">
        <f t="shared" si="2"/>
        <v>0</v>
      </c>
      <c r="I24" s="146">
        <f t="shared" si="2"/>
        <v>2</v>
      </c>
      <c r="J24" s="146">
        <f t="shared" si="2"/>
        <v>0.05</v>
      </c>
      <c r="K24" s="150">
        <f t="shared" si="3"/>
        <v>2.0499999999999998</v>
      </c>
    </row>
    <row r="25" spans="2:17" ht="15" thickBot="1" x14ac:dyDescent="0.35">
      <c r="B25" s="114" t="s">
        <v>102</v>
      </c>
      <c r="C25" s="2"/>
      <c r="D25" s="223"/>
      <c r="E25" s="231">
        <f>H13</f>
        <v>241.55</v>
      </c>
      <c r="G25" s="142">
        <v>0.01</v>
      </c>
      <c r="H25" s="146">
        <f t="shared" si="2"/>
        <v>0</v>
      </c>
      <c r="I25" s="146">
        <f t="shared" si="2"/>
        <v>0.2</v>
      </c>
      <c r="J25" s="146">
        <f t="shared" si="2"/>
        <v>0.05</v>
      </c>
      <c r="K25" s="150">
        <f t="shared" si="3"/>
        <v>0.25</v>
      </c>
    </row>
    <row r="26" spans="2:17" ht="15.6" thickTop="1" thickBot="1" x14ac:dyDescent="0.35">
      <c r="B26" s="119" t="s">
        <v>100</v>
      </c>
      <c r="C26" s="120"/>
      <c r="D26" s="225"/>
      <c r="E26" s="227">
        <f>E14+E17+E25</f>
        <v>5497.3199999999933</v>
      </c>
      <c r="G26" s="130"/>
    </row>
    <row r="27" spans="2:17" ht="15.6" thickTop="1" thickBot="1" x14ac:dyDescent="0.35">
      <c r="B27" s="119" t="s">
        <v>105</v>
      </c>
      <c r="C27" s="120"/>
      <c r="D27" s="225"/>
      <c r="E27" s="253">
        <f>E22+E24</f>
        <v>5370.3</v>
      </c>
      <c r="G27" s="270"/>
      <c r="H27" s="130"/>
    </row>
    <row r="28" spans="2:17" ht="15" thickTop="1" x14ac:dyDescent="0.3">
      <c r="E28" s="130"/>
      <c r="G28" s="130"/>
      <c r="H28" s="270"/>
    </row>
    <row r="29" spans="2:17" x14ac:dyDescent="0.3">
      <c r="E29" s="130"/>
    </row>
  </sheetData>
  <sheetProtection selectLockedCells="1"/>
  <mergeCells count="1">
    <mergeCell ref="B2:D3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pageSetUpPr fitToPage="1"/>
  </sheetPr>
  <dimension ref="B2:Q275"/>
  <sheetViews>
    <sheetView tabSelected="1" topLeftCell="A223" zoomScaleNormal="100" workbookViewId="0">
      <selection activeCell="J274" sqref="J274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21875" customWidth="1"/>
    <col min="6" max="6" width="3.109375" customWidth="1"/>
    <col min="7" max="7" width="4.88671875" customWidth="1"/>
    <col min="8" max="8" width="31.21875" customWidth="1"/>
    <col min="9" max="9" width="2.77734375" customWidth="1"/>
    <col min="10" max="10" width="10.77734375" bestFit="1" customWidth="1"/>
    <col min="11" max="11" width="3.33203125" customWidth="1"/>
    <col min="12" max="12" width="5.21875" customWidth="1"/>
    <col min="13" max="13" width="31" customWidth="1"/>
    <col min="14" max="14" width="2.5546875" customWidth="1"/>
  </cols>
  <sheetData>
    <row r="2" spans="2:15" x14ac:dyDescent="0.3">
      <c r="B2" s="297" t="s">
        <v>351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</row>
    <row r="3" spans="2:15" x14ac:dyDescent="0.3">
      <c r="B3" s="297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</row>
    <row r="4" spans="2:15" x14ac:dyDescent="0.3">
      <c r="B4" s="297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297"/>
      <c r="N4" s="297"/>
      <c r="O4" s="297"/>
    </row>
    <row r="5" spans="2:15" ht="15" thickBot="1" x14ac:dyDescent="0.35"/>
    <row r="6" spans="2:15" ht="15.6" thickTop="1" thickBot="1" x14ac:dyDescent="0.35">
      <c r="B6" s="291" t="s">
        <v>98</v>
      </c>
      <c r="C6" s="292"/>
      <c r="D6" s="293"/>
      <c r="E6" s="140">
        <v>44788</v>
      </c>
      <c r="G6" s="291" t="s">
        <v>98</v>
      </c>
      <c r="H6" s="292"/>
      <c r="I6" s="293"/>
      <c r="J6" s="140">
        <v>44788</v>
      </c>
      <c r="L6" s="291" t="s">
        <v>98</v>
      </c>
      <c r="M6" s="292"/>
      <c r="N6" s="293"/>
      <c r="O6" s="140">
        <v>44788</v>
      </c>
    </row>
    <row r="7" spans="2:15" ht="15.6" thickTop="1" thickBot="1" x14ac:dyDescent="0.35">
      <c r="B7" s="294"/>
      <c r="C7" s="295"/>
      <c r="D7" s="296"/>
      <c r="E7" s="140">
        <v>44788</v>
      </c>
      <c r="G7" s="294"/>
      <c r="H7" s="295"/>
      <c r="I7" s="296"/>
      <c r="J7" s="140">
        <v>44819</v>
      </c>
      <c r="L7" s="294"/>
      <c r="M7" s="295"/>
      <c r="N7" s="296"/>
      <c r="O7" s="140">
        <v>44849</v>
      </c>
    </row>
    <row r="8" spans="2:15" ht="15.6" thickTop="1" thickBot="1" x14ac:dyDescent="0.35">
      <c r="B8" s="114" t="s">
        <v>97</v>
      </c>
      <c r="C8" s="2"/>
      <c r="D8" s="2"/>
      <c r="E8" s="209">
        <v>130</v>
      </c>
      <c r="G8" s="114" t="s">
        <v>97</v>
      </c>
      <c r="H8" s="2"/>
      <c r="I8" s="2"/>
      <c r="J8" s="209">
        <v>260</v>
      </c>
      <c r="L8" s="114" t="s">
        <v>97</v>
      </c>
      <c r="M8" s="2"/>
      <c r="N8" s="2"/>
      <c r="O8" s="209">
        <v>390</v>
      </c>
    </row>
    <row r="9" spans="2:15" ht="15.6" thickTop="1" thickBot="1" x14ac:dyDescent="0.35">
      <c r="B9" s="115" t="s">
        <v>188</v>
      </c>
      <c r="C9" s="116"/>
      <c r="D9" s="116"/>
      <c r="E9" s="217"/>
      <c r="G9" s="115" t="s">
        <v>188</v>
      </c>
      <c r="H9" s="116"/>
      <c r="I9" s="116"/>
      <c r="J9" s="217"/>
      <c r="L9" s="115" t="s">
        <v>188</v>
      </c>
      <c r="M9" s="116"/>
      <c r="N9" s="116"/>
      <c r="O9" s="217"/>
    </row>
    <row r="10" spans="2:15" ht="15" thickTop="1" x14ac:dyDescent="0.3">
      <c r="B10" s="215" t="s">
        <v>255</v>
      </c>
      <c r="C10" s="2"/>
      <c r="D10" s="2"/>
      <c r="E10" s="208">
        <v>0</v>
      </c>
      <c r="G10" s="215" t="s">
        <v>255</v>
      </c>
      <c r="H10" s="2"/>
      <c r="I10" s="2"/>
      <c r="J10" s="208">
        <v>160</v>
      </c>
      <c r="L10" s="215" t="s">
        <v>255</v>
      </c>
      <c r="M10" s="2"/>
      <c r="N10" s="2"/>
      <c r="O10" s="208">
        <v>360</v>
      </c>
    </row>
    <row r="11" spans="2:15" x14ac:dyDescent="0.3">
      <c r="B11" s="216" t="s">
        <v>256</v>
      </c>
      <c r="C11" s="2"/>
      <c r="D11" s="2"/>
      <c r="E11" s="123">
        <v>0</v>
      </c>
      <c r="G11" s="216" t="s">
        <v>256</v>
      </c>
      <c r="H11" s="2"/>
      <c r="I11" s="2"/>
      <c r="J11" s="123">
        <v>100</v>
      </c>
      <c r="L11" s="216" t="s">
        <v>256</v>
      </c>
      <c r="M11" s="2"/>
      <c r="N11" s="2"/>
      <c r="O11" s="123">
        <v>100</v>
      </c>
    </row>
    <row r="12" spans="2:15" x14ac:dyDescent="0.3">
      <c r="B12" s="114" t="s">
        <v>109</v>
      </c>
      <c r="C12" s="2"/>
      <c r="D12" s="2"/>
      <c r="E12" s="124">
        <v>0</v>
      </c>
      <c r="G12" s="114" t="s">
        <v>109</v>
      </c>
      <c r="H12" s="2"/>
      <c r="I12" s="2"/>
      <c r="J12" s="124">
        <v>160</v>
      </c>
      <c r="L12" s="114" t="s">
        <v>109</v>
      </c>
      <c r="M12" s="2"/>
      <c r="N12" s="2"/>
      <c r="O12" s="124">
        <v>200</v>
      </c>
    </row>
    <row r="13" spans="2:15" x14ac:dyDescent="0.3">
      <c r="B13" s="216" t="s">
        <v>257</v>
      </c>
      <c r="C13" s="2"/>
      <c r="D13" s="2"/>
      <c r="E13" s="218">
        <v>0</v>
      </c>
      <c r="G13" s="216" t="s">
        <v>257</v>
      </c>
      <c r="H13" s="2"/>
      <c r="I13" s="2"/>
      <c r="J13" s="218">
        <v>6.4</v>
      </c>
      <c r="L13" s="216" t="s">
        <v>257</v>
      </c>
      <c r="M13" s="2"/>
      <c r="N13" s="2"/>
      <c r="O13" s="218">
        <v>10.4</v>
      </c>
    </row>
    <row r="14" spans="2:15" ht="15" thickBot="1" x14ac:dyDescent="0.35">
      <c r="B14" s="114" t="s">
        <v>111</v>
      </c>
      <c r="C14" s="2"/>
      <c r="D14" s="2"/>
      <c r="E14" s="124">
        <v>0</v>
      </c>
      <c r="G14" s="114" t="s">
        <v>111</v>
      </c>
      <c r="H14" s="2"/>
      <c r="I14" s="2"/>
      <c r="J14" s="124">
        <v>6.4</v>
      </c>
      <c r="L14" s="114" t="s">
        <v>111</v>
      </c>
      <c r="M14" s="2"/>
      <c r="N14" s="2"/>
      <c r="O14" s="124">
        <v>4</v>
      </c>
    </row>
    <row r="15" spans="2:15" ht="15.6" thickTop="1" thickBot="1" x14ac:dyDescent="0.35">
      <c r="B15" s="219" t="s">
        <v>41</v>
      </c>
      <c r="C15" s="116"/>
      <c r="D15" s="116"/>
      <c r="E15" s="217"/>
      <c r="G15" s="219" t="s">
        <v>41</v>
      </c>
      <c r="H15" s="116"/>
      <c r="I15" s="116"/>
      <c r="J15" s="217"/>
      <c r="L15" s="219" t="s">
        <v>41</v>
      </c>
      <c r="M15" s="116"/>
      <c r="N15" s="116"/>
      <c r="O15" s="217"/>
    </row>
    <row r="16" spans="2:15" ht="15" thickTop="1" x14ac:dyDescent="0.3">
      <c r="B16" s="114" t="s">
        <v>107</v>
      </c>
      <c r="C16" s="2"/>
      <c r="D16" s="2"/>
      <c r="E16" s="123">
        <v>0</v>
      </c>
      <c r="G16" s="114" t="s">
        <v>107</v>
      </c>
      <c r="H16" s="2"/>
      <c r="I16" s="2"/>
      <c r="J16" s="123">
        <v>0</v>
      </c>
      <c r="L16" s="114" t="s">
        <v>107</v>
      </c>
      <c r="M16" s="2"/>
      <c r="N16" s="2"/>
      <c r="O16" s="123">
        <v>160</v>
      </c>
    </row>
    <row r="17" spans="2:15" x14ac:dyDescent="0.3">
      <c r="B17" s="114" t="s">
        <v>110</v>
      </c>
      <c r="C17" s="2"/>
      <c r="D17" s="2"/>
      <c r="E17" s="124">
        <v>0</v>
      </c>
      <c r="G17" s="114" t="s">
        <v>110</v>
      </c>
      <c r="H17" s="2"/>
      <c r="I17" s="2"/>
      <c r="J17" s="124">
        <v>0</v>
      </c>
      <c r="L17" s="114" t="s">
        <v>110</v>
      </c>
      <c r="M17" s="2"/>
      <c r="N17" s="2"/>
      <c r="O17" s="124">
        <v>160</v>
      </c>
    </row>
    <row r="18" spans="2:15" ht="15" thickBot="1" x14ac:dyDescent="0.35">
      <c r="B18" s="128" t="s">
        <v>101</v>
      </c>
      <c r="C18" s="127"/>
      <c r="D18" s="118"/>
      <c r="E18" s="126">
        <v>0</v>
      </c>
      <c r="G18" s="128" t="s">
        <v>101</v>
      </c>
      <c r="H18" s="127"/>
      <c r="I18" s="118"/>
      <c r="J18" s="126">
        <v>160</v>
      </c>
      <c r="L18" s="128" t="s">
        <v>101</v>
      </c>
      <c r="M18" s="127"/>
      <c r="N18" s="118"/>
      <c r="O18" s="126">
        <v>200</v>
      </c>
    </row>
    <row r="19" spans="2:15" ht="15" thickTop="1" x14ac:dyDescent="0.3">
      <c r="B19" s="114" t="s">
        <v>108</v>
      </c>
      <c r="C19" s="2"/>
      <c r="D19" s="2"/>
      <c r="E19" s="123">
        <v>0</v>
      </c>
      <c r="G19" s="114" t="s">
        <v>108</v>
      </c>
      <c r="H19" s="2"/>
      <c r="I19" s="2"/>
      <c r="J19" s="123">
        <v>0</v>
      </c>
      <c r="L19" s="114" t="s">
        <v>108</v>
      </c>
      <c r="M19" s="2"/>
      <c r="N19" s="2"/>
      <c r="O19" s="123">
        <v>6.4</v>
      </c>
    </row>
    <row r="20" spans="2:15" x14ac:dyDescent="0.3">
      <c r="B20" s="114" t="s">
        <v>112</v>
      </c>
      <c r="C20" s="2"/>
      <c r="D20" s="2"/>
      <c r="E20" s="124">
        <v>0</v>
      </c>
      <c r="G20" s="114" t="s">
        <v>112</v>
      </c>
      <c r="H20" s="2"/>
      <c r="I20" s="2"/>
      <c r="J20" s="124">
        <v>0</v>
      </c>
      <c r="L20" s="114" t="s">
        <v>112</v>
      </c>
      <c r="M20" s="2"/>
      <c r="N20" s="2"/>
      <c r="O20" s="124">
        <v>6.4</v>
      </c>
    </row>
    <row r="21" spans="2:15" ht="15" thickBot="1" x14ac:dyDescent="0.35">
      <c r="B21" s="128" t="s">
        <v>104</v>
      </c>
      <c r="C21" s="118"/>
      <c r="D21" s="118"/>
      <c r="E21" s="126">
        <v>0</v>
      </c>
      <c r="G21" s="128" t="s">
        <v>104</v>
      </c>
      <c r="H21" s="118"/>
      <c r="I21" s="118"/>
      <c r="J21" s="126">
        <v>6.4</v>
      </c>
      <c r="L21" s="128" t="s">
        <v>104</v>
      </c>
      <c r="M21" s="118"/>
      <c r="N21" s="118"/>
      <c r="O21" s="126">
        <v>4</v>
      </c>
    </row>
    <row r="22" spans="2:15" ht="15.6" thickTop="1" thickBot="1" x14ac:dyDescent="0.35">
      <c r="B22" s="115" t="s">
        <v>258</v>
      </c>
      <c r="C22" s="220"/>
      <c r="D22" s="116"/>
      <c r="E22" s="224"/>
      <c r="G22" s="115" t="s">
        <v>258</v>
      </c>
      <c r="H22" s="220"/>
      <c r="I22" s="116"/>
      <c r="J22" s="224"/>
      <c r="L22" s="115" t="s">
        <v>258</v>
      </c>
      <c r="M22" s="220"/>
      <c r="N22" s="116"/>
      <c r="O22" s="224"/>
    </row>
    <row r="23" spans="2:15" ht="15" thickTop="1" x14ac:dyDescent="0.3">
      <c r="B23" s="114" t="s">
        <v>259</v>
      </c>
      <c r="C23" s="210"/>
      <c r="D23" s="2"/>
      <c r="E23" s="125">
        <v>0</v>
      </c>
      <c r="G23" s="114" t="s">
        <v>259</v>
      </c>
      <c r="H23" s="210"/>
      <c r="I23" s="2"/>
      <c r="J23" s="125">
        <v>0</v>
      </c>
      <c r="L23" s="114" t="s">
        <v>259</v>
      </c>
      <c r="M23" s="210"/>
      <c r="N23" s="2"/>
      <c r="O23" s="125">
        <v>0</v>
      </c>
    </row>
    <row r="24" spans="2:15" x14ac:dyDescent="0.3">
      <c r="B24" s="114" t="s">
        <v>282</v>
      </c>
      <c r="C24" s="221"/>
      <c r="D24" s="222"/>
      <c r="E24" s="123">
        <v>0</v>
      </c>
      <c r="G24" s="114" t="s">
        <v>282</v>
      </c>
      <c r="H24" s="221"/>
      <c r="I24" s="222"/>
      <c r="J24" s="123">
        <v>0</v>
      </c>
      <c r="L24" s="114" t="s">
        <v>282</v>
      </c>
      <c r="M24" s="221"/>
      <c r="N24" s="222"/>
      <c r="O24" s="123">
        <v>0</v>
      </c>
    </row>
    <row r="25" spans="2:15" x14ac:dyDescent="0.3">
      <c r="B25" s="114" t="s">
        <v>281</v>
      </c>
      <c r="C25" s="221"/>
      <c r="D25" s="222"/>
      <c r="E25" s="123">
        <v>0</v>
      </c>
      <c r="G25" s="114" t="s">
        <v>281</v>
      </c>
      <c r="H25" s="221"/>
      <c r="I25" s="222"/>
      <c r="J25" s="123">
        <v>0</v>
      </c>
      <c r="L25" s="114" t="s">
        <v>281</v>
      </c>
      <c r="M25" s="221"/>
      <c r="N25" s="222"/>
      <c r="O25" s="123">
        <v>0</v>
      </c>
    </row>
    <row r="26" spans="2:15" x14ac:dyDescent="0.3">
      <c r="B26" s="114" t="s">
        <v>99</v>
      </c>
      <c r="C26" s="2"/>
      <c r="D26" s="2"/>
      <c r="E26" s="122">
        <v>130</v>
      </c>
      <c r="G26" s="114" t="s">
        <v>99</v>
      </c>
      <c r="H26" s="2"/>
      <c r="I26" s="2"/>
      <c r="J26" s="122">
        <v>160</v>
      </c>
      <c r="L26" s="114" t="s">
        <v>99</v>
      </c>
      <c r="M26" s="2"/>
      <c r="N26" s="2"/>
      <c r="O26" s="122">
        <v>290</v>
      </c>
    </row>
    <row r="27" spans="2:15" x14ac:dyDescent="0.3">
      <c r="B27" s="114" t="s">
        <v>106</v>
      </c>
      <c r="C27" s="2"/>
      <c r="D27" s="2"/>
      <c r="E27" s="121">
        <v>10</v>
      </c>
      <c r="G27" s="114" t="s">
        <v>106</v>
      </c>
      <c r="H27" s="2"/>
      <c r="I27" s="2"/>
      <c r="J27" s="121">
        <v>12.307692307692308</v>
      </c>
      <c r="L27" s="114" t="s">
        <v>106</v>
      </c>
      <c r="M27" s="2"/>
      <c r="N27" s="2"/>
      <c r="O27" s="121">
        <v>22.307692307692307</v>
      </c>
    </row>
    <row r="28" spans="2:15" x14ac:dyDescent="0.3">
      <c r="B28" s="114" t="s">
        <v>268</v>
      </c>
      <c r="C28" s="2"/>
      <c r="D28" s="2"/>
      <c r="E28" s="122">
        <v>0</v>
      </c>
      <c r="G28" s="114" t="s">
        <v>268</v>
      </c>
      <c r="H28" s="2"/>
      <c r="I28" s="2"/>
      <c r="J28" s="122">
        <v>6.4</v>
      </c>
      <c r="L28" s="114" t="s">
        <v>268</v>
      </c>
      <c r="M28" s="2"/>
      <c r="N28" s="2"/>
      <c r="O28" s="122">
        <v>10.4</v>
      </c>
    </row>
    <row r="29" spans="2:15" ht="15" thickBot="1" x14ac:dyDescent="0.35">
      <c r="B29" s="114" t="s">
        <v>102</v>
      </c>
      <c r="C29" s="2"/>
      <c r="D29" s="223"/>
      <c r="E29" s="231">
        <v>0</v>
      </c>
      <c r="G29" s="114" t="s">
        <v>102</v>
      </c>
      <c r="H29" s="2"/>
      <c r="I29" s="223"/>
      <c r="J29" s="231">
        <v>0</v>
      </c>
      <c r="L29" s="114" t="s">
        <v>102</v>
      </c>
      <c r="M29" s="2"/>
      <c r="N29" s="223"/>
      <c r="O29" s="231">
        <v>0</v>
      </c>
    </row>
    <row r="30" spans="2:15" ht="15.6" thickTop="1" thickBot="1" x14ac:dyDescent="0.35">
      <c r="B30" s="119" t="s">
        <v>100</v>
      </c>
      <c r="C30" s="120"/>
      <c r="D30" s="225"/>
      <c r="E30" s="227">
        <v>130</v>
      </c>
      <c r="G30" s="119" t="s">
        <v>100</v>
      </c>
      <c r="H30" s="120"/>
      <c r="I30" s="225"/>
      <c r="J30" s="227">
        <v>166.4</v>
      </c>
      <c r="L30" s="119" t="s">
        <v>100</v>
      </c>
      <c r="M30" s="120"/>
      <c r="N30" s="225"/>
      <c r="O30" s="227">
        <v>300.39999999999998</v>
      </c>
    </row>
    <row r="31" spans="2:15" ht="15.6" thickTop="1" thickBot="1" x14ac:dyDescent="0.35">
      <c r="B31" s="119" t="s">
        <v>105</v>
      </c>
      <c r="C31" s="120"/>
      <c r="D31" s="225"/>
      <c r="E31" s="253">
        <v>0</v>
      </c>
      <c r="G31" s="119" t="s">
        <v>105</v>
      </c>
      <c r="H31" s="120"/>
      <c r="I31" s="225"/>
      <c r="J31" s="253">
        <v>166.4</v>
      </c>
      <c r="L31" s="119" t="s">
        <v>105</v>
      </c>
      <c r="M31" s="120"/>
      <c r="N31" s="225"/>
      <c r="O31" s="253">
        <v>204</v>
      </c>
    </row>
    <row r="32" spans="2:15" ht="15.6" thickTop="1" thickBot="1" x14ac:dyDescent="0.35"/>
    <row r="33" spans="2:15" ht="15.6" thickTop="1" thickBot="1" x14ac:dyDescent="0.35">
      <c r="B33" s="291" t="s">
        <v>98</v>
      </c>
      <c r="C33" s="292"/>
      <c r="D33" s="293"/>
      <c r="E33" s="140">
        <v>44788</v>
      </c>
      <c r="G33" s="291" t="s">
        <v>98</v>
      </c>
      <c r="H33" s="292"/>
      <c r="I33" s="293"/>
      <c r="J33" s="140">
        <v>44788</v>
      </c>
      <c r="L33" s="291" t="s">
        <v>98</v>
      </c>
      <c r="M33" s="292"/>
      <c r="N33" s="293"/>
      <c r="O33" s="140">
        <v>44788</v>
      </c>
    </row>
    <row r="34" spans="2:15" ht="15.6" thickTop="1" thickBot="1" x14ac:dyDescent="0.35">
      <c r="B34" s="294"/>
      <c r="C34" s="295"/>
      <c r="D34" s="296"/>
      <c r="E34" s="140">
        <v>44880</v>
      </c>
      <c r="G34" s="294"/>
      <c r="H34" s="295"/>
      <c r="I34" s="296"/>
      <c r="J34" s="140">
        <v>44910</v>
      </c>
      <c r="L34" s="294"/>
      <c r="M34" s="295"/>
      <c r="N34" s="296"/>
      <c r="O34" s="140">
        <v>44941</v>
      </c>
    </row>
    <row r="35" spans="2:15" ht="15.6" thickTop="1" thickBot="1" x14ac:dyDescent="0.35">
      <c r="B35" s="114" t="s">
        <v>97</v>
      </c>
      <c r="C35" s="2"/>
      <c r="D35" s="2"/>
      <c r="E35" s="209">
        <v>520</v>
      </c>
      <c r="G35" s="114" t="s">
        <v>97</v>
      </c>
      <c r="H35" s="2"/>
      <c r="I35" s="2"/>
      <c r="J35" s="209">
        <v>650</v>
      </c>
      <c r="L35" s="114" t="s">
        <v>97</v>
      </c>
      <c r="M35" s="2"/>
      <c r="N35" s="2"/>
      <c r="O35" s="209">
        <v>780</v>
      </c>
    </row>
    <row r="36" spans="2:15" ht="15.6" thickTop="1" thickBot="1" x14ac:dyDescent="0.35">
      <c r="B36" s="115" t="s">
        <v>188</v>
      </c>
      <c r="C36" s="116"/>
      <c r="D36" s="116"/>
      <c r="E36" s="217"/>
      <c r="G36" s="115" t="s">
        <v>188</v>
      </c>
      <c r="H36" s="116"/>
      <c r="I36" s="116"/>
      <c r="J36" s="217"/>
      <c r="L36" s="115" t="s">
        <v>188</v>
      </c>
      <c r="M36" s="116"/>
      <c r="N36" s="116"/>
      <c r="O36" s="217"/>
    </row>
    <row r="37" spans="2:15" ht="15" thickTop="1" x14ac:dyDescent="0.3">
      <c r="B37" s="215" t="s">
        <v>255</v>
      </c>
      <c r="C37" s="2"/>
      <c r="D37" s="2"/>
      <c r="E37" s="208">
        <v>760</v>
      </c>
      <c r="G37" s="215" t="s">
        <v>255</v>
      </c>
      <c r="H37" s="2"/>
      <c r="I37" s="2"/>
      <c r="J37" s="208">
        <v>1130</v>
      </c>
      <c r="L37" s="215" t="s">
        <v>255</v>
      </c>
      <c r="M37" s="2"/>
      <c r="N37" s="2"/>
      <c r="O37" s="208">
        <v>1480</v>
      </c>
    </row>
    <row r="38" spans="2:15" x14ac:dyDescent="0.3">
      <c r="B38" s="216" t="s">
        <v>256</v>
      </c>
      <c r="C38" s="2"/>
      <c r="D38" s="2"/>
      <c r="E38" s="123">
        <v>100</v>
      </c>
      <c r="G38" s="216" t="s">
        <v>256</v>
      </c>
      <c r="H38" s="2"/>
      <c r="I38" s="2"/>
      <c r="J38" s="123">
        <v>100</v>
      </c>
      <c r="L38" s="216" t="s">
        <v>256</v>
      </c>
      <c r="M38" s="2"/>
      <c r="N38" s="2"/>
      <c r="O38" s="123">
        <v>100</v>
      </c>
    </row>
    <row r="39" spans="2:15" x14ac:dyDescent="0.3">
      <c r="B39" s="114" t="s">
        <v>109</v>
      </c>
      <c r="C39" s="2"/>
      <c r="D39" s="2"/>
      <c r="E39" s="124">
        <v>400</v>
      </c>
      <c r="G39" s="114" t="s">
        <v>109</v>
      </c>
      <c r="H39" s="2"/>
      <c r="I39" s="2"/>
      <c r="J39" s="124">
        <v>370</v>
      </c>
      <c r="L39" s="114" t="s">
        <v>109</v>
      </c>
      <c r="M39" s="2"/>
      <c r="N39" s="2"/>
      <c r="O39" s="124">
        <v>720</v>
      </c>
    </row>
    <row r="40" spans="2:15" x14ac:dyDescent="0.3">
      <c r="B40" s="216" t="s">
        <v>257</v>
      </c>
      <c r="C40" s="2"/>
      <c r="D40" s="2"/>
      <c r="E40" s="218">
        <v>22.4</v>
      </c>
      <c r="G40" s="216" t="s">
        <v>257</v>
      </c>
      <c r="H40" s="2"/>
      <c r="I40" s="2"/>
      <c r="J40" s="218">
        <v>55.4</v>
      </c>
      <c r="L40" s="216" t="s">
        <v>257</v>
      </c>
      <c r="M40" s="2"/>
      <c r="N40" s="2"/>
      <c r="O40" s="218">
        <v>78.400000000000006</v>
      </c>
    </row>
    <row r="41" spans="2:15" ht="15" thickBot="1" x14ac:dyDescent="0.35">
      <c r="B41" s="114" t="s">
        <v>111</v>
      </c>
      <c r="C41" s="2"/>
      <c r="D41" s="2"/>
      <c r="E41" s="124">
        <v>12</v>
      </c>
      <c r="G41" s="114" t="s">
        <v>111</v>
      </c>
      <c r="H41" s="2"/>
      <c r="I41" s="2"/>
      <c r="J41" s="124">
        <v>33</v>
      </c>
      <c r="L41" s="114" t="s">
        <v>111</v>
      </c>
      <c r="M41" s="2"/>
      <c r="N41" s="2"/>
      <c r="O41" s="124">
        <v>56</v>
      </c>
    </row>
    <row r="42" spans="2:15" ht="15.6" thickTop="1" thickBot="1" x14ac:dyDescent="0.35">
      <c r="B42" s="219" t="s">
        <v>41</v>
      </c>
      <c r="C42" s="116"/>
      <c r="D42" s="116"/>
      <c r="E42" s="217"/>
      <c r="G42" s="219" t="s">
        <v>41</v>
      </c>
      <c r="H42" s="116"/>
      <c r="I42" s="116"/>
      <c r="J42" s="217"/>
      <c r="L42" s="219" t="s">
        <v>41</v>
      </c>
      <c r="M42" s="116"/>
      <c r="N42" s="116"/>
      <c r="O42" s="217"/>
    </row>
    <row r="43" spans="2:15" ht="15" thickTop="1" x14ac:dyDescent="0.3">
      <c r="B43" s="114" t="s">
        <v>107</v>
      </c>
      <c r="C43" s="2"/>
      <c r="D43" s="2"/>
      <c r="E43" s="123">
        <v>360</v>
      </c>
      <c r="G43" s="114" t="s">
        <v>107</v>
      </c>
      <c r="H43" s="2"/>
      <c r="I43" s="2"/>
      <c r="J43" s="123">
        <v>360</v>
      </c>
      <c r="L43" s="114" t="s">
        <v>107</v>
      </c>
      <c r="M43" s="2"/>
      <c r="N43" s="2"/>
      <c r="O43" s="123">
        <v>594</v>
      </c>
    </row>
    <row r="44" spans="2:15" x14ac:dyDescent="0.3">
      <c r="B44" s="114" t="s">
        <v>110</v>
      </c>
      <c r="C44" s="2"/>
      <c r="D44" s="2"/>
      <c r="E44" s="124">
        <v>200</v>
      </c>
      <c r="G44" s="114" t="s">
        <v>110</v>
      </c>
      <c r="H44" s="2"/>
      <c r="I44" s="2"/>
      <c r="J44" s="124">
        <v>0</v>
      </c>
      <c r="L44" s="114" t="s">
        <v>110</v>
      </c>
      <c r="M44" s="2"/>
      <c r="N44" s="2"/>
      <c r="O44" s="124">
        <v>234</v>
      </c>
    </row>
    <row r="45" spans="2:15" ht="15" thickBot="1" x14ac:dyDescent="0.35">
      <c r="B45" s="128" t="s">
        <v>101</v>
      </c>
      <c r="C45" s="127"/>
      <c r="D45" s="118"/>
      <c r="E45" s="126">
        <v>400</v>
      </c>
      <c r="G45" s="128" t="s">
        <v>101</v>
      </c>
      <c r="H45" s="127"/>
      <c r="I45" s="118"/>
      <c r="J45" s="126">
        <v>770</v>
      </c>
      <c r="L45" s="128" t="s">
        <v>101</v>
      </c>
      <c r="M45" s="127"/>
      <c r="N45" s="118"/>
      <c r="O45" s="126">
        <v>886</v>
      </c>
    </row>
    <row r="46" spans="2:15" ht="15" thickTop="1" x14ac:dyDescent="0.3">
      <c r="B46" s="114" t="s">
        <v>108</v>
      </c>
      <c r="C46" s="2"/>
      <c r="D46" s="2"/>
      <c r="E46" s="123">
        <v>10.4</v>
      </c>
      <c r="G46" s="114" t="s">
        <v>108</v>
      </c>
      <c r="H46" s="2"/>
      <c r="I46" s="2"/>
      <c r="J46" s="123">
        <v>10.4</v>
      </c>
      <c r="L46" s="114" t="s">
        <v>108</v>
      </c>
      <c r="M46" s="2"/>
      <c r="N46" s="2"/>
      <c r="O46" s="123">
        <v>13.8</v>
      </c>
    </row>
    <row r="47" spans="2:15" x14ac:dyDescent="0.3">
      <c r="B47" s="114" t="s">
        <v>112</v>
      </c>
      <c r="C47" s="2"/>
      <c r="D47" s="2"/>
      <c r="E47" s="124">
        <v>4</v>
      </c>
      <c r="G47" s="114" t="s">
        <v>112</v>
      </c>
      <c r="H47" s="2"/>
      <c r="I47" s="2"/>
      <c r="J47" s="124">
        <v>0</v>
      </c>
      <c r="L47" s="114" t="s">
        <v>112</v>
      </c>
      <c r="M47" s="2"/>
      <c r="N47" s="2"/>
      <c r="O47" s="124">
        <v>3.4</v>
      </c>
    </row>
    <row r="48" spans="2:15" ht="15" thickBot="1" x14ac:dyDescent="0.35">
      <c r="B48" s="128" t="s">
        <v>104</v>
      </c>
      <c r="C48" s="118"/>
      <c r="D48" s="118"/>
      <c r="E48" s="126">
        <v>11.999999999999998</v>
      </c>
      <c r="G48" s="128" t="s">
        <v>104</v>
      </c>
      <c r="H48" s="118"/>
      <c r="I48" s="118"/>
      <c r="J48" s="126">
        <v>45</v>
      </c>
      <c r="L48" s="128" t="s">
        <v>104</v>
      </c>
      <c r="M48" s="118"/>
      <c r="N48" s="118"/>
      <c r="O48" s="126">
        <v>64.600000000000009</v>
      </c>
    </row>
    <row r="49" spans="2:15" ht="15.6" thickTop="1" thickBot="1" x14ac:dyDescent="0.35">
      <c r="B49" s="115" t="s">
        <v>258</v>
      </c>
      <c r="C49" s="220"/>
      <c r="D49" s="116"/>
      <c r="E49" s="224"/>
      <c r="G49" s="115" t="s">
        <v>258</v>
      </c>
      <c r="H49" s="220"/>
      <c r="I49" s="116"/>
      <c r="J49" s="224"/>
      <c r="L49" s="115" t="s">
        <v>258</v>
      </c>
      <c r="M49" s="220"/>
      <c r="N49" s="116"/>
      <c r="O49" s="224"/>
    </row>
    <row r="50" spans="2:15" ht="15" thickTop="1" x14ac:dyDescent="0.3">
      <c r="B50" s="114" t="s">
        <v>259</v>
      </c>
      <c r="C50" s="210"/>
      <c r="D50" s="2"/>
      <c r="E50" s="125">
        <v>0</v>
      </c>
      <c r="G50" s="114" t="s">
        <v>259</v>
      </c>
      <c r="H50" s="210"/>
      <c r="I50" s="2"/>
      <c r="J50" s="125">
        <v>0</v>
      </c>
      <c r="L50" s="114" t="s">
        <v>259</v>
      </c>
      <c r="M50" s="210"/>
      <c r="N50" s="2"/>
      <c r="O50" s="125">
        <v>10</v>
      </c>
    </row>
    <row r="51" spans="2:15" x14ac:dyDescent="0.3">
      <c r="B51" s="114" t="s">
        <v>282</v>
      </c>
      <c r="C51" s="221"/>
      <c r="D51" s="222"/>
      <c r="E51" s="123">
        <v>0</v>
      </c>
      <c r="G51" s="114" t="s">
        <v>282</v>
      </c>
      <c r="H51" s="221"/>
      <c r="I51" s="222"/>
      <c r="J51" s="123">
        <v>0</v>
      </c>
      <c r="L51" s="114" t="s">
        <v>282</v>
      </c>
      <c r="M51" s="221"/>
      <c r="N51" s="222"/>
      <c r="O51" s="123">
        <v>0</v>
      </c>
    </row>
    <row r="52" spans="2:15" x14ac:dyDescent="0.3">
      <c r="B52" s="114" t="s">
        <v>281</v>
      </c>
      <c r="C52" s="221"/>
      <c r="D52" s="222"/>
      <c r="E52" s="123">
        <v>0</v>
      </c>
      <c r="G52" s="114" t="s">
        <v>281</v>
      </c>
      <c r="H52" s="221"/>
      <c r="I52" s="222"/>
      <c r="J52" s="123">
        <v>0</v>
      </c>
      <c r="L52" s="114" t="s">
        <v>281</v>
      </c>
      <c r="M52" s="221"/>
      <c r="N52" s="222"/>
      <c r="O52" s="123">
        <v>0</v>
      </c>
    </row>
    <row r="53" spans="2:15" x14ac:dyDescent="0.3">
      <c r="B53" s="114" t="s">
        <v>99</v>
      </c>
      <c r="C53" s="2"/>
      <c r="D53" s="2"/>
      <c r="E53" s="122">
        <v>420</v>
      </c>
      <c r="G53" s="114" t="s">
        <v>99</v>
      </c>
      <c r="H53" s="2"/>
      <c r="I53" s="2"/>
      <c r="J53" s="122">
        <v>550</v>
      </c>
      <c r="L53" s="114" t="s">
        <v>99</v>
      </c>
      <c r="M53" s="2"/>
      <c r="N53" s="2"/>
      <c r="O53" s="122">
        <v>680</v>
      </c>
    </row>
    <row r="54" spans="2:15" x14ac:dyDescent="0.3">
      <c r="B54" s="114" t="s">
        <v>106</v>
      </c>
      <c r="C54" s="2"/>
      <c r="D54" s="2"/>
      <c r="E54" s="121">
        <v>32.307692307692307</v>
      </c>
      <c r="G54" s="114" t="s">
        <v>106</v>
      </c>
      <c r="H54" s="2"/>
      <c r="I54" s="2"/>
      <c r="J54" s="121">
        <v>42.307692307692307</v>
      </c>
      <c r="L54" s="114" t="s">
        <v>106</v>
      </c>
      <c r="M54" s="2"/>
      <c r="N54" s="2"/>
      <c r="O54" s="121">
        <v>52.307692307692307</v>
      </c>
    </row>
    <row r="55" spans="2:15" x14ac:dyDescent="0.3">
      <c r="B55" s="114" t="s">
        <v>268</v>
      </c>
      <c r="C55" s="2"/>
      <c r="D55" s="2"/>
      <c r="E55" s="122">
        <v>22.4</v>
      </c>
      <c r="G55" s="114" t="s">
        <v>268</v>
      </c>
      <c r="H55" s="2"/>
      <c r="I55" s="2"/>
      <c r="J55" s="122">
        <v>55.4</v>
      </c>
      <c r="L55" s="114" t="s">
        <v>268</v>
      </c>
      <c r="M55" s="2"/>
      <c r="N55" s="2"/>
      <c r="O55" s="122">
        <v>88.4</v>
      </c>
    </row>
    <row r="56" spans="2:15" ht="15" thickBot="1" x14ac:dyDescent="0.35">
      <c r="B56" s="114" t="s">
        <v>102</v>
      </c>
      <c r="C56" s="2"/>
      <c r="D56" s="223"/>
      <c r="E56" s="231">
        <v>0</v>
      </c>
      <c r="G56" s="114" t="s">
        <v>102</v>
      </c>
      <c r="H56" s="2"/>
      <c r="I56" s="223"/>
      <c r="J56" s="231">
        <v>0</v>
      </c>
      <c r="L56" s="114" t="s">
        <v>102</v>
      </c>
      <c r="M56" s="2"/>
      <c r="N56" s="223"/>
      <c r="O56" s="231">
        <v>0</v>
      </c>
    </row>
    <row r="57" spans="2:15" ht="15.6" thickTop="1" thickBot="1" x14ac:dyDescent="0.35">
      <c r="B57" s="119" t="s">
        <v>100</v>
      </c>
      <c r="C57" s="120"/>
      <c r="D57" s="225"/>
      <c r="E57" s="227">
        <v>442.4</v>
      </c>
      <c r="G57" s="119" t="s">
        <v>100</v>
      </c>
      <c r="H57" s="120"/>
      <c r="I57" s="225"/>
      <c r="J57" s="227">
        <v>605.4</v>
      </c>
      <c r="L57" s="119" t="s">
        <v>100</v>
      </c>
      <c r="M57" s="120"/>
      <c r="N57" s="225"/>
      <c r="O57" s="227">
        <v>768.4</v>
      </c>
    </row>
    <row r="58" spans="2:15" ht="15.6" thickTop="1" thickBot="1" x14ac:dyDescent="0.35">
      <c r="B58" s="119" t="s">
        <v>105</v>
      </c>
      <c r="C58" s="120"/>
      <c r="D58" s="225"/>
      <c r="E58" s="253">
        <v>412</v>
      </c>
      <c r="G58" s="119" t="s">
        <v>105</v>
      </c>
      <c r="H58" s="120"/>
      <c r="I58" s="225"/>
      <c r="J58" s="253">
        <v>815</v>
      </c>
      <c r="L58" s="119" t="s">
        <v>105</v>
      </c>
      <c r="M58" s="120"/>
      <c r="N58" s="225"/>
      <c r="O58" s="253">
        <v>950.6</v>
      </c>
    </row>
    <row r="59" spans="2:15" ht="15.6" thickTop="1" thickBot="1" x14ac:dyDescent="0.35"/>
    <row r="60" spans="2:15" ht="15.6" thickTop="1" thickBot="1" x14ac:dyDescent="0.35">
      <c r="B60" s="291" t="s">
        <v>98</v>
      </c>
      <c r="C60" s="292"/>
      <c r="D60" s="293"/>
      <c r="E60" s="140">
        <v>44788</v>
      </c>
      <c r="G60" s="291" t="s">
        <v>98</v>
      </c>
      <c r="H60" s="292"/>
      <c r="I60" s="293"/>
      <c r="J60" s="140">
        <v>44788</v>
      </c>
      <c r="L60" s="291" t="s">
        <v>98</v>
      </c>
      <c r="M60" s="292"/>
      <c r="N60" s="293"/>
      <c r="O60" s="140">
        <v>44788</v>
      </c>
    </row>
    <row r="61" spans="2:15" ht="15.6" thickTop="1" thickBot="1" x14ac:dyDescent="0.35">
      <c r="B61" s="294"/>
      <c r="C61" s="295"/>
      <c r="D61" s="296"/>
      <c r="E61" s="140">
        <v>44972</v>
      </c>
      <c r="G61" s="294"/>
      <c r="H61" s="295"/>
      <c r="I61" s="296"/>
      <c r="J61" s="140">
        <v>45000</v>
      </c>
      <c r="L61" s="294"/>
      <c r="M61" s="295"/>
      <c r="N61" s="296"/>
      <c r="O61" s="140">
        <v>45031</v>
      </c>
    </row>
    <row r="62" spans="2:15" ht="15.6" thickTop="1" thickBot="1" x14ac:dyDescent="0.35">
      <c r="B62" s="114" t="s">
        <v>97</v>
      </c>
      <c r="C62" s="2"/>
      <c r="D62" s="2"/>
      <c r="E62" s="209">
        <v>910</v>
      </c>
      <c r="G62" s="114" t="s">
        <v>97</v>
      </c>
      <c r="H62" s="2"/>
      <c r="I62" s="2"/>
      <c r="J62" s="209">
        <v>1040</v>
      </c>
      <c r="L62" s="114" t="s">
        <v>97</v>
      </c>
      <c r="M62" s="2"/>
      <c r="N62" s="2"/>
      <c r="O62" s="209">
        <v>1170</v>
      </c>
    </row>
    <row r="63" spans="2:15" ht="15.6" thickTop="1" thickBot="1" x14ac:dyDescent="0.35">
      <c r="B63" s="115" t="s">
        <v>188</v>
      </c>
      <c r="C63" s="116"/>
      <c r="D63" s="116"/>
      <c r="E63" s="217"/>
      <c r="G63" s="115" t="s">
        <v>188</v>
      </c>
      <c r="H63" s="116"/>
      <c r="I63" s="116"/>
      <c r="J63" s="217"/>
      <c r="L63" s="115" t="s">
        <v>188</v>
      </c>
      <c r="M63" s="116"/>
      <c r="N63" s="116"/>
      <c r="O63" s="217"/>
    </row>
    <row r="64" spans="2:15" ht="15" thickTop="1" x14ac:dyDescent="0.3">
      <c r="B64" s="215" t="s">
        <v>255</v>
      </c>
      <c r="C64" s="2"/>
      <c r="D64" s="2"/>
      <c r="E64" s="208">
        <v>1880</v>
      </c>
      <c r="G64" s="215" t="s">
        <v>255</v>
      </c>
      <c r="H64" s="2"/>
      <c r="I64" s="2"/>
      <c r="J64" s="208">
        <v>2360</v>
      </c>
      <c r="L64" s="215" t="s">
        <v>255</v>
      </c>
      <c r="M64" s="2"/>
      <c r="N64" s="2"/>
      <c r="O64" s="208">
        <v>2660</v>
      </c>
    </row>
    <row r="65" spans="2:15" x14ac:dyDescent="0.3">
      <c r="B65" s="216" t="s">
        <v>256</v>
      </c>
      <c r="C65" s="2"/>
      <c r="D65" s="2"/>
      <c r="E65" s="123">
        <v>100</v>
      </c>
      <c r="G65" s="216" t="s">
        <v>256</v>
      </c>
      <c r="H65" s="2"/>
      <c r="I65" s="2"/>
      <c r="J65" s="123">
        <v>100</v>
      </c>
      <c r="L65" s="216" t="s">
        <v>256</v>
      </c>
      <c r="M65" s="2"/>
      <c r="N65" s="2"/>
      <c r="O65" s="123">
        <v>100</v>
      </c>
    </row>
    <row r="66" spans="2:15" x14ac:dyDescent="0.3">
      <c r="B66" s="114" t="s">
        <v>109</v>
      </c>
      <c r="C66" s="2"/>
      <c r="D66" s="2"/>
      <c r="E66" s="124">
        <v>400</v>
      </c>
      <c r="G66" s="114" t="s">
        <v>109</v>
      </c>
      <c r="H66" s="2"/>
      <c r="I66" s="2"/>
      <c r="J66" s="124">
        <v>480</v>
      </c>
      <c r="L66" s="114" t="s">
        <v>109</v>
      </c>
      <c r="M66" s="2"/>
      <c r="N66" s="2"/>
      <c r="O66" s="124">
        <v>300</v>
      </c>
    </row>
    <row r="67" spans="2:15" x14ac:dyDescent="0.3">
      <c r="B67" s="216" t="s">
        <v>257</v>
      </c>
      <c r="C67" s="2"/>
      <c r="D67" s="2"/>
      <c r="E67" s="218">
        <v>104.4</v>
      </c>
      <c r="G67" s="216" t="s">
        <v>257</v>
      </c>
      <c r="H67" s="2"/>
      <c r="I67" s="2"/>
      <c r="J67" s="218">
        <v>138</v>
      </c>
      <c r="L67" s="216" t="s">
        <v>257</v>
      </c>
      <c r="M67" s="2"/>
      <c r="N67" s="2"/>
      <c r="O67" s="218">
        <v>162</v>
      </c>
    </row>
    <row r="68" spans="2:15" ht="15" thickBot="1" x14ac:dyDescent="0.35">
      <c r="B68" s="114" t="s">
        <v>111</v>
      </c>
      <c r="C68" s="2"/>
      <c r="D68" s="2"/>
      <c r="E68" s="124">
        <v>26</v>
      </c>
      <c r="G68" s="114" t="s">
        <v>111</v>
      </c>
      <c r="H68" s="2"/>
      <c r="I68" s="2"/>
      <c r="J68" s="124">
        <v>33.6</v>
      </c>
      <c r="L68" s="114" t="s">
        <v>111</v>
      </c>
      <c r="M68" s="2"/>
      <c r="N68" s="2"/>
      <c r="O68" s="124">
        <v>24</v>
      </c>
    </row>
    <row r="69" spans="2:15" ht="15.6" thickTop="1" thickBot="1" x14ac:dyDescent="0.35">
      <c r="B69" s="219" t="s">
        <v>41</v>
      </c>
      <c r="C69" s="116"/>
      <c r="D69" s="116"/>
      <c r="E69" s="217"/>
      <c r="G69" s="219" t="s">
        <v>41</v>
      </c>
      <c r="H69" s="116"/>
      <c r="I69" s="116"/>
      <c r="J69" s="217"/>
      <c r="L69" s="219" t="s">
        <v>41</v>
      </c>
      <c r="M69" s="116"/>
      <c r="N69" s="116"/>
      <c r="O69" s="217"/>
    </row>
    <row r="70" spans="2:15" ht="15" thickTop="1" x14ac:dyDescent="0.3">
      <c r="B70" s="114" t="s">
        <v>107</v>
      </c>
      <c r="C70" s="2"/>
      <c r="D70" s="2"/>
      <c r="E70" s="123">
        <v>936.33</v>
      </c>
      <c r="G70" s="114" t="s">
        <v>107</v>
      </c>
      <c r="H70" s="2"/>
      <c r="I70" s="2"/>
      <c r="J70" s="123">
        <v>1203.6599999999999</v>
      </c>
      <c r="L70" s="114" t="s">
        <v>107</v>
      </c>
      <c r="M70" s="2"/>
      <c r="N70" s="2"/>
      <c r="O70" s="123">
        <v>1850.9899999999998</v>
      </c>
    </row>
    <row r="71" spans="2:15" x14ac:dyDescent="0.3">
      <c r="B71" s="114" t="s">
        <v>110</v>
      </c>
      <c r="C71" s="2"/>
      <c r="D71" s="2"/>
      <c r="E71" s="124">
        <v>342.33</v>
      </c>
      <c r="G71" s="114" t="s">
        <v>110</v>
      </c>
      <c r="H71" s="2"/>
      <c r="I71" s="2"/>
      <c r="J71" s="124">
        <v>267.33</v>
      </c>
      <c r="L71" s="114" t="s">
        <v>110</v>
      </c>
      <c r="M71" s="2"/>
      <c r="N71" s="2"/>
      <c r="O71" s="124">
        <v>647.32999999999993</v>
      </c>
    </row>
    <row r="72" spans="2:15" ht="15" thickBot="1" x14ac:dyDescent="0.35">
      <c r="B72" s="128" t="s">
        <v>101</v>
      </c>
      <c r="C72" s="127"/>
      <c r="D72" s="118"/>
      <c r="E72" s="126">
        <v>943.67</v>
      </c>
      <c r="G72" s="128" t="s">
        <v>101</v>
      </c>
      <c r="H72" s="127"/>
      <c r="I72" s="118"/>
      <c r="J72" s="126">
        <v>1156.3400000000001</v>
      </c>
      <c r="L72" s="128" t="s">
        <v>101</v>
      </c>
      <c r="M72" s="127"/>
      <c r="N72" s="118"/>
      <c r="O72" s="126">
        <v>809.01000000000022</v>
      </c>
    </row>
    <row r="73" spans="2:15" ht="15" thickTop="1" x14ac:dyDescent="0.3">
      <c r="B73" s="114" t="s">
        <v>108</v>
      </c>
      <c r="C73" s="2"/>
      <c r="D73" s="2"/>
      <c r="E73" s="123">
        <v>36.200000000000003</v>
      </c>
      <c r="G73" s="114" t="s">
        <v>108</v>
      </c>
      <c r="H73" s="2"/>
      <c r="I73" s="2"/>
      <c r="J73" s="123">
        <v>54.6</v>
      </c>
      <c r="L73" s="114" t="s">
        <v>108</v>
      </c>
      <c r="M73" s="2"/>
      <c r="N73" s="2"/>
      <c r="O73" s="123">
        <v>98.600000000000009</v>
      </c>
    </row>
    <row r="74" spans="2:15" x14ac:dyDescent="0.3">
      <c r="B74" s="114" t="s">
        <v>112</v>
      </c>
      <c r="C74" s="2"/>
      <c r="D74" s="2"/>
      <c r="E74" s="124">
        <v>22.4</v>
      </c>
      <c r="G74" s="114" t="s">
        <v>112</v>
      </c>
      <c r="H74" s="2"/>
      <c r="I74" s="2"/>
      <c r="J74" s="124">
        <v>18.399999999999999</v>
      </c>
      <c r="L74" s="114" t="s">
        <v>112</v>
      </c>
      <c r="M74" s="2"/>
      <c r="N74" s="2"/>
      <c r="O74" s="124">
        <v>44</v>
      </c>
    </row>
    <row r="75" spans="2:15" ht="15" thickBot="1" x14ac:dyDescent="0.35">
      <c r="B75" s="128" t="s">
        <v>104</v>
      </c>
      <c r="C75" s="118"/>
      <c r="D75" s="118"/>
      <c r="E75" s="126">
        <v>68.2</v>
      </c>
      <c r="G75" s="128" t="s">
        <v>104</v>
      </c>
      <c r="H75" s="118"/>
      <c r="I75" s="118"/>
      <c r="J75" s="126">
        <v>83.4</v>
      </c>
      <c r="L75" s="128" t="s">
        <v>104</v>
      </c>
      <c r="M75" s="118"/>
      <c r="N75" s="118"/>
      <c r="O75" s="126">
        <v>63.399999999999991</v>
      </c>
    </row>
    <row r="76" spans="2:15" ht="15.6" thickTop="1" thickBot="1" x14ac:dyDescent="0.35">
      <c r="B76" s="115" t="s">
        <v>258</v>
      </c>
      <c r="C76" s="220"/>
      <c r="D76" s="116"/>
      <c r="E76" s="224"/>
      <c r="G76" s="115" t="s">
        <v>258</v>
      </c>
      <c r="H76" s="220"/>
      <c r="I76" s="116"/>
      <c r="J76" s="224"/>
      <c r="L76" s="115" t="s">
        <v>258</v>
      </c>
      <c r="M76" s="220"/>
      <c r="N76" s="116"/>
      <c r="O76" s="224"/>
    </row>
    <row r="77" spans="2:15" ht="15" thickTop="1" x14ac:dyDescent="0.3">
      <c r="B77" s="114" t="s">
        <v>259</v>
      </c>
      <c r="C77" s="210"/>
      <c r="D77" s="2"/>
      <c r="E77" s="125">
        <v>10</v>
      </c>
      <c r="G77" s="114" t="s">
        <v>259</v>
      </c>
      <c r="H77" s="210"/>
      <c r="I77" s="2"/>
      <c r="J77" s="125">
        <v>10</v>
      </c>
      <c r="L77" s="114" t="s">
        <v>259</v>
      </c>
      <c r="M77" s="210"/>
      <c r="N77" s="2"/>
      <c r="O77" s="125">
        <v>10</v>
      </c>
    </row>
    <row r="78" spans="2:15" x14ac:dyDescent="0.3">
      <c r="B78" s="114" t="s">
        <v>282</v>
      </c>
      <c r="C78" s="221"/>
      <c r="D78" s="222"/>
      <c r="E78" s="123">
        <v>0</v>
      </c>
      <c r="G78" s="114" t="s">
        <v>282</v>
      </c>
      <c r="H78" s="221"/>
      <c r="I78" s="222"/>
      <c r="J78" s="123">
        <v>0</v>
      </c>
      <c r="L78" s="114" t="s">
        <v>282</v>
      </c>
      <c r="M78" s="221"/>
      <c r="N78" s="222"/>
      <c r="O78" s="123">
        <v>0</v>
      </c>
    </row>
    <row r="79" spans="2:15" x14ac:dyDescent="0.3">
      <c r="B79" s="114" t="s">
        <v>281</v>
      </c>
      <c r="C79" s="221"/>
      <c r="D79" s="222"/>
      <c r="E79" s="123">
        <v>0</v>
      </c>
      <c r="G79" s="114" t="s">
        <v>281</v>
      </c>
      <c r="H79" s="221"/>
      <c r="I79" s="222"/>
      <c r="J79" s="123">
        <v>0</v>
      </c>
      <c r="L79" s="114" t="s">
        <v>281</v>
      </c>
      <c r="M79" s="221"/>
      <c r="N79" s="222"/>
      <c r="O79" s="123">
        <v>0</v>
      </c>
    </row>
    <row r="80" spans="2:15" x14ac:dyDescent="0.3">
      <c r="B80" s="114" t="s">
        <v>99</v>
      </c>
      <c r="C80" s="2"/>
      <c r="D80" s="2"/>
      <c r="E80" s="122">
        <v>810</v>
      </c>
      <c r="G80" s="114" t="s">
        <v>99</v>
      </c>
      <c r="H80" s="2"/>
      <c r="I80" s="2"/>
      <c r="J80" s="122">
        <v>940</v>
      </c>
      <c r="L80" s="114" t="s">
        <v>99</v>
      </c>
      <c r="M80" s="2"/>
      <c r="N80" s="2"/>
      <c r="O80" s="122">
        <v>1070</v>
      </c>
    </row>
    <row r="81" spans="2:15" x14ac:dyDescent="0.3">
      <c r="B81" s="114" t="s">
        <v>106</v>
      </c>
      <c r="C81" s="2"/>
      <c r="D81" s="2"/>
      <c r="E81" s="121">
        <v>62.307692307692307</v>
      </c>
      <c r="G81" s="114" t="s">
        <v>106</v>
      </c>
      <c r="H81" s="2"/>
      <c r="I81" s="2"/>
      <c r="J81" s="121">
        <v>72.307692307692307</v>
      </c>
      <c r="L81" s="114" t="s">
        <v>106</v>
      </c>
      <c r="M81" s="2"/>
      <c r="N81" s="2"/>
      <c r="O81" s="121">
        <v>82.307692307692307</v>
      </c>
    </row>
    <row r="82" spans="2:15" x14ac:dyDescent="0.3">
      <c r="B82" s="114" t="s">
        <v>268</v>
      </c>
      <c r="C82" s="2"/>
      <c r="D82" s="2"/>
      <c r="E82" s="122">
        <v>114.4</v>
      </c>
      <c r="G82" s="114" t="s">
        <v>268</v>
      </c>
      <c r="H82" s="2"/>
      <c r="I82" s="2"/>
      <c r="J82" s="122">
        <v>148</v>
      </c>
      <c r="L82" s="114" t="s">
        <v>268</v>
      </c>
      <c r="M82" s="2"/>
      <c r="N82" s="2"/>
      <c r="O82" s="122">
        <v>172</v>
      </c>
    </row>
    <row r="83" spans="2:15" ht="15" thickBot="1" x14ac:dyDescent="0.35">
      <c r="B83" s="114" t="s">
        <v>102</v>
      </c>
      <c r="C83" s="2"/>
      <c r="D83" s="223"/>
      <c r="E83" s="231">
        <v>0</v>
      </c>
      <c r="G83" s="114" t="s">
        <v>102</v>
      </c>
      <c r="H83" s="2"/>
      <c r="I83" s="223"/>
      <c r="J83" s="231">
        <v>0</v>
      </c>
      <c r="L83" s="114" t="s">
        <v>102</v>
      </c>
      <c r="M83" s="2"/>
      <c r="N83" s="223"/>
      <c r="O83" s="231">
        <v>0</v>
      </c>
    </row>
    <row r="84" spans="2:15" ht="15.6" thickTop="1" thickBot="1" x14ac:dyDescent="0.35">
      <c r="B84" s="119" t="s">
        <v>100</v>
      </c>
      <c r="C84" s="120"/>
      <c r="D84" s="225"/>
      <c r="E84" s="227">
        <v>924.4</v>
      </c>
      <c r="G84" s="119" t="s">
        <v>100</v>
      </c>
      <c r="H84" s="120"/>
      <c r="I84" s="225"/>
      <c r="J84" s="227">
        <v>1088</v>
      </c>
      <c r="L84" s="119" t="s">
        <v>100</v>
      </c>
      <c r="M84" s="120"/>
      <c r="N84" s="225"/>
      <c r="O84" s="227">
        <v>1242</v>
      </c>
    </row>
    <row r="85" spans="2:15" ht="15.6" thickTop="1" thickBot="1" x14ac:dyDescent="0.35">
      <c r="B85" s="119" t="s">
        <v>105</v>
      </c>
      <c r="C85" s="120"/>
      <c r="D85" s="225"/>
      <c r="E85" s="253">
        <v>1011.87</v>
      </c>
      <c r="G85" s="119" t="s">
        <v>105</v>
      </c>
      <c r="H85" s="120"/>
      <c r="I85" s="225"/>
      <c r="J85" s="253">
        <v>1239.7400000000002</v>
      </c>
      <c r="L85" s="119" t="s">
        <v>105</v>
      </c>
      <c r="M85" s="120"/>
      <c r="N85" s="225"/>
      <c r="O85" s="253">
        <v>872.4100000000002</v>
      </c>
    </row>
    <row r="86" spans="2:15" ht="15.6" thickTop="1" thickBot="1" x14ac:dyDescent="0.35"/>
    <row r="87" spans="2:15" ht="15.6" thickTop="1" thickBot="1" x14ac:dyDescent="0.35">
      <c r="B87" s="291" t="s">
        <v>98</v>
      </c>
      <c r="C87" s="292"/>
      <c r="D87" s="293"/>
      <c r="E87" s="140">
        <v>44788</v>
      </c>
      <c r="G87" s="291" t="s">
        <v>98</v>
      </c>
      <c r="H87" s="292"/>
      <c r="I87" s="293"/>
      <c r="J87" s="140">
        <v>44788</v>
      </c>
      <c r="L87" s="291" t="s">
        <v>98</v>
      </c>
      <c r="M87" s="292"/>
      <c r="N87" s="293"/>
      <c r="O87" s="140">
        <v>44788</v>
      </c>
    </row>
    <row r="88" spans="2:15" ht="15.6" thickTop="1" thickBot="1" x14ac:dyDescent="0.35">
      <c r="B88" s="294"/>
      <c r="C88" s="295"/>
      <c r="D88" s="296"/>
      <c r="E88" s="140">
        <v>45061</v>
      </c>
      <c r="G88" s="294"/>
      <c r="H88" s="295"/>
      <c r="I88" s="296"/>
      <c r="J88" s="140">
        <v>45092</v>
      </c>
      <c r="L88" s="294"/>
      <c r="M88" s="295"/>
      <c r="N88" s="296"/>
      <c r="O88" s="140">
        <v>45122</v>
      </c>
    </row>
    <row r="89" spans="2:15" ht="15.6" thickTop="1" thickBot="1" x14ac:dyDescent="0.35">
      <c r="B89" s="114" t="s">
        <v>97</v>
      </c>
      <c r="C89" s="2"/>
      <c r="D89" s="2"/>
      <c r="E89" s="209">
        <v>1300</v>
      </c>
      <c r="G89" s="114" t="s">
        <v>97</v>
      </c>
      <c r="H89" s="2"/>
      <c r="I89" s="2"/>
      <c r="J89" s="209">
        <v>1430</v>
      </c>
      <c r="L89" s="114" t="s">
        <v>97</v>
      </c>
      <c r="M89" s="2"/>
      <c r="N89" s="2"/>
      <c r="O89" s="209">
        <v>1560</v>
      </c>
    </row>
    <row r="90" spans="2:15" ht="15.6" thickTop="1" thickBot="1" x14ac:dyDescent="0.35">
      <c r="B90" s="115" t="s">
        <v>188</v>
      </c>
      <c r="C90" s="116"/>
      <c r="D90" s="116"/>
      <c r="E90" s="217"/>
      <c r="G90" s="115" t="s">
        <v>188</v>
      </c>
      <c r="H90" s="116"/>
      <c r="I90" s="116"/>
      <c r="J90" s="217"/>
      <c r="L90" s="115" t="s">
        <v>188</v>
      </c>
      <c r="M90" s="116"/>
      <c r="N90" s="116"/>
      <c r="O90" s="217"/>
    </row>
    <row r="91" spans="2:15" ht="15" thickTop="1" x14ac:dyDescent="0.3">
      <c r="B91" s="215" t="s">
        <v>255</v>
      </c>
      <c r="C91" s="2"/>
      <c r="D91" s="2"/>
      <c r="E91" s="208">
        <v>2960</v>
      </c>
      <c r="G91" s="215" t="s">
        <v>255</v>
      </c>
      <c r="H91" s="2"/>
      <c r="I91" s="2"/>
      <c r="J91" s="208">
        <v>3960</v>
      </c>
      <c r="L91" s="215" t="s">
        <v>255</v>
      </c>
      <c r="M91" s="2"/>
      <c r="N91" s="2"/>
      <c r="O91" s="208">
        <v>3960</v>
      </c>
    </row>
    <row r="92" spans="2:15" x14ac:dyDescent="0.3">
      <c r="B92" s="216" t="s">
        <v>256</v>
      </c>
      <c r="C92" s="2"/>
      <c r="D92" s="2"/>
      <c r="E92" s="123">
        <v>100</v>
      </c>
      <c r="G92" s="216" t="s">
        <v>256</v>
      </c>
      <c r="H92" s="2"/>
      <c r="I92" s="2"/>
      <c r="J92" s="123">
        <v>100</v>
      </c>
      <c r="L92" s="216" t="s">
        <v>256</v>
      </c>
      <c r="M92" s="2"/>
      <c r="N92" s="2"/>
      <c r="O92" s="123">
        <v>100</v>
      </c>
    </row>
    <row r="93" spans="2:15" x14ac:dyDescent="0.3">
      <c r="B93" s="114" t="s">
        <v>109</v>
      </c>
      <c r="C93" s="2"/>
      <c r="D93" s="2"/>
      <c r="E93" s="124">
        <v>300</v>
      </c>
      <c r="G93" s="114" t="s">
        <v>109</v>
      </c>
      <c r="H93" s="2"/>
      <c r="I93" s="2"/>
      <c r="J93" s="124">
        <v>1000</v>
      </c>
      <c r="L93" s="114" t="s">
        <v>109</v>
      </c>
      <c r="M93" s="2"/>
      <c r="N93" s="2"/>
      <c r="O93" s="124">
        <v>0</v>
      </c>
    </row>
    <row r="94" spans="2:15" x14ac:dyDescent="0.3">
      <c r="B94" s="216" t="s">
        <v>257</v>
      </c>
      <c r="C94" s="2"/>
      <c r="D94" s="2"/>
      <c r="E94" s="218">
        <v>178</v>
      </c>
      <c r="G94" s="216" t="s">
        <v>257</v>
      </c>
      <c r="H94" s="2"/>
      <c r="I94" s="2"/>
      <c r="J94" s="218">
        <v>258</v>
      </c>
      <c r="L94" s="216" t="s">
        <v>257</v>
      </c>
      <c r="M94" s="2"/>
      <c r="N94" s="2"/>
      <c r="O94" s="218">
        <v>258</v>
      </c>
    </row>
    <row r="95" spans="2:15" ht="15" thickBot="1" x14ac:dyDescent="0.35">
      <c r="B95" s="114" t="s">
        <v>111</v>
      </c>
      <c r="C95" s="2"/>
      <c r="D95" s="2"/>
      <c r="E95" s="124">
        <v>16</v>
      </c>
      <c r="G95" s="114" t="s">
        <v>111</v>
      </c>
      <c r="H95" s="2"/>
      <c r="I95" s="2"/>
      <c r="J95" s="124">
        <v>80</v>
      </c>
      <c r="L95" s="114" t="s">
        <v>111</v>
      </c>
      <c r="M95" s="2"/>
      <c r="N95" s="2"/>
      <c r="O95" s="124">
        <v>0</v>
      </c>
    </row>
    <row r="96" spans="2:15" ht="15.6" thickTop="1" thickBot="1" x14ac:dyDescent="0.35">
      <c r="B96" s="219" t="s">
        <v>41</v>
      </c>
      <c r="C96" s="116"/>
      <c r="D96" s="116"/>
      <c r="E96" s="217"/>
      <c r="G96" s="219" t="s">
        <v>41</v>
      </c>
      <c r="H96" s="116"/>
      <c r="I96" s="116"/>
      <c r="J96" s="217"/>
      <c r="L96" s="219" t="s">
        <v>41</v>
      </c>
      <c r="M96" s="116"/>
      <c r="N96" s="116"/>
      <c r="O96" s="217"/>
    </row>
    <row r="97" spans="2:15" ht="15" thickTop="1" x14ac:dyDescent="0.3">
      <c r="B97" s="114" t="s">
        <v>107</v>
      </c>
      <c r="C97" s="2"/>
      <c r="D97" s="2"/>
      <c r="E97" s="123">
        <v>2209.9899999999998</v>
      </c>
      <c r="G97" s="114" t="s">
        <v>107</v>
      </c>
      <c r="H97" s="2"/>
      <c r="I97" s="2"/>
      <c r="J97" s="123">
        <v>2534.9899999999998</v>
      </c>
      <c r="L97" s="114" t="s">
        <v>107</v>
      </c>
      <c r="M97" s="2"/>
      <c r="N97" s="2"/>
      <c r="O97" s="123">
        <v>2834.99</v>
      </c>
    </row>
    <row r="98" spans="2:15" x14ac:dyDescent="0.3">
      <c r="B98" s="114" t="s">
        <v>110</v>
      </c>
      <c r="C98" s="2"/>
      <c r="D98" s="2"/>
      <c r="E98" s="124">
        <v>359</v>
      </c>
      <c r="G98" s="114" t="s">
        <v>110</v>
      </c>
      <c r="H98" s="2"/>
      <c r="I98" s="2"/>
      <c r="J98" s="124">
        <v>325</v>
      </c>
      <c r="L98" s="114" t="s">
        <v>110</v>
      </c>
      <c r="M98" s="2"/>
      <c r="N98" s="2"/>
      <c r="O98" s="124">
        <v>300</v>
      </c>
    </row>
    <row r="99" spans="2:15" ht="15" thickBot="1" x14ac:dyDescent="0.35">
      <c r="B99" s="128" t="s">
        <v>101</v>
      </c>
      <c r="C99" s="127"/>
      <c r="D99" s="118"/>
      <c r="E99" s="126">
        <v>750.01000000000022</v>
      </c>
      <c r="G99" s="128" t="s">
        <v>101</v>
      </c>
      <c r="H99" s="127"/>
      <c r="I99" s="118"/>
      <c r="J99" s="126">
        <v>1425.0100000000002</v>
      </c>
      <c r="L99" s="128" t="s">
        <v>101</v>
      </c>
      <c r="M99" s="127"/>
      <c r="N99" s="118"/>
      <c r="O99" s="126">
        <v>1125.0100000000002</v>
      </c>
    </row>
    <row r="100" spans="2:15" ht="15" thickTop="1" x14ac:dyDescent="0.3">
      <c r="B100" s="114" t="s">
        <v>108</v>
      </c>
      <c r="C100" s="2"/>
      <c r="D100" s="2"/>
      <c r="E100" s="123">
        <v>126.00000000000001</v>
      </c>
      <c r="G100" s="114" t="s">
        <v>108</v>
      </c>
      <c r="H100" s="2"/>
      <c r="I100" s="2"/>
      <c r="J100" s="123">
        <v>148</v>
      </c>
      <c r="L100" s="114" t="s">
        <v>108</v>
      </c>
      <c r="M100" s="2"/>
      <c r="N100" s="2"/>
      <c r="O100" s="123">
        <v>188</v>
      </c>
    </row>
    <row r="101" spans="2:15" x14ac:dyDescent="0.3">
      <c r="B101" s="114" t="s">
        <v>112</v>
      </c>
      <c r="C101" s="2"/>
      <c r="D101" s="2"/>
      <c r="E101" s="124">
        <v>27.4</v>
      </c>
      <c r="G101" s="114" t="s">
        <v>112</v>
      </c>
      <c r="H101" s="2"/>
      <c r="I101" s="2"/>
      <c r="J101" s="124">
        <v>22</v>
      </c>
      <c r="L101" s="114" t="s">
        <v>112</v>
      </c>
      <c r="M101" s="2"/>
      <c r="N101" s="2"/>
      <c r="O101" s="124">
        <v>40</v>
      </c>
    </row>
    <row r="102" spans="2:15" ht="15" thickBot="1" x14ac:dyDescent="0.35">
      <c r="B102" s="128" t="s">
        <v>104</v>
      </c>
      <c r="C102" s="118"/>
      <c r="D102" s="118"/>
      <c r="E102" s="126">
        <v>51.999999999999986</v>
      </c>
      <c r="G102" s="128" t="s">
        <v>104</v>
      </c>
      <c r="H102" s="118"/>
      <c r="I102" s="118"/>
      <c r="J102" s="126">
        <v>110</v>
      </c>
      <c r="L102" s="128" t="s">
        <v>104</v>
      </c>
      <c r="M102" s="118"/>
      <c r="N102" s="118"/>
      <c r="O102" s="126">
        <v>70</v>
      </c>
    </row>
    <row r="103" spans="2:15" ht="15.6" thickTop="1" thickBot="1" x14ac:dyDescent="0.35">
      <c r="B103" s="115" t="s">
        <v>258</v>
      </c>
      <c r="C103" s="220"/>
      <c r="D103" s="116"/>
      <c r="E103" s="224"/>
      <c r="G103" s="115" t="s">
        <v>258</v>
      </c>
      <c r="H103" s="220"/>
      <c r="I103" s="116"/>
      <c r="J103" s="224"/>
      <c r="L103" s="115" t="s">
        <v>258</v>
      </c>
      <c r="M103" s="220"/>
      <c r="N103" s="116"/>
      <c r="O103" s="224"/>
    </row>
    <row r="104" spans="2:15" ht="15" thickTop="1" x14ac:dyDescent="0.3">
      <c r="B104" s="114" t="s">
        <v>259</v>
      </c>
      <c r="C104" s="210"/>
      <c r="D104" s="2"/>
      <c r="E104" s="125">
        <v>10</v>
      </c>
      <c r="G104" s="114" t="s">
        <v>259</v>
      </c>
      <c r="H104" s="210"/>
      <c r="I104" s="2"/>
      <c r="J104" s="125">
        <v>10</v>
      </c>
      <c r="L104" s="114" t="s">
        <v>259</v>
      </c>
      <c r="M104" s="210"/>
      <c r="N104" s="2"/>
      <c r="O104" s="125">
        <v>10</v>
      </c>
    </row>
    <row r="105" spans="2:15" x14ac:dyDescent="0.3">
      <c r="B105" s="114" t="s">
        <v>282</v>
      </c>
      <c r="C105" s="221"/>
      <c r="D105" s="222"/>
      <c r="E105" s="123">
        <v>0</v>
      </c>
      <c r="G105" s="114" t="s">
        <v>282</v>
      </c>
      <c r="H105" s="221"/>
      <c r="I105" s="222"/>
      <c r="J105" s="123">
        <v>0</v>
      </c>
      <c r="L105" s="114" t="s">
        <v>282</v>
      </c>
      <c r="M105" s="221"/>
      <c r="N105" s="222"/>
      <c r="O105" s="123">
        <v>0</v>
      </c>
    </row>
    <row r="106" spans="2:15" x14ac:dyDescent="0.3">
      <c r="B106" s="114" t="s">
        <v>281</v>
      </c>
      <c r="C106" s="221"/>
      <c r="D106" s="222"/>
      <c r="E106" s="123">
        <v>0</v>
      </c>
      <c r="G106" s="114" t="s">
        <v>281</v>
      </c>
      <c r="H106" s="221"/>
      <c r="I106" s="222"/>
      <c r="J106" s="123">
        <v>0</v>
      </c>
      <c r="L106" s="114" t="s">
        <v>281</v>
      </c>
      <c r="M106" s="221"/>
      <c r="N106" s="222"/>
      <c r="O106" s="123">
        <v>0</v>
      </c>
    </row>
    <row r="107" spans="2:15" x14ac:dyDescent="0.3">
      <c r="B107" s="114" t="s">
        <v>99</v>
      </c>
      <c r="C107" s="2"/>
      <c r="D107" s="2"/>
      <c r="E107" s="122">
        <v>1200</v>
      </c>
      <c r="G107" s="114" t="s">
        <v>99</v>
      </c>
      <c r="H107" s="2"/>
      <c r="I107" s="2"/>
      <c r="J107" s="122">
        <v>1330</v>
      </c>
      <c r="L107" s="114" t="s">
        <v>99</v>
      </c>
      <c r="M107" s="2"/>
      <c r="N107" s="2"/>
      <c r="O107" s="122">
        <v>1460</v>
      </c>
    </row>
    <row r="108" spans="2:15" x14ac:dyDescent="0.3">
      <c r="B108" s="114" t="s">
        <v>106</v>
      </c>
      <c r="C108" s="2"/>
      <c r="D108" s="2"/>
      <c r="E108" s="121">
        <v>92.307692307692307</v>
      </c>
      <c r="G108" s="114" t="s">
        <v>106</v>
      </c>
      <c r="H108" s="2"/>
      <c r="I108" s="2"/>
      <c r="J108" s="121">
        <v>102.30769230769231</v>
      </c>
      <c r="L108" s="114" t="s">
        <v>106</v>
      </c>
      <c r="M108" s="2"/>
      <c r="N108" s="2"/>
      <c r="O108" s="121">
        <v>112.30769230769231</v>
      </c>
    </row>
    <row r="109" spans="2:15" x14ac:dyDescent="0.3">
      <c r="B109" s="114" t="s">
        <v>268</v>
      </c>
      <c r="C109" s="2"/>
      <c r="D109" s="2"/>
      <c r="E109" s="122">
        <v>188</v>
      </c>
      <c r="G109" s="114" t="s">
        <v>268</v>
      </c>
      <c r="H109" s="2"/>
      <c r="I109" s="2"/>
      <c r="J109" s="122">
        <v>268</v>
      </c>
      <c r="L109" s="114" t="s">
        <v>268</v>
      </c>
      <c r="M109" s="2"/>
      <c r="N109" s="2"/>
      <c r="O109" s="122">
        <v>268</v>
      </c>
    </row>
    <row r="110" spans="2:15" ht="15" thickBot="1" x14ac:dyDescent="0.35">
      <c r="B110" s="114" t="s">
        <v>102</v>
      </c>
      <c r="C110" s="2"/>
      <c r="D110" s="223"/>
      <c r="E110" s="231">
        <v>0</v>
      </c>
      <c r="G110" s="114" t="s">
        <v>102</v>
      </c>
      <c r="H110" s="2"/>
      <c r="I110" s="223"/>
      <c r="J110" s="231">
        <v>0</v>
      </c>
      <c r="L110" s="114" t="s">
        <v>102</v>
      </c>
      <c r="M110" s="2"/>
      <c r="N110" s="223"/>
      <c r="O110" s="231">
        <v>0</v>
      </c>
    </row>
    <row r="111" spans="2:15" ht="15.6" thickTop="1" thickBot="1" x14ac:dyDescent="0.35">
      <c r="B111" s="119" t="s">
        <v>100</v>
      </c>
      <c r="C111" s="120"/>
      <c r="D111" s="225"/>
      <c r="E111" s="227">
        <v>1388</v>
      </c>
      <c r="G111" s="119" t="s">
        <v>100</v>
      </c>
      <c r="H111" s="120"/>
      <c r="I111" s="225"/>
      <c r="J111" s="227">
        <v>1598</v>
      </c>
      <c r="L111" s="119" t="s">
        <v>100</v>
      </c>
      <c r="M111" s="120"/>
      <c r="N111" s="225"/>
      <c r="O111" s="227">
        <v>1728</v>
      </c>
    </row>
    <row r="112" spans="2:15" ht="15.6" thickTop="1" thickBot="1" x14ac:dyDescent="0.35">
      <c r="B112" s="119" t="s">
        <v>105</v>
      </c>
      <c r="C112" s="120"/>
      <c r="D112" s="225"/>
      <c r="E112" s="253">
        <v>802.01000000000022</v>
      </c>
      <c r="G112" s="119" t="s">
        <v>105</v>
      </c>
      <c r="H112" s="120"/>
      <c r="I112" s="225"/>
      <c r="J112" s="253">
        <v>1535.0100000000002</v>
      </c>
      <c r="L112" s="119" t="s">
        <v>105</v>
      </c>
      <c r="M112" s="120"/>
      <c r="N112" s="225"/>
      <c r="O112" s="253">
        <v>1195.0100000000002</v>
      </c>
    </row>
    <row r="113" spans="2:15" ht="15.6" thickTop="1" thickBot="1" x14ac:dyDescent="0.35"/>
    <row r="114" spans="2:15" ht="15.6" thickTop="1" thickBot="1" x14ac:dyDescent="0.35">
      <c r="B114" s="291" t="s">
        <v>98</v>
      </c>
      <c r="C114" s="292"/>
      <c r="D114" s="293"/>
      <c r="E114" s="140">
        <v>44788</v>
      </c>
      <c r="G114" s="291" t="s">
        <v>98</v>
      </c>
      <c r="H114" s="292"/>
      <c r="I114" s="293"/>
      <c r="J114" s="140">
        <v>44788</v>
      </c>
      <c r="L114" s="291" t="s">
        <v>98</v>
      </c>
      <c r="M114" s="292"/>
      <c r="N114" s="293"/>
      <c r="O114" s="140">
        <v>44788</v>
      </c>
    </row>
    <row r="115" spans="2:15" ht="15.6" thickTop="1" thickBot="1" x14ac:dyDescent="0.35">
      <c r="B115" s="294"/>
      <c r="C115" s="295"/>
      <c r="D115" s="296"/>
      <c r="E115" s="140">
        <v>45153</v>
      </c>
      <c r="G115" s="294"/>
      <c r="H115" s="295"/>
      <c r="I115" s="296"/>
      <c r="J115" s="140">
        <v>45184</v>
      </c>
      <c r="L115" s="294"/>
      <c r="M115" s="295"/>
      <c r="N115" s="296"/>
      <c r="O115" s="140">
        <v>45214</v>
      </c>
    </row>
    <row r="116" spans="2:15" ht="15.6" thickTop="1" thickBot="1" x14ac:dyDescent="0.35">
      <c r="B116" s="114" t="s">
        <v>97</v>
      </c>
      <c r="C116" s="2"/>
      <c r="D116" s="2"/>
      <c r="E116" s="209">
        <v>1690</v>
      </c>
      <c r="G116" s="114" t="s">
        <v>97</v>
      </c>
      <c r="H116" s="2"/>
      <c r="I116" s="2"/>
      <c r="J116" s="209">
        <v>1820</v>
      </c>
      <c r="L116" s="114" t="s">
        <v>97</v>
      </c>
      <c r="M116" s="2"/>
      <c r="N116" s="2"/>
      <c r="O116" s="209">
        <v>1950</v>
      </c>
    </row>
    <row r="117" spans="2:15" ht="15.6" thickTop="1" thickBot="1" x14ac:dyDescent="0.35">
      <c r="B117" s="115" t="s">
        <v>188</v>
      </c>
      <c r="C117" s="116"/>
      <c r="D117" s="116"/>
      <c r="E117" s="217"/>
      <c r="G117" s="115" t="s">
        <v>188</v>
      </c>
      <c r="H117" s="116"/>
      <c r="I117" s="116"/>
      <c r="J117" s="217"/>
      <c r="L117" s="115" t="s">
        <v>188</v>
      </c>
      <c r="M117" s="116"/>
      <c r="N117" s="116"/>
      <c r="O117" s="217"/>
    </row>
    <row r="118" spans="2:15" ht="15" thickTop="1" x14ac:dyDescent="0.3">
      <c r="B118" s="215" t="s">
        <v>255</v>
      </c>
      <c r="C118" s="2"/>
      <c r="D118" s="2"/>
      <c r="E118" s="208">
        <v>4460</v>
      </c>
      <c r="G118" s="215" t="s">
        <v>255</v>
      </c>
      <c r="H118" s="2"/>
      <c r="I118" s="2"/>
      <c r="J118" s="208">
        <v>5160</v>
      </c>
      <c r="L118" s="215" t="s">
        <v>255</v>
      </c>
      <c r="M118" s="2"/>
      <c r="N118" s="2"/>
      <c r="O118" s="208">
        <v>6360</v>
      </c>
    </row>
    <row r="119" spans="2:15" x14ac:dyDescent="0.3">
      <c r="B119" s="216" t="s">
        <v>256</v>
      </c>
      <c r="C119" s="2"/>
      <c r="D119" s="2"/>
      <c r="E119" s="123">
        <v>100</v>
      </c>
      <c r="G119" s="216" t="s">
        <v>256</v>
      </c>
      <c r="H119" s="2"/>
      <c r="I119" s="2"/>
      <c r="J119" s="123">
        <v>100</v>
      </c>
      <c r="L119" s="216" t="s">
        <v>256</v>
      </c>
      <c r="M119" s="2"/>
      <c r="N119" s="2"/>
      <c r="O119" s="123">
        <v>100</v>
      </c>
    </row>
    <row r="120" spans="2:15" x14ac:dyDescent="0.3">
      <c r="B120" s="114" t="s">
        <v>109</v>
      </c>
      <c r="C120" s="2"/>
      <c r="D120" s="2"/>
      <c r="E120" s="124">
        <v>200</v>
      </c>
      <c r="G120" s="114" t="s">
        <v>109</v>
      </c>
      <c r="H120" s="2"/>
      <c r="I120" s="2"/>
      <c r="J120" s="124">
        <v>700</v>
      </c>
      <c r="L120" s="114" t="s">
        <v>109</v>
      </c>
      <c r="M120" s="2"/>
      <c r="N120" s="2"/>
      <c r="O120" s="124">
        <v>1200</v>
      </c>
    </row>
    <row r="121" spans="2:15" x14ac:dyDescent="0.3">
      <c r="B121" s="216" t="s">
        <v>257</v>
      </c>
      <c r="C121" s="2"/>
      <c r="D121" s="2"/>
      <c r="E121" s="218">
        <v>268</v>
      </c>
      <c r="G121" s="216" t="s">
        <v>257</v>
      </c>
      <c r="H121" s="2"/>
      <c r="I121" s="2"/>
      <c r="J121" s="218">
        <v>338</v>
      </c>
      <c r="L121" s="216" t="s">
        <v>257</v>
      </c>
      <c r="M121" s="2"/>
      <c r="N121" s="2"/>
      <c r="O121" s="218">
        <v>458</v>
      </c>
    </row>
    <row r="122" spans="2:15" ht="15" thickBot="1" x14ac:dyDescent="0.35">
      <c r="B122" s="114" t="s">
        <v>111</v>
      </c>
      <c r="C122" s="2"/>
      <c r="D122" s="2"/>
      <c r="E122" s="124">
        <v>4</v>
      </c>
      <c r="G122" s="114" t="s">
        <v>111</v>
      </c>
      <c r="H122" s="2"/>
      <c r="I122" s="2"/>
      <c r="J122" s="124">
        <v>70</v>
      </c>
      <c r="L122" s="114" t="s">
        <v>111</v>
      </c>
      <c r="M122" s="2"/>
      <c r="N122" s="2"/>
      <c r="O122" s="124">
        <v>120</v>
      </c>
    </row>
    <row r="123" spans="2:15" ht="15.6" thickTop="1" thickBot="1" x14ac:dyDescent="0.35">
      <c r="B123" s="219" t="s">
        <v>41</v>
      </c>
      <c r="C123" s="116"/>
      <c r="D123" s="116"/>
      <c r="E123" s="217"/>
      <c r="G123" s="219" t="s">
        <v>41</v>
      </c>
      <c r="H123" s="116"/>
      <c r="I123" s="116"/>
      <c r="J123" s="217"/>
      <c r="L123" s="219" t="s">
        <v>41</v>
      </c>
      <c r="M123" s="116"/>
      <c r="N123" s="116"/>
      <c r="O123" s="217"/>
    </row>
    <row r="124" spans="2:15" ht="15" thickTop="1" x14ac:dyDescent="0.3">
      <c r="B124" s="114" t="s">
        <v>107</v>
      </c>
      <c r="C124" s="2"/>
      <c r="D124" s="2"/>
      <c r="E124" s="123">
        <v>3134.99</v>
      </c>
      <c r="G124" s="114" t="s">
        <v>107</v>
      </c>
      <c r="H124" s="2"/>
      <c r="I124" s="2"/>
      <c r="J124" s="123">
        <v>3459.99</v>
      </c>
      <c r="L124" s="114" t="s">
        <v>107</v>
      </c>
      <c r="M124" s="2"/>
      <c r="N124" s="2"/>
      <c r="O124" s="123">
        <v>4584.99</v>
      </c>
    </row>
    <row r="125" spans="2:15" x14ac:dyDescent="0.3">
      <c r="B125" s="114" t="s">
        <v>110</v>
      </c>
      <c r="C125" s="2"/>
      <c r="D125" s="2"/>
      <c r="E125" s="124">
        <v>300</v>
      </c>
      <c r="G125" s="114" t="s">
        <v>110</v>
      </c>
      <c r="H125" s="2"/>
      <c r="I125" s="2"/>
      <c r="J125" s="124">
        <v>325</v>
      </c>
      <c r="L125" s="114" t="s">
        <v>110</v>
      </c>
      <c r="M125" s="2"/>
      <c r="N125" s="2"/>
      <c r="O125" s="124">
        <v>1125</v>
      </c>
    </row>
    <row r="126" spans="2:15" ht="15" thickBot="1" x14ac:dyDescent="0.35">
      <c r="B126" s="128" t="s">
        <v>101</v>
      </c>
      <c r="C126" s="127"/>
      <c r="D126" s="118"/>
      <c r="E126" s="126">
        <v>1325.0100000000002</v>
      </c>
      <c r="G126" s="128" t="s">
        <v>101</v>
      </c>
      <c r="H126" s="127"/>
      <c r="I126" s="118"/>
      <c r="J126" s="126">
        <v>1700.0100000000002</v>
      </c>
      <c r="L126" s="128" t="s">
        <v>101</v>
      </c>
      <c r="M126" s="127"/>
      <c r="N126" s="118"/>
      <c r="O126" s="126">
        <v>1775.0100000000002</v>
      </c>
    </row>
    <row r="127" spans="2:15" ht="15" thickTop="1" x14ac:dyDescent="0.3">
      <c r="B127" s="114" t="s">
        <v>108</v>
      </c>
      <c r="C127" s="2"/>
      <c r="D127" s="2"/>
      <c r="E127" s="123">
        <v>220</v>
      </c>
      <c r="G127" s="114" t="s">
        <v>108</v>
      </c>
      <c r="H127" s="2"/>
      <c r="I127" s="2"/>
      <c r="J127" s="123">
        <v>248</v>
      </c>
      <c r="L127" s="114" t="s">
        <v>108</v>
      </c>
      <c r="M127" s="2"/>
      <c r="N127" s="2"/>
      <c r="O127" s="123">
        <v>282</v>
      </c>
    </row>
    <row r="128" spans="2:15" x14ac:dyDescent="0.3">
      <c r="B128" s="114" t="s">
        <v>112</v>
      </c>
      <c r="C128" s="2"/>
      <c r="D128" s="2"/>
      <c r="E128" s="124">
        <v>32</v>
      </c>
      <c r="G128" s="114" t="s">
        <v>112</v>
      </c>
      <c r="H128" s="2"/>
      <c r="I128" s="2"/>
      <c r="J128" s="124">
        <v>28</v>
      </c>
      <c r="L128" s="114" t="s">
        <v>112</v>
      </c>
      <c r="M128" s="2"/>
      <c r="N128" s="2"/>
      <c r="O128" s="124">
        <v>34</v>
      </c>
    </row>
    <row r="129" spans="2:15" ht="15" thickBot="1" x14ac:dyDescent="0.35">
      <c r="B129" s="128" t="s">
        <v>104</v>
      </c>
      <c r="C129" s="118"/>
      <c r="D129" s="118"/>
      <c r="E129" s="126">
        <v>48</v>
      </c>
      <c r="G129" s="128" t="s">
        <v>104</v>
      </c>
      <c r="H129" s="118"/>
      <c r="I129" s="118"/>
      <c r="J129" s="126">
        <v>90</v>
      </c>
      <c r="L129" s="128" t="s">
        <v>104</v>
      </c>
      <c r="M129" s="118"/>
      <c r="N129" s="118"/>
      <c r="O129" s="126">
        <v>176</v>
      </c>
    </row>
    <row r="130" spans="2:15" ht="15.6" thickTop="1" thickBot="1" x14ac:dyDescent="0.35">
      <c r="B130" s="115" t="s">
        <v>258</v>
      </c>
      <c r="C130" s="220"/>
      <c r="D130" s="116"/>
      <c r="E130" s="224"/>
      <c r="G130" s="115" t="s">
        <v>258</v>
      </c>
      <c r="H130" s="220"/>
      <c r="I130" s="116"/>
      <c r="J130" s="224"/>
      <c r="L130" s="115" t="s">
        <v>258</v>
      </c>
      <c r="M130" s="220"/>
      <c r="N130" s="116"/>
      <c r="O130" s="224"/>
    </row>
    <row r="131" spans="2:15" ht="15" thickTop="1" x14ac:dyDescent="0.3">
      <c r="B131" s="114" t="s">
        <v>259</v>
      </c>
      <c r="C131" s="210"/>
      <c r="D131" s="2"/>
      <c r="E131" s="125">
        <v>10</v>
      </c>
      <c r="G131" s="114" t="s">
        <v>259</v>
      </c>
      <c r="H131" s="210"/>
      <c r="I131" s="2"/>
      <c r="J131" s="125">
        <v>10</v>
      </c>
      <c r="L131" s="114" t="s">
        <v>259</v>
      </c>
      <c r="M131" s="210"/>
      <c r="N131" s="2"/>
      <c r="O131" s="125">
        <v>10</v>
      </c>
    </row>
    <row r="132" spans="2:15" x14ac:dyDescent="0.3">
      <c r="B132" s="114" t="s">
        <v>282</v>
      </c>
      <c r="C132" s="221"/>
      <c r="D132" s="222"/>
      <c r="E132" s="123">
        <v>250</v>
      </c>
      <c r="G132" s="114" t="s">
        <v>282</v>
      </c>
      <c r="H132" s="221"/>
      <c r="I132" s="222"/>
      <c r="J132" s="123">
        <v>250</v>
      </c>
      <c r="L132" s="114" t="s">
        <v>282</v>
      </c>
      <c r="M132" s="221"/>
      <c r="N132" s="222"/>
      <c r="O132" s="123">
        <v>250</v>
      </c>
    </row>
    <row r="133" spans="2:15" x14ac:dyDescent="0.3">
      <c r="B133" s="114" t="s">
        <v>281</v>
      </c>
      <c r="C133" s="221"/>
      <c r="D133" s="222"/>
      <c r="E133" s="123">
        <v>0</v>
      </c>
      <c r="G133" s="114" t="s">
        <v>281</v>
      </c>
      <c r="H133" s="221"/>
      <c r="I133" s="222"/>
      <c r="J133" s="123">
        <v>0</v>
      </c>
      <c r="L133" s="114" t="s">
        <v>281</v>
      </c>
      <c r="M133" s="221"/>
      <c r="N133" s="222"/>
      <c r="O133" s="123">
        <v>0</v>
      </c>
    </row>
    <row r="134" spans="2:15" x14ac:dyDescent="0.3">
      <c r="B134" s="114" t="s">
        <v>99</v>
      </c>
      <c r="C134" s="2"/>
      <c r="D134" s="2"/>
      <c r="E134" s="122">
        <v>1590</v>
      </c>
      <c r="G134" s="114" t="s">
        <v>99</v>
      </c>
      <c r="H134" s="2"/>
      <c r="I134" s="2"/>
      <c r="J134" s="122">
        <v>1720</v>
      </c>
      <c r="L134" s="114" t="s">
        <v>99</v>
      </c>
      <c r="M134" s="2"/>
      <c r="N134" s="2"/>
      <c r="O134" s="122">
        <v>1850</v>
      </c>
    </row>
    <row r="135" spans="2:15" x14ac:dyDescent="0.3">
      <c r="B135" s="114" t="s">
        <v>106</v>
      </c>
      <c r="C135" s="2"/>
      <c r="D135" s="2"/>
      <c r="E135" s="121">
        <v>122.30769230769231</v>
      </c>
      <c r="G135" s="114" t="s">
        <v>106</v>
      </c>
      <c r="H135" s="2"/>
      <c r="I135" s="2"/>
      <c r="J135" s="121">
        <v>132.30769230769232</v>
      </c>
      <c r="L135" s="114" t="s">
        <v>106</v>
      </c>
      <c r="M135" s="2"/>
      <c r="N135" s="2"/>
      <c r="O135" s="121">
        <v>142.30769230769232</v>
      </c>
    </row>
    <row r="136" spans="2:15" x14ac:dyDescent="0.3">
      <c r="B136" s="114" t="s">
        <v>268</v>
      </c>
      <c r="C136" s="2"/>
      <c r="D136" s="2"/>
      <c r="E136" s="122">
        <v>28</v>
      </c>
      <c r="G136" s="114" t="s">
        <v>268</v>
      </c>
      <c r="H136" s="2"/>
      <c r="I136" s="2"/>
      <c r="J136" s="122">
        <v>98</v>
      </c>
      <c r="L136" s="114" t="s">
        <v>268</v>
      </c>
      <c r="M136" s="2"/>
      <c r="N136" s="2"/>
      <c r="O136" s="122">
        <v>218</v>
      </c>
    </row>
    <row r="137" spans="2:15" ht="15" thickBot="1" x14ac:dyDescent="0.35">
      <c r="B137" s="114" t="s">
        <v>102</v>
      </c>
      <c r="C137" s="2"/>
      <c r="D137" s="223"/>
      <c r="E137" s="231">
        <v>0</v>
      </c>
      <c r="G137" s="114" t="s">
        <v>102</v>
      </c>
      <c r="H137" s="2"/>
      <c r="I137" s="223"/>
      <c r="J137" s="231">
        <v>67</v>
      </c>
      <c r="L137" s="114" t="s">
        <v>102</v>
      </c>
      <c r="M137" s="2"/>
      <c r="N137" s="223"/>
      <c r="O137" s="231">
        <v>156</v>
      </c>
    </row>
    <row r="138" spans="2:15" ht="15.6" thickTop="1" thickBot="1" x14ac:dyDescent="0.35">
      <c r="B138" s="119" t="s">
        <v>100</v>
      </c>
      <c r="C138" s="120"/>
      <c r="D138" s="225"/>
      <c r="E138" s="227">
        <v>1618</v>
      </c>
      <c r="G138" s="119" t="s">
        <v>100</v>
      </c>
      <c r="H138" s="120"/>
      <c r="I138" s="225"/>
      <c r="J138" s="227">
        <v>1885</v>
      </c>
      <c r="L138" s="119" t="s">
        <v>100</v>
      </c>
      <c r="M138" s="120"/>
      <c r="N138" s="225"/>
      <c r="O138" s="227">
        <v>2224</v>
      </c>
    </row>
    <row r="139" spans="2:15" ht="15.6" thickTop="1" thickBot="1" x14ac:dyDescent="0.35">
      <c r="B139" s="119" t="s">
        <v>105</v>
      </c>
      <c r="C139" s="120"/>
      <c r="D139" s="225"/>
      <c r="E139" s="253">
        <v>1373.0100000000002</v>
      </c>
      <c r="G139" s="119" t="s">
        <v>105</v>
      </c>
      <c r="H139" s="120"/>
      <c r="I139" s="225"/>
      <c r="J139" s="253">
        <v>1857.0100000000002</v>
      </c>
      <c r="L139" s="119" t="s">
        <v>105</v>
      </c>
      <c r="M139" s="120"/>
      <c r="N139" s="225"/>
      <c r="O139" s="253">
        <v>2107.0100000000002</v>
      </c>
    </row>
    <row r="140" spans="2:15" ht="15.6" thickTop="1" thickBot="1" x14ac:dyDescent="0.35"/>
    <row r="141" spans="2:15" ht="15.6" thickTop="1" thickBot="1" x14ac:dyDescent="0.35">
      <c r="B141" s="291" t="s">
        <v>98</v>
      </c>
      <c r="C141" s="292"/>
      <c r="D141" s="293"/>
      <c r="E141" s="140">
        <v>44788</v>
      </c>
      <c r="G141" s="291" t="s">
        <v>98</v>
      </c>
      <c r="H141" s="292"/>
      <c r="I141" s="293"/>
      <c r="J141" s="140">
        <v>44788</v>
      </c>
      <c r="L141" s="291" t="s">
        <v>98</v>
      </c>
      <c r="M141" s="292"/>
      <c r="N141" s="293"/>
      <c r="O141" s="140">
        <v>44788</v>
      </c>
    </row>
    <row r="142" spans="2:15" ht="15.6" thickTop="1" thickBot="1" x14ac:dyDescent="0.35">
      <c r="B142" s="294"/>
      <c r="C142" s="295"/>
      <c r="D142" s="296"/>
      <c r="E142" s="140">
        <v>45245</v>
      </c>
      <c r="G142" s="294"/>
      <c r="H142" s="295"/>
      <c r="I142" s="296"/>
      <c r="J142" s="140">
        <v>45275</v>
      </c>
      <c r="L142" s="294"/>
      <c r="M142" s="295"/>
      <c r="N142" s="296"/>
      <c r="O142" s="140">
        <v>45306</v>
      </c>
    </row>
    <row r="143" spans="2:15" ht="15.6" thickTop="1" thickBot="1" x14ac:dyDescent="0.35">
      <c r="B143" s="114" t="s">
        <v>97</v>
      </c>
      <c r="C143" s="2"/>
      <c r="D143" s="2"/>
      <c r="E143" s="209">
        <v>2080</v>
      </c>
      <c r="G143" s="114" t="s">
        <v>97</v>
      </c>
      <c r="H143" s="2"/>
      <c r="I143" s="2"/>
      <c r="J143" s="209">
        <v>2210</v>
      </c>
      <c r="L143" s="114" t="s">
        <v>97</v>
      </c>
      <c r="M143" s="2"/>
      <c r="N143" s="2"/>
      <c r="O143" s="209">
        <v>2340</v>
      </c>
    </row>
    <row r="144" spans="2:15" ht="15.6" thickTop="1" thickBot="1" x14ac:dyDescent="0.35">
      <c r="B144" s="115" t="s">
        <v>188</v>
      </c>
      <c r="C144" s="116"/>
      <c r="D144" s="116"/>
      <c r="E144" s="217"/>
      <c r="G144" s="115" t="s">
        <v>188</v>
      </c>
      <c r="H144" s="116"/>
      <c r="I144" s="116"/>
      <c r="J144" s="217"/>
      <c r="L144" s="115" t="s">
        <v>188</v>
      </c>
      <c r="M144" s="116"/>
      <c r="N144" s="116"/>
      <c r="O144" s="217"/>
    </row>
    <row r="145" spans="2:15" ht="15" thickTop="1" x14ac:dyDescent="0.3">
      <c r="B145" s="215" t="s">
        <v>255</v>
      </c>
      <c r="C145" s="2"/>
      <c r="D145" s="2"/>
      <c r="E145" s="208">
        <v>6810</v>
      </c>
      <c r="G145" s="215" t="s">
        <v>255</v>
      </c>
      <c r="H145" s="2"/>
      <c r="I145" s="2"/>
      <c r="J145" s="208">
        <v>6810</v>
      </c>
      <c r="L145" s="215" t="s">
        <v>255</v>
      </c>
      <c r="M145" s="2"/>
      <c r="N145" s="2"/>
      <c r="O145" s="208">
        <v>7310</v>
      </c>
    </row>
    <row r="146" spans="2:15" x14ac:dyDescent="0.3">
      <c r="B146" s="216" t="s">
        <v>256</v>
      </c>
      <c r="C146" s="2"/>
      <c r="D146" s="2"/>
      <c r="E146" s="123">
        <v>100</v>
      </c>
      <c r="G146" s="216" t="s">
        <v>256</v>
      </c>
      <c r="H146" s="2"/>
      <c r="I146" s="2"/>
      <c r="J146" s="123">
        <v>100</v>
      </c>
      <c r="L146" s="216" t="s">
        <v>256</v>
      </c>
      <c r="M146" s="2"/>
      <c r="N146" s="2"/>
      <c r="O146" s="123">
        <v>100</v>
      </c>
    </row>
    <row r="147" spans="2:15" x14ac:dyDescent="0.3">
      <c r="B147" s="114" t="s">
        <v>109</v>
      </c>
      <c r="C147" s="2"/>
      <c r="D147" s="2"/>
      <c r="E147" s="124">
        <v>450</v>
      </c>
      <c r="G147" s="114" t="s">
        <v>109</v>
      </c>
      <c r="H147" s="2"/>
      <c r="I147" s="2"/>
      <c r="J147" s="124">
        <v>0</v>
      </c>
      <c r="L147" s="114" t="s">
        <v>109</v>
      </c>
      <c r="M147" s="2"/>
      <c r="N147" s="2"/>
      <c r="O147" s="124">
        <v>500</v>
      </c>
    </row>
    <row r="148" spans="2:15" x14ac:dyDescent="0.3">
      <c r="B148" s="216" t="s">
        <v>257</v>
      </c>
      <c r="C148" s="2"/>
      <c r="D148" s="2"/>
      <c r="E148" s="218">
        <v>494</v>
      </c>
      <c r="G148" s="216" t="s">
        <v>257</v>
      </c>
      <c r="H148" s="2"/>
      <c r="I148" s="2"/>
      <c r="J148" s="218">
        <v>494</v>
      </c>
      <c r="L148" s="216" t="s">
        <v>257</v>
      </c>
      <c r="M148" s="2"/>
      <c r="N148" s="2"/>
      <c r="O148" s="218">
        <v>514</v>
      </c>
    </row>
    <row r="149" spans="2:15" ht="15" thickBot="1" x14ac:dyDescent="0.35">
      <c r="B149" s="114" t="s">
        <v>111</v>
      </c>
      <c r="C149" s="2"/>
      <c r="D149" s="2"/>
      <c r="E149" s="124">
        <v>36</v>
      </c>
      <c r="G149" s="114" t="s">
        <v>111</v>
      </c>
      <c r="H149" s="2"/>
      <c r="I149" s="2"/>
      <c r="J149" s="124">
        <v>0</v>
      </c>
      <c r="L149" s="114" t="s">
        <v>111</v>
      </c>
      <c r="M149" s="2"/>
      <c r="N149" s="2"/>
      <c r="O149" s="124">
        <v>20</v>
      </c>
    </row>
    <row r="150" spans="2:15" ht="15.6" thickTop="1" thickBot="1" x14ac:dyDescent="0.35">
      <c r="B150" s="219" t="s">
        <v>41</v>
      </c>
      <c r="C150" s="116"/>
      <c r="D150" s="116"/>
      <c r="E150" s="217"/>
      <c r="G150" s="219" t="s">
        <v>41</v>
      </c>
      <c r="H150" s="116"/>
      <c r="I150" s="116"/>
      <c r="J150" s="217"/>
      <c r="L150" s="219" t="s">
        <v>41</v>
      </c>
      <c r="M150" s="116"/>
      <c r="N150" s="116"/>
      <c r="O150" s="217"/>
    </row>
    <row r="151" spans="2:15" ht="15" thickTop="1" x14ac:dyDescent="0.3">
      <c r="B151" s="114" t="s">
        <v>107</v>
      </c>
      <c r="C151" s="2"/>
      <c r="D151" s="2"/>
      <c r="E151" s="123">
        <v>4717.13</v>
      </c>
      <c r="G151" s="114" t="s">
        <v>107</v>
      </c>
      <c r="H151" s="2"/>
      <c r="I151" s="2"/>
      <c r="J151" s="123">
        <v>4849.2700000000004</v>
      </c>
      <c r="L151" s="114" t="s">
        <v>107</v>
      </c>
      <c r="M151" s="2"/>
      <c r="N151" s="2"/>
      <c r="O151" s="123">
        <v>5281.4100000000008</v>
      </c>
    </row>
    <row r="152" spans="2:15" x14ac:dyDescent="0.3">
      <c r="B152" s="114" t="s">
        <v>110</v>
      </c>
      <c r="C152" s="2"/>
      <c r="D152" s="2"/>
      <c r="E152" s="124">
        <v>132.13999999999999</v>
      </c>
      <c r="G152" s="114" t="s">
        <v>110</v>
      </c>
      <c r="H152" s="2"/>
      <c r="I152" s="2"/>
      <c r="J152" s="124">
        <v>132.13999999999999</v>
      </c>
      <c r="L152" s="114" t="s">
        <v>110</v>
      </c>
      <c r="M152" s="2"/>
      <c r="N152" s="2"/>
      <c r="O152" s="124">
        <v>432.14</v>
      </c>
    </row>
    <row r="153" spans="2:15" ht="15" thickBot="1" x14ac:dyDescent="0.35">
      <c r="B153" s="128" t="s">
        <v>101</v>
      </c>
      <c r="C153" s="127"/>
      <c r="D153" s="118"/>
      <c r="E153" s="126">
        <v>2092.87</v>
      </c>
      <c r="G153" s="128" t="s">
        <v>101</v>
      </c>
      <c r="H153" s="127"/>
      <c r="I153" s="118"/>
      <c r="J153" s="126">
        <v>1960.7299999999996</v>
      </c>
      <c r="L153" s="128" t="s">
        <v>101</v>
      </c>
      <c r="M153" s="127"/>
      <c r="N153" s="118"/>
      <c r="O153" s="126">
        <v>2028.5899999999992</v>
      </c>
    </row>
    <row r="154" spans="2:15" ht="15" thickTop="1" x14ac:dyDescent="0.3">
      <c r="B154" s="114" t="s">
        <v>108</v>
      </c>
      <c r="C154" s="2"/>
      <c r="D154" s="2"/>
      <c r="E154" s="123">
        <v>318</v>
      </c>
      <c r="G154" s="114" t="s">
        <v>108</v>
      </c>
      <c r="H154" s="2"/>
      <c r="I154" s="2"/>
      <c r="J154" s="123">
        <v>363</v>
      </c>
      <c r="L154" s="114" t="s">
        <v>108</v>
      </c>
      <c r="M154" s="2"/>
      <c r="N154" s="2"/>
      <c r="O154" s="123">
        <v>412</v>
      </c>
    </row>
    <row r="155" spans="2:15" x14ac:dyDescent="0.3">
      <c r="B155" s="114" t="s">
        <v>112</v>
      </c>
      <c r="C155" s="2"/>
      <c r="D155" s="2"/>
      <c r="E155" s="124">
        <v>36</v>
      </c>
      <c r="G155" s="114" t="s">
        <v>112</v>
      </c>
      <c r="H155" s="2"/>
      <c r="I155" s="2"/>
      <c r="J155" s="124">
        <v>45</v>
      </c>
      <c r="L155" s="114" t="s">
        <v>112</v>
      </c>
      <c r="M155" s="2"/>
      <c r="N155" s="2"/>
      <c r="O155" s="124">
        <v>49</v>
      </c>
    </row>
    <row r="156" spans="2:15" ht="15" thickBot="1" x14ac:dyDescent="0.35">
      <c r="B156" s="128" t="s">
        <v>104</v>
      </c>
      <c r="C156" s="118"/>
      <c r="D156" s="118"/>
      <c r="E156" s="126">
        <v>176</v>
      </c>
      <c r="G156" s="128" t="s">
        <v>104</v>
      </c>
      <c r="H156" s="118"/>
      <c r="I156" s="118"/>
      <c r="J156" s="126">
        <v>131</v>
      </c>
      <c r="L156" s="128" t="s">
        <v>104</v>
      </c>
      <c r="M156" s="118"/>
      <c r="N156" s="118"/>
      <c r="O156" s="126">
        <v>102</v>
      </c>
    </row>
    <row r="157" spans="2:15" ht="15.6" thickTop="1" thickBot="1" x14ac:dyDescent="0.35">
      <c r="B157" s="115" t="s">
        <v>258</v>
      </c>
      <c r="C157" s="220"/>
      <c r="D157" s="116"/>
      <c r="E157" s="224"/>
      <c r="G157" s="115" t="s">
        <v>258</v>
      </c>
      <c r="H157" s="220"/>
      <c r="I157" s="116"/>
      <c r="J157" s="224"/>
      <c r="L157" s="115" t="s">
        <v>258</v>
      </c>
      <c r="M157" s="220"/>
      <c r="N157" s="116"/>
      <c r="O157" s="224"/>
    </row>
    <row r="158" spans="2:15" ht="15" thickTop="1" x14ac:dyDescent="0.3">
      <c r="B158" s="114" t="s">
        <v>259</v>
      </c>
      <c r="C158" s="210"/>
      <c r="D158" s="2"/>
      <c r="E158" s="125">
        <v>11.5</v>
      </c>
      <c r="G158" s="114" t="s">
        <v>259</v>
      </c>
      <c r="H158" s="210"/>
      <c r="I158" s="2"/>
      <c r="J158" s="125">
        <v>11.5</v>
      </c>
      <c r="L158" s="114" t="s">
        <v>259</v>
      </c>
      <c r="M158" s="210"/>
      <c r="N158" s="2"/>
      <c r="O158" s="125">
        <v>11.5</v>
      </c>
    </row>
    <row r="159" spans="2:15" x14ac:dyDescent="0.3">
      <c r="B159" s="114" t="s">
        <v>282</v>
      </c>
      <c r="C159" s="221"/>
      <c r="D159" s="222"/>
      <c r="E159" s="123">
        <v>250</v>
      </c>
      <c r="G159" s="114" t="s">
        <v>282</v>
      </c>
      <c r="H159" s="221"/>
      <c r="I159" s="222"/>
      <c r="J159" s="123">
        <v>250</v>
      </c>
      <c r="L159" s="114" t="s">
        <v>282</v>
      </c>
      <c r="M159" s="221"/>
      <c r="N159" s="222"/>
      <c r="O159" s="123">
        <v>250</v>
      </c>
    </row>
    <row r="160" spans="2:15" x14ac:dyDescent="0.3">
      <c r="B160" s="114" t="s">
        <v>281</v>
      </c>
      <c r="C160" s="221"/>
      <c r="D160" s="222"/>
      <c r="E160" s="123">
        <v>0</v>
      </c>
      <c r="G160" s="114" t="s">
        <v>281</v>
      </c>
      <c r="H160" s="221"/>
      <c r="I160" s="222"/>
      <c r="J160" s="123">
        <v>0</v>
      </c>
      <c r="L160" s="114" t="s">
        <v>281</v>
      </c>
      <c r="M160" s="221"/>
      <c r="N160" s="222"/>
      <c r="O160" s="123">
        <v>10</v>
      </c>
    </row>
    <row r="161" spans="2:15" x14ac:dyDescent="0.3">
      <c r="B161" s="114" t="s">
        <v>99</v>
      </c>
      <c r="C161" s="2"/>
      <c r="D161" s="2"/>
      <c r="E161" s="122">
        <v>1980</v>
      </c>
      <c r="G161" s="114" t="s">
        <v>99</v>
      </c>
      <c r="H161" s="2"/>
      <c r="I161" s="2"/>
      <c r="J161" s="122">
        <v>2110</v>
      </c>
      <c r="L161" s="114" t="s">
        <v>99</v>
      </c>
      <c r="M161" s="2"/>
      <c r="N161" s="2"/>
      <c r="O161" s="122">
        <v>2240</v>
      </c>
    </row>
    <row r="162" spans="2:15" x14ac:dyDescent="0.3">
      <c r="B162" s="114" t="s">
        <v>106</v>
      </c>
      <c r="C162" s="2"/>
      <c r="D162" s="2"/>
      <c r="E162" s="121">
        <v>152.30769230769232</v>
      </c>
      <c r="G162" s="114" t="s">
        <v>106</v>
      </c>
      <c r="H162" s="2"/>
      <c r="I162" s="2"/>
      <c r="J162" s="121">
        <v>162.30769230769232</v>
      </c>
      <c r="L162" s="114" t="s">
        <v>106</v>
      </c>
      <c r="M162" s="2"/>
      <c r="N162" s="2"/>
      <c r="O162" s="121">
        <v>172.30769230769232</v>
      </c>
    </row>
    <row r="163" spans="2:15" x14ac:dyDescent="0.3">
      <c r="B163" s="114" t="s">
        <v>268</v>
      </c>
      <c r="C163" s="2"/>
      <c r="D163" s="2"/>
      <c r="E163" s="122">
        <v>255.5</v>
      </c>
      <c r="G163" s="114" t="s">
        <v>268</v>
      </c>
      <c r="H163" s="2"/>
      <c r="I163" s="2"/>
      <c r="J163" s="122">
        <v>255.5</v>
      </c>
      <c r="L163" s="114" t="s">
        <v>268</v>
      </c>
      <c r="M163" s="2"/>
      <c r="N163" s="2"/>
      <c r="O163" s="122">
        <v>265.5</v>
      </c>
    </row>
    <row r="164" spans="2:15" ht="15" thickBot="1" x14ac:dyDescent="0.35">
      <c r="B164" s="114" t="s">
        <v>102</v>
      </c>
      <c r="C164" s="2"/>
      <c r="D164" s="223"/>
      <c r="E164" s="231">
        <v>5.65</v>
      </c>
      <c r="G164" s="114" t="s">
        <v>102</v>
      </c>
      <c r="H164" s="2"/>
      <c r="I164" s="223"/>
      <c r="J164" s="231">
        <v>312.78999999999996</v>
      </c>
      <c r="L164" s="114" t="s">
        <v>102</v>
      </c>
      <c r="M164" s="2"/>
      <c r="N164" s="223"/>
      <c r="O164" s="231">
        <v>323.93</v>
      </c>
    </row>
    <row r="165" spans="2:15" ht="15.6" thickTop="1" thickBot="1" x14ac:dyDescent="0.35">
      <c r="B165" s="119" t="s">
        <v>100</v>
      </c>
      <c r="C165" s="120"/>
      <c r="D165" s="225"/>
      <c r="E165" s="227">
        <v>2241.15</v>
      </c>
      <c r="G165" s="119" t="s">
        <v>100</v>
      </c>
      <c r="H165" s="120"/>
      <c r="I165" s="225"/>
      <c r="J165" s="227">
        <v>2404.5199999999995</v>
      </c>
      <c r="L165" s="119" t="s">
        <v>100</v>
      </c>
      <c r="M165" s="120"/>
      <c r="N165" s="225"/>
      <c r="O165" s="227">
        <v>2829.43</v>
      </c>
    </row>
    <row r="166" spans="2:15" ht="15.6" thickTop="1" thickBot="1" x14ac:dyDescent="0.35">
      <c r="B166" s="119" t="s">
        <v>105</v>
      </c>
      <c r="C166" s="120"/>
      <c r="D166" s="225"/>
      <c r="E166" s="253">
        <v>2274.52</v>
      </c>
      <c r="G166" s="119" t="s">
        <v>105</v>
      </c>
      <c r="H166" s="120"/>
      <c r="I166" s="225"/>
      <c r="J166" s="253">
        <v>2365.5</v>
      </c>
      <c r="L166" s="119" t="s">
        <v>105</v>
      </c>
      <c r="M166" s="120"/>
      <c r="N166" s="225"/>
      <c r="O166" s="253">
        <v>2720.0199999999991</v>
      </c>
    </row>
    <row r="167" spans="2:15" ht="15.6" thickTop="1" thickBot="1" x14ac:dyDescent="0.35"/>
    <row r="168" spans="2:15" ht="15.6" thickTop="1" thickBot="1" x14ac:dyDescent="0.35">
      <c r="B168" s="291" t="s">
        <v>98</v>
      </c>
      <c r="C168" s="292"/>
      <c r="D168" s="293"/>
      <c r="E168" s="140">
        <v>44788</v>
      </c>
      <c r="G168" s="291" t="s">
        <v>98</v>
      </c>
      <c r="H168" s="292"/>
      <c r="I168" s="293"/>
      <c r="J168" s="140">
        <v>44788</v>
      </c>
      <c r="L168" s="291" t="s">
        <v>98</v>
      </c>
      <c r="M168" s="292"/>
      <c r="N168" s="293"/>
      <c r="O168" s="140">
        <v>44788</v>
      </c>
    </row>
    <row r="169" spans="2:15" ht="15.6" thickTop="1" thickBot="1" x14ac:dyDescent="0.35">
      <c r="B169" s="294"/>
      <c r="C169" s="295"/>
      <c r="D169" s="296"/>
      <c r="E169" s="140">
        <v>45337</v>
      </c>
      <c r="G169" s="294"/>
      <c r="H169" s="295"/>
      <c r="I169" s="296"/>
      <c r="J169" s="140">
        <v>45366</v>
      </c>
      <c r="L169" s="294"/>
      <c r="M169" s="295"/>
      <c r="N169" s="296"/>
      <c r="O169" s="140">
        <v>45397</v>
      </c>
    </row>
    <row r="170" spans="2:15" ht="15.6" thickTop="1" thickBot="1" x14ac:dyDescent="0.35">
      <c r="B170" s="114" t="s">
        <v>97</v>
      </c>
      <c r="C170" s="2"/>
      <c r="D170" s="2"/>
      <c r="E170" s="209">
        <v>2470</v>
      </c>
      <c r="G170" s="114" t="s">
        <v>97</v>
      </c>
      <c r="H170" s="2"/>
      <c r="I170" s="2"/>
      <c r="J170" s="209">
        <v>2600</v>
      </c>
      <c r="L170" s="114" t="s">
        <v>97</v>
      </c>
      <c r="M170" s="2"/>
      <c r="N170" s="2"/>
      <c r="O170" s="209">
        <v>2730</v>
      </c>
    </row>
    <row r="171" spans="2:15" ht="15.6" thickTop="1" thickBot="1" x14ac:dyDescent="0.35">
      <c r="B171" s="115" t="s">
        <v>188</v>
      </c>
      <c r="C171" s="116"/>
      <c r="D171" s="116"/>
      <c r="E171" s="217"/>
      <c r="G171" s="115" t="s">
        <v>188</v>
      </c>
      <c r="H171" s="116"/>
      <c r="I171" s="116"/>
      <c r="J171" s="217"/>
      <c r="L171" s="115" t="s">
        <v>188</v>
      </c>
      <c r="M171" s="116"/>
      <c r="N171" s="116"/>
      <c r="O171" s="217"/>
    </row>
    <row r="172" spans="2:15" ht="15" thickTop="1" x14ac:dyDescent="0.3">
      <c r="B172" s="215" t="s">
        <v>255</v>
      </c>
      <c r="C172" s="2"/>
      <c r="D172" s="2"/>
      <c r="E172" s="208">
        <v>8010</v>
      </c>
      <c r="G172" s="215" t="s">
        <v>255</v>
      </c>
      <c r="H172" s="2"/>
      <c r="I172" s="2"/>
      <c r="J172" s="208">
        <v>10210</v>
      </c>
      <c r="L172" s="215" t="s">
        <v>255</v>
      </c>
      <c r="M172" s="2"/>
      <c r="N172" s="2"/>
      <c r="O172" s="208">
        <v>10360</v>
      </c>
    </row>
    <row r="173" spans="2:15" x14ac:dyDescent="0.3">
      <c r="B173" s="216" t="s">
        <v>256</v>
      </c>
      <c r="C173" s="2"/>
      <c r="D173" s="2"/>
      <c r="E173" s="123">
        <v>100</v>
      </c>
      <c r="G173" s="216" t="s">
        <v>256</v>
      </c>
      <c r="H173" s="2"/>
      <c r="I173" s="2"/>
      <c r="J173" s="123">
        <v>100</v>
      </c>
      <c r="L173" s="216" t="s">
        <v>256</v>
      </c>
      <c r="M173" s="2"/>
      <c r="N173" s="2"/>
      <c r="O173" s="123">
        <v>200</v>
      </c>
    </row>
    <row r="174" spans="2:15" x14ac:dyDescent="0.3">
      <c r="B174" s="114" t="s">
        <v>109</v>
      </c>
      <c r="C174" s="2"/>
      <c r="D174" s="2"/>
      <c r="E174" s="124">
        <v>600</v>
      </c>
      <c r="G174" s="114" t="s">
        <v>109</v>
      </c>
      <c r="H174" s="2"/>
      <c r="I174" s="2"/>
      <c r="J174" s="124">
        <v>2100</v>
      </c>
      <c r="L174" s="114" t="s">
        <v>109</v>
      </c>
      <c r="M174" s="2"/>
      <c r="N174" s="2"/>
      <c r="O174" s="124">
        <v>150</v>
      </c>
    </row>
    <row r="175" spans="2:15" x14ac:dyDescent="0.3">
      <c r="B175" s="216" t="s">
        <v>257</v>
      </c>
      <c r="C175" s="2"/>
      <c r="D175" s="2"/>
      <c r="E175" s="218">
        <v>584</v>
      </c>
      <c r="G175" s="216" t="s">
        <v>257</v>
      </c>
      <c r="H175" s="2"/>
      <c r="I175" s="2"/>
      <c r="J175" s="218">
        <v>978</v>
      </c>
      <c r="L175" s="216" t="s">
        <v>257</v>
      </c>
      <c r="M175" s="2"/>
      <c r="N175" s="2"/>
      <c r="O175" s="218">
        <v>987</v>
      </c>
    </row>
    <row r="176" spans="2:15" ht="15" thickBot="1" x14ac:dyDescent="0.35">
      <c r="B176" s="114" t="s">
        <v>111</v>
      </c>
      <c r="C176" s="2"/>
      <c r="D176" s="2"/>
      <c r="E176" s="124">
        <v>60</v>
      </c>
      <c r="G176" s="114" t="s">
        <v>111</v>
      </c>
      <c r="H176" s="2"/>
      <c r="I176" s="2"/>
      <c r="J176" s="124">
        <v>386</v>
      </c>
      <c r="L176" s="114" t="s">
        <v>111</v>
      </c>
      <c r="M176" s="2"/>
      <c r="N176" s="2"/>
      <c r="O176" s="124">
        <v>9</v>
      </c>
    </row>
    <row r="177" spans="2:15" ht="15.6" thickTop="1" thickBot="1" x14ac:dyDescent="0.35">
      <c r="B177" s="219" t="s">
        <v>41</v>
      </c>
      <c r="C177" s="116"/>
      <c r="D177" s="116"/>
      <c r="E177" s="217"/>
      <c r="G177" s="219" t="s">
        <v>41</v>
      </c>
      <c r="H177" s="116"/>
      <c r="I177" s="116"/>
      <c r="J177" s="217"/>
      <c r="L177" s="219" t="s">
        <v>41</v>
      </c>
      <c r="M177" s="116"/>
      <c r="N177" s="116"/>
      <c r="O177" s="217"/>
    </row>
    <row r="178" spans="2:15" ht="15" thickTop="1" x14ac:dyDescent="0.3">
      <c r="B178" s="114" t="s">
        <v>107</v>
      </c>
      <c r="C178" s="2"/>
      <c r="D178" s="2"/>
      <c r="E178" s="123">
        <v>5938.5500000000011</v>
      </c>
      <c r="G178" s="114" t="s">
        <v>107</v>
      </c>
      <c r="H178" s="2"/>
      <c r="I178" s="2"/>
      <c r="J178" s="123">
        <v>7440.6900000000014</v>
      </c>
      <c r="L178" s="114" t="s">
        <v>107</v>
      </c>
      <c r="M178" s="2"/>
      <c r="N178" s="2"/>
      <c r="O178" s="123">
        <v>7912.8300000000017</v>
      </c>
    </row>
    <row r="179" spans="2:15" x14ac:dyDescent="0.3">
      <c r="B179" s="114" t="s">
        <v>110</v>
      </c>
      <c r="C179" s="2"/>
      <c r="D179" s="2"/>
      <c r="E179" s="124">
        <v>657.14</v>
      </c>
      <c r="G179" s="114" t="s">
        <v>110</v>
      </c>
      <c r="H179" s="2"/>
      <c r="I179" s="2"/>
      <c r="J179" s="124">
        <v>1502.1399999999999</v>
      </c>
      <c r="L179" s="114" t="s">
        <v>110</v>
      </c>
      <c r="M179" s="2"/>
      <c r="N179" s="2"/>
      <c r="O179" s="124">
        <v>472.14</v>
      </c>
    </row>
    <row r="180" spans="2:15" ht="15" thickBot="1" x14ac:dyDescent="0.35">
      <c r="B180" s="128" t="s">
        <v>101</v>
      </c>
      <c r="C180" s="127"/>
      <c r="D180" s="118"/>
      <c r="E180" s="126">
        <v>2071.4499999999989</v>
      </c>
      <c r="G180" s="128" t="s">
        <v>101</v>
      </c>
      <c r="H180" s="127"/>
      <c r="I180" s="118"/>
      <c r="J180" s="126">
        <v>2769.3099999999986</v>
      </c>
      <c r="L180" s="128" t="s">
        <v>101</v>
      </c>
      <c r="M180" s="127"/>
      <c r="N180" s="118"/>
      <c r="O180" s="126">
        <v>2447.1699999999983</v>
      </c>
    </row>
    <row r="181" spans="2:15" ht="15" thickTop="1" x14ac:dyDescent="0.3">
      <c r="B181" s="114" t="s">
        <v>108</v>
      </c>
      <c r="C181" s="2"/>
      <c r="D181" s="2"/>
      <c r="E181" s="123">
        <v>458</v>
      </c>
      <c r="G181" s="114" t="s">
        <v>108</v>
      </c>
      <c r="H181" s="2"/>
      <c r="I181" s="2"/>
      <c r="J181" s="123">
        <v>506</v>
      </c>
      <c r="L181" s="114" t="s">
        <v>108</v>
      </c>
      <c r="M181" s="2"/>
      <c r="N181" s="2"/>
      <c r="O181" s="123">
        <v>570</v>
      </c>
    </row>
    <row r="182" spans="2:15" x14ac:dyDescent="0.3">
      <c r="B182" s="114" t="s">
        <v>112</v>
      </c>
      <c r="C182" s="2"/>
      <c r="D182" s="2"/>
      <c r="E182" s="124">
        <v>46</v>
      </c>
      <c r="G182" s="114" t="s">
        <v>112</v>
      </c>
      <c r="H182" s="2"/>
      <c r="I182" s="2"/>
      <c r="J182" s="124">
        <v>48</v>
      </c>
      <c r="L182" s="114" t="s">
        <v>112</v>
      </c>
      <c r="M182" s="2"/>
      <c r="N182" s="2"/>
      <c r="O182" s="124">
        <v>64</v>
      </c>
    </row>
    <row r="183" spans="2:15" ht="15" thickBot="1" x14ac:dyDescent="0.35">
      <c r="B183" s="128" t="s">
        <v>104</v>
      </c>
      <c r="C183" s="118"/>
      <c r="D183" s="118"/>
      <c r="E183" s="126">
        <v>126</v>
      </c>
      <c r="G183" s="128" t="s">
        <v>104</v>
      </c>
      <c r="H183" s="118"/>
      <c r="I183" s="118"/>
      <c r="J183" s="126">
        <v>472</v>
      </c>
      <c r="L183" s="128" t="s">
        <v>104</v>
      </c>
      <c r="M183" s="118"/>
      <c r="N183" s="118"/>
      <c r="O183" s="126">
        <v>417</v>
      </c>
    </row>
    <row r="184" spans="2:15" ht="15.6" thickTop="1" thickBot="1" x14ac:dyDescent="0.35">
      <c r="B184" s="115" t="s">
        <v>258</v>
      </c>
      <c r="C184" s="220"/>
      <c r="D184" s="116"/>
      <c r="E184" s="224"/>
      <c r="G184" s="115" t="s">
        <v>258</v>
      </c>
      <c r="H184" s="220"/>
      <c r="I184" s="116"/>
      <c r="J184" s="224"/>
      <c r="L184" s="115" t="s">
        <v>258</v>
      </c>
      <c r="M184" s="220"/>
      <c r="N184" s="116"/>
      <c r="O184" s="224"/>
    </row>
    <row r="185" spans="2:15" ht="15" thickTop="1" x14ac:dyDescent="0.3">
      <c r="B185" s="114" t="s">
        <v>259</v>
      </c>
      <c r="C185" s="210"/>
      <c r="D185" s="2"/>
      <c r="E185" s="125">
        <v>19.5</v>
      </c>
      <c r="G185" s="114" t="s">
        <v>259</v>
      </c>
      <c r="H185" s="210"/>
      <c r="I185" s="2"/>
      <c r="J185" s="125">
        <v>19.5</v>
      </c>
      <c r="L185" s="114" t="s">
        <v>259</v>
      </c>
      <c r="M185" s="210"/>
      <c r="N185" s="2"/>
      <c r="O185" s="125">
        <v>19.5</v>
      </c>
    </row>
    <row r="186" spans="2:15" x14ac:dyDescent="0.3">
      <c r="B186" s="114" t="s">
        <v>282</v>
      </c>
      <c r="C186" s="221"/>
      <c r="D186" s="222"/>
      <c r="E186" s="123">
        <v>250</v>
      </c>
      <c r="G186" s="114" t="s">
        <v>282</v>
      </c>
      <c r="H186" s="221"/>
      <c r="I186" s="222"/>
      <c r="J186" s="123">
        <v>250</v>
      </c>
      <c r="L186" s="114" t="s">
        <v>282</v>
      </c>
      <c r="M186" s="221"/>
      <c r="N186" s="222"/>
      <c r="O186" s="123">
        <v>250</v>
      </c>
    </row>
    <row r="187" spans="2:15" x14ac:dyDescent="0.3">
      <c r="B187" s="114" t="s">
        <v>281</v>
      </c>
      <c r="C187" s="221"/>
      <c r="D187" s="222"/>
      <c r="E187" s="123">
        <v>10</v>
      </c>
      <c r="G187" s="114" t="s">
        <v>281</v>
      </c>
      <c r="H187" s="221"/>
      <c r="I187" s="222"/>
      <c r="J187" s="123">
        <v>16</v>
      </c>
      <c r="L187" s="114" t="s">
        <v>281</v>
      </c>
      <c r="M187" s="221"/>
      <c r="N187" s="222"/>
      <c r="O187" s="123">
        <v>16</v>
      </c>
    </row>
    <row r="188" spans="2:15" x14ac:dyDescent="0.3">
      <c r="B188" s="114" t="s">
        <v>99</v>
      </c>
      <c r="C188" s="2"/>
      <c r="D188" s="2"/>
      <c r="E188" s="122">
        <v>2370</v>
      </c>
      <c r="G188" s="114" t="s">
        <v>99</v>
      </c>
      <c r="H188" s="2"/>
      <c r="I188" s="2"/>
      <c r="J188" s="122">
        <v>2500</v>
      </c>
      <c r="L188" s="114" t="s">
        <v>99</v>
      </c>
      <c r="M188" s="2"/>
      <c r="N188" s="2"/>
      <c r="O188" s="122">
        <v>2530</v>
      </c>
    </row>
    <row r="189" spans="2:15" x14ac:dyDescent="0.3">
      <c r="B189" s="114" t="s">
        <v>106</v>
      </c>
      <c r="C189" s="2"/>
      <c r="D189" s="2"/>
      <c r="E189" s="121">
        <v>182.30769230769232</v>
      </c>
      <c r="G189" s="114" t="s">
        <v>106</v>
      </c>
      <c r="H189" s="2"/>
      <c r="I189" s="2"/>
      <c r="J189" s="121">
        <v>192.30769230769232</v>
      </c>
      <c r="L189" s="114" t="s">
        <v>106</v>
      </c>
      <c r="M189" s="2"/>
      <c r="N189" s="2"/>
      <c r="O189" s="121">
        <v>194.61538461538461</v>
      </c>
    </row>
    <row r="190" spans="2:15" x14ac:dyDescent="0.3">
      <c r="B190" s="114" t="s">
        <v>268</v>
      </c>
      <c r="C190" s="2"/>
      <c r="D190" s="2"/>
      <c r="E190" s="122">
        <v>343.5</v>
      </c>
      <c r="G190" s="114" t="s">
        <v>268</v>
      </c>
      <c r="H190" s="2"/>
      <c r="I190" s="2"/>
      <c r="J190" s="122">
        <v>731.5</v>
      </c>
      <c r="L190" s="114" t="s">
        <v>268</v>
      </c>
      <c r="M190" s="2"/>
      <c r="N190" s="2"/>
      <c r="O190" s="122">
        <v>740.5</v>
      </c>
    </row>
    <row r="191" spans="2:15" ht="15" thickBot="1" x14ac:dyDescent="0.35">
      <c r="B191" s="114" t="s">
        <v>102</v>
      </c>
      <c r="C191" s="2"/>
      <c r="D191" s="223"/>
      <c r="E191" s="231">
        <v>465.07</v>
      </c>
      <c r="G191" s="114" t="s">
        <v>102</v>
      </c>
      <c r="H191" s="2"/>
      <c r="I191" s="223"/>
      <c r="J191" s="231">
        <v>45.21</v>
      </c>
      <c r="L191" s="114" t="s">
        <v>102</v>
      </c>
      <c r="M191" s="2"/>
      <c r="N191" s="223"/>
      <c r="O191" s="231">
        <v>461.35</v>
      </c>
    </row>
    <row r="192" spans="2:15" ht="15.6" thickTop="1" thickBot="1" x14ac:dyDescent="0.35">
      <c r="B192" s="119" t="s">
        <v>100</v>
      </c>
      <c r="C192" s="120"/>
      <c r="D192" s="225"/>
      <c r="E192" s="227">
        <v>3178.57</v>
      </c>
      <c r="G192" s="119" t="s">
        <v>100</v>
      </c>
      <c r="H192" s="120"/>
      <c r="I192" s="225"/>
      <c r="J192" s="227">
        <v>3276.71</v>
      </c>
      <c r="L192" s="119" t="s">
        <v>100</v>
      </c>
      <c r="M192" s="120"/>
      <c r="N192" s="225"/>
      <c r="O192" s="227">
        <v>3731.85</v>
      </c>
    </row>
    <row r="193" spans="2:15" ht="15.6" thickTop="1" thickBot="1" x14ac:dyDescent="0.35">
      <c r="B193" s="119" t="s">
        <v>105</v>
      </c>
      <c r="C193" s="120"/>
      <c r="D193" s="225"/>
      <c r="E193" s="253">
        <v>3006.0199999999991</v>
      </c>
      <c r="G193" s="119" t="s">
        <v>105</v>
      </c>
      <c r="H193" s="120"/>
      <c r="I193" s="225"/>
      <c r="J193" s="253">
        <v>4018.0199999999986</v>
      </c>
      <c r="L193" s="119" t="s">
        <v>105</v>
      </c>
      <c r="M193" s="120"/>
      <c r="N193" s="225"/>
      <c r="O193" s="253">
        <v>3604.6699999999983</v>
      </c>
    </row>
    <row r="194" spans="2:15" ht="15.6" thickTop="1" thickBot="1" x14ac:dyDescent="0.35"/>
    <row r="195" spans="2:15" ht="15.6" thickTop="1" thickBot="1" x14ac:dyDescent="0.35">
      <c r="B195" s="291" t="s">
        <v>98</v>
      </c>
      <c r="C195" s="292"/>
      <c r="D195" s="293"/>
      <c r="E195" s="140">
        <v>44788</v>
      </c>
      <c r="G195" s="291" t="s">
        <v>98</v>
      </c>
      <c r="H195" s="292"/>
      <c r="I195" s="293"/>
      <c r="J195" s="140">
        <v>44788</v>
      </c>
      <c r="L195" s="291" t="s">
        <v>98</v>
      </c>
      <c r="M195" s="292"/>
      <c r="N195" s="293"/>
      <c r="O195" s="140">
        <v>44788</v>
      </c>
    </row>
    <row r="196" spans="2:15" ht="15.6" thickTop="1" thickBot="1" x14ac:dyDescent="0.35">
      <c r="B196" s="294"/>
      <c r="C196" s="295"/>
      <c r="D196" s="296"/>
      <c r="E196" s="140">
        <v>45427</v>
      </c>
      <c r="G196" s="294"/>
      <c r="H196" s="295"/>
      <c r="I196" s="296"/>
      <c r="J196" s="140">
        <v>45458</v>
      </c>
      <c r="L196" s="294"/>
      <c r="M196" s="295"/>
      <c r="N196" s="296"/>
      <c r="O196" s="140">
        <v>45488</v>
      </c>
    </row>
    <row r="197" spans="2:15" ht="15.6" thickTop="1" thickBot="1" x14ac:dyDescent="0.35">
      <c r="B197" s="114" t="s">
        <v>97</v>
      </c>
      <c r="C197" s="2"/>
      <c r="D197" s="2"/>
      <c r="E197" s="209">
        <v>2860</v>
      </c>
      <c r="G197" s="114" t="s">
        <v>97</v>
      </c>
      <c r="H197" s="2"/>
      <c r="I197" s="2"/>
      <c r="J197" s="209">
        <v>2990</v>
      </c>
      <c r="L197" s="114" t="s">
        <v>97</v>
      </c>
      <c r="M197" s="2"/>
      <c r="N197" s="2"/>
      <c r="O197" s="209">
        <v>3120</v>
      </c>
    </row>
    <row r="198" spans="2:15" ht="15.6" thickTop="1" thickBot="1" x14ac:dyDescent="0.35">
      <c r="B198" s="115" t="s">
        <v>188</v>
      </c>
      <c r="C198" s="116"/>
      <c r="D198" s="116"/>
      <c r="E198" s="217"/>
      <c r="G198" s="115" t="s">
        <v>188</v>
      </c>
      <c r="H198" s="116"/>
      <c r="I198" s="116"/>
      <c r="J198" s="217"/>
      <c r="L198" s="115" t="s">
        <v>188</v>
      </c>
      <c r="M198" s="116"/>
      <c r="N198" s="116"/>
      <c r="O198" s="217"/>
    </row>
    <row r="199" spans="2:15" ht="15" thickTop="1" x14ac:dyDescent="0.3">
      <c r="B199" s="215" t="s">
        <v>255</v>
      </c>
      <c r="C199" s="2"/>
      <c r="D199" s="2"/>
      <c r="E199" s="208">
        <v>11360</v>
      </c>
      <c r="G199" s="215" t="s">
        <v>255</v>
      </c>
      <c r="H199" s="2"/>
      <c r="I199" s="2"/>
      <c r="J199" s="208">
        <v>12360</v>
      </c>
      <c r="L199" s="215" t="s">
        <v>255</v>
      </c>
      <c r="M199" s="2"/>
      <c r="N199" s="2"/>
      <c r="O199" s="208">
        <v>13360</v>
      </c>
    </row>
    <row r="200" spans="2:15" x14ac:dyDescent="0.3">
      <c r="B200" s="216" t="s">
        <v>256</v>
      </c>
      <c r="C200" s="2"/>
      <c r="D200" s="2"/>
      <c r="E200" s="123">
        <v>200</v>
      </c>
      <c r="G200" s="216" t="s">
        <v>256</v>
      </c>
      <c r="H200" s="2"/>
      <c r="I200" s="2"/>
      <c r="J200" s="123">
        <v>200</v>
      </c>
      <c r="L200" s="216" t="s">
        <v>256</v>
      </c>
      <c r="M200" s="2"/>
      <c r="N200" s="2"/>
      <c r="O200" s="123">
        <v>200</v>
      </c>
    </row>
    <row r="201" spans="2:15" x14ac:dyDescent="0.3">
      <c r="B201" s="114" t="s">
        <v>109</v>
      </c>
      <c r="C201" s="2"/>
      <c r="D201" s="2"/>
      <c r="E201" s="124">
        <v>1000</v>
      </c>
      <c r="G201" s="114" t="s">
        <v>109</v>
      </c>
      <c r="H201" s="2"/>
      <c r="I201" s="2"/>
      <c r="J201" s="124">
        <v>1000</v>
      </c>
      <c r="L201" s="114" t="s">
        <v>109</v>
      </c>
      <c r="M201" s="2"/>
      <c r="N201" s="2"/>
      <c r="O201" s="124">
        <v>1000</v>
      </c>
    </row>
    <row r="202" spans="2:15" x14ac:dyDescent="0.3">
      <c r="B202" s="216" t="s">
        <v>257</v>
      </c>
      <c r="C202" s="2"/>
      <c r="D202" s="2"/>
      <c r="E202" s="218">
        <v>1103</v>
      </c>
      <c r="G202" s="216" t="s">
        <v>257</v>
      </c>
      <c r="H202" s="2"/>
      <c r="I202" s="2"/>
      <c r="J202" s="218">
        <v>1191</v>
      </c>
      <c r="L202" s="216" t="s">
        <v>257</v>
      </c>
      <c r="M202" s="2"/>
      <c r="N202" s="2"/>
      <c r="O202" s="218">
        <v>1361</v>
      </c>
    </row>
    <row r="203" spans="2:15" ht="15" thickBot="1" x14ac:dyDescent="0.35">
      <c r="B203" s="114" t="s">
        <v>111</v>
      </c>
      <c r="C203" s="2"/>
      <c r="D203" s="2"/>
      <c r="E203" s="124">
        <v>116</v>
      </c>
      <c r="G203" s="114" t="s">
        <v>111</v>
      </c>
      <c r="H203" s="2"/>
      <c r="I203" s="2"/>
      <c r="J203" s="124">
        <v>88</v>
      </c>
      <c r="L203" s="114" t="s">
        <v>111</v>
      </c>
      <c r="M203" s="2"/>
      <c r="N203" s="2"/>
      <c r="O203" s="124">
        <v>170</v>
      </c>
    </row>
    <row r="204" spans="2:15" ht="15.6" thickTop="1" thickBot="1" x14ac:dyDescent="0.35">
      <c r="B204" s="219" t="s">
        <v>41</v>
      </c>
      <c r="C204" s="116"/>
      <c r="D204" s="116"/>
      <c r="E204" s="217"/>
      <c r="G204" s="219" t="s">
        <v>41</v>
      </c>
      <c r="H204" s="116"/>
      <c r="I204" s="116"/>
      <c r="J204" s="217"/>
      <c r="L204" s="219" t="s">
        <v>41</v>
      </c>
      <c r="M204" s="116"/>
      <c r="N204" s="116"/>
      <c r="O204" s="217"/>
    </row>
    <row r="205" spans="2:15" ht="15" thickTop="1" x14ac:dyDescent="0.3">
      <c r="B205" s="114" t="s">
        <v>107</v>
      </c>
      <c r="C205" s="2"/>
      <c r="D205" s="2"/>
      <c r="E205" s="123">
        <v>8384.9700000000012</v>
      </c>
      <c r="G205" s="114" t="s">
        <v>107</v>
      </c>
      <c r="H205" s="2"/>
      <c r="I205" s="2"/>
      <c r="J205" s="123">
        <v>9085.6700000000019</v>
      </c>
      <c r="L205" s="114" t="s">
        <v>107</v>
      </c>
      <c r="M205" s="2"/>
      <c r="N205" s="2"/>
      <c r="O205" s="123">
        <v>9951.3700000000026</v>
      </c>
    </row>
    <row r="206" spans="2:15" x14ac:dyDescent="0.3">
      <c r="B206" s="114" t="s">
        <v>110</v>
      </c>
      <c r="C206" s="2"/>
      <c r="D206" s="2"/>
      <c r="E206" s="124">
        <v>472.14</v>
      </c>
      <c r="G206" s="114" t="s">
        <v>110</v>
      </c>
      <c r="H206" s="2"/>
      <c r="I206" s="2"/>
      <c r="J206" s="124">
        <v>700.7</v>
      </c>
      <c r="L206" s="114" t="s">
        <v>110</v>
      </c>
      <c r="M206" s="2"/>
      <c r="N206" s="2"/>
      <c r="O206" s="124">
        <v>865.7</v>
      </c>
    </row>
    <row r="207" spans="2:15" ht="15" thickBot="1" x14ac:dyDescent="0.35">
      <c r="B207" s="128" t="s">
        <v>101</v>
      </c>
      <c r="C207" s="127"/>
      <c r="D207" s="118"/>
      <c r="E207" s="126">
        <v>2975.0299999999988</v>
      </c>
      <c r="G207" s="128" t="s">
        <v>101</v>
      </c>
      <c r="H207" s="127"/>
      <c r="I207" s="118"/>
      <c r="J207" s="126">
        <v>3274.3299999999981</v>
      </c>
      <c r="L207" s="128" t="s">
        <v>101</v>
      </c>
      <c r="M207" s="127"/>
      <c r="N207" s="118"/>
      <c r="O207" s="126">
        <v>3408.6299999999974</v>
      </c>
    </row>
    <row r="208" spans="2:15" ht="15" thickTop="1" x14ac:dyDescent="0.3">
      <c r="B208" s="114" t="s">
        <v>108</v>
      </c>
      <c r="C208" s="2"/>
      <c r="D208" s="2"/>
      <c r="E208" s="123">
        <v>634</v>
      </c>
      <c r="G208" s="114" t="s">
        <v>108</v>
      </c>
      <c r="H208" s="2"/>
      <c r="I208" s="2"/>
      <c r="J208" s="123">
        <v>710</v>
      </c>
      <c r="L208" s="114" t="s">
        <v>108</v>
      </c>
      <c r="M208" s="2"/>
      <c r="N208" s="2"/>
      <c r="O208" s="123">
        <v>805</v>
      </c>
    </row>
    <row r="209" spans="2:15" x14ac:dyDescent="0.3">
      <c r="B209" s="114" t="s">
        <v>112</v>
      </c>
      <c r="C209" s="2"/>
      <c r="D209" s="2"/>
      <c r="E209" s="124">
        <v>64</v>
      </c>
      <c r="G209" s="114" t="s">
        <v>112</v>
      </c>
      <c r="H209" s="2"/>
      <c r="I209" s="2"/>
      <c r="J209" s="124">
        <v>76</v>
      </c>
      <c r="L209" s="114" t="s">
        <v>112</v>
      </c>
      <c r="M209" s="2"/>
      <c r="N209" s="2"/>
      <c r="O209" s="124">
        <v>95</v>
      </c>
    </row>
    <row r="210" spans="2:15" ht="15" thickBot="1" x14ac:dyDescent="0.35">
      <c r="B210" s="128" t="s">
        <v>104</v>
      </c>
      <c r="C210" s="118"/>
      <c r="D210" s="118"/>
      <c r="E210" s="126">
        <v>469</v>
      </c>
      <c r="G210" s="128" t="s">
        <v>104</v>
      </c>
      <c r="H210" s="118"/>
      <c r="I210" s="118"/>
      <c r="J210" s="126">
        <v>481</v>
      </c>
      <c r="L210" s="128" t="s">
        <v>104</v>
      </c>
      <c r="M210" s="118"/>
      <c r="N210" s="118"/>
      <c r="O210" s="126">
        <v>556</v>
      </c>
    </row>
    <row r="211" spans="2:15" ht="15.6" thickTop="1" thickBot="1" x14ac:dyDescent="0.35">
      <c r="B211" s="115" t="s">
        <v>258</v>
      </c>
      <c r="C211" s="220"/>
      <c r="D211" s="116"/>
      <c r="E211" s="224"/>
      <c r="G211" s="115" t="s">
        <v>258</v>
      </c>
      <c r="H211" s="220"/>
      <c r="I211" s="116"/>
      <c r="J211" s="224"/>
      <c r="L211" s="115" t="s">
        <v>258</v>
      </c>
      <c r="M211" s="220"/>
      <c r="N211" s="116"/>
      <c r="O211" s="224"/>
    </row>
    <row r="212" spans="2:15" ht="15" thickTop="1" x14ac:dyDescent="0.3">
      <c r="B212" s="114" t="s">
        <v>259</v>
      </c>
      <c r="C212" s="210"/>
      <c r="D212" s="2"/>
      <c r="E212" s="125">
        <v>23.5</v>
      </c>
      <c r="G212" s="114" t="s">
        <v>259</v>
      </c>
      <c r="H212" s="210"/>
      <c r="I212" s="2"/>
      <c r="J212" s="125">
        <v>23.5</v>
      </c>
      <c r="L212" s="114" t="s">
        <v>259</v>
      </c>
      <c r="M212" s="210"/>
      <c r="N212" s="2"/>
      <c r="O212" s="125">
        <v>23.5</v>
      </c>
    </row>
    <row r="213" spans="2:15" x14ac:dyDescent="0.3">
      <c r="B213" s="114" t="s">
        <v>282</v>
      </c>
      <c r="C213" s="221"/>
      <c r="D213" s="222"/>
      <c r="E213" s="123">
        <v>250</v>
      </c>
      <c r="G213" s="114" t="s">
        <v>282</v>
      </c>
      <c r="H213" s="221"/>
      <c r="I213" s="222"/>
      <c r="J213" s="123">
        <v>250</v>
      </c>
      <c r="L213" s="114" t="s">
        <v>282</v>
      </c>
      <c r="M213" s="221"/>
      <c r="N213" s="222"/>
      <c r="O213" s="123">
        <v>250</v>
      </c>
    </row>
    <row r="214" spans="2:15" x14ac:dyDescent="0.3">
      <c r="B214" s="114" t="s">
        <v>281</v>
      </c>
      <c r="C214" s="221"/>
      <c r="D214" s="222"/>
      <c r="E214" s="123">
        <v>16</v>
      </c>
      <c r="G214" s="114" t="s">
        <v>281</v>
      </c>
      <c r="H214" s="221"/>
      <c r="I214" s="222"/>
      <c r="J214" s="123">
        <v>24</v>
      </c>
      <c r="L214" s="114" t="s">
        <v>281</v>
      </c>
      <c r="M214" s="221"/>
      <c r="N214" s="222"/>
      <c r="O214" s="123">
        <v>24</v>
      </c>
    </row>
    <row r="215" spans="2:15" x14ac:dyDescent="0.3">
      <c r="B215" s="114" t="s">
        <v>99</v>
      </c>
      <c r="C215" s="2"/>
      <c r="D215" s="2"/>
      <c r="E215" s="122">
        <v>2660</v>
      </c>
      <c r="G215" s="114" t="s">
        <v>99</v>
      </c>
      <c r="H215" s="2"/>
      <c r="I215" s="2"/>
      <c r="J215" s="122">
        <v>2790</v>
      </c>
      <c r="L215" s="114" t="s">
        <v>99</v>
      </c>
      <c r="M215" s="2"/>
      <c r="N215" s="2"/>
      <c r="O215" s="122">
        <v>2920</v>
      </c>
    </row>
    <row r="216" spans="2:15" x14ac:dyDescent="0.3">
      <c r="B216" s="114" t="s">
        <v>106</v>
      </c>
      <c r="C216" s="2"/>
      <c r="D216" s="2"/>
      <c r="E216" s="121">
        <v>204.61538461538461</v>
      </c>
      <c r="G216" s="114" t="s">
        <v>106</v>
      </c>
      <c r="H216" s="2"/>
      <c r="I216" s="2"/>
      <c r="J216" s="121">
        <v>214.61538461538461</v>
      </c>
      <c r="L216" s="114" t="s">
        <v>106</v>
      </c>
      <c r="M216" s="2"/>
      <c r="N216" s="2"/>
      <c r="O216" s="121">
        <v>224.61538461538461</v>
      </c>
    </row>
    <row r="217" spans="2:15" x14ac:dyDescent="0.3">
      <c r="B217" s="114" t="s">
        <v>268</v>
      </c>
      <c r="C217" s="2"/>
      <c r="D217" s="2"/>
      <c r="E217" s="122">
        <v>860.5</v>
      </c>
      <c r="G217" s="114" t="s">
        <v>268</v>
      </c>
      <c r="H217" s="2"/>
      <c r="I217" s="2"/>
      <c r="J217" s="122">
        <v>940.5</v>
      </c>
      <c r="L217" s="114" t="s">
        <v>268</v>
      </c>
      <c r="M217" s="2"/>
      <c r="N217" s="2"/>
      <c r="O217" s="122">
        <v>1110.5</v>
      </c>
    </row>
    <row r="218" spans="2:15" ht="15" thickBot="1" x14ac:dyDescent="0.35">
      <c r="B218" s="114" t="s">
        <v>102</v>
      </c>
      <c r="C218" s="2"/>
      <c r="D218" s="223"/>
      <c r="E218" s="231">
        <v>131.49</v>
      </c>
      <c r="G218" s="114" t="s">
        <v>102</v>
      </c>
      <c r="H218" s="2"/>
      <c r="I218" s="223"/>
      <c r="J218" s="231">
        <v>38.19</v>
      </c>
      <c r="L218" s="114" t="s">
        <v>102</v>
      </c>
      <c r="M218" s="2"/>
      <c r="N218" s="223"/>
      <c r="O218" s="231">
        <v>128.9</v>
      </c>
    </row>
    <row r="219" spans="2:15" ht="15.6" thickTop="1" thickBot="1" x14ac:dyDescent="0.35">
      <c r="B219" s="119" t="s">
        <v>100</v>
      </c>
      <c r="C219" s="120"/>
      <c r="D219" s="225"/>
      <c r="E219" s="227">
        <v>3520.5</v>
      </c>
      <c r="G219" s="119" t="s">
        <v>100</v>
      </c>
      <c r="H219" s="120"/>
      <c r="I219" s="225"/>
      <c r="J219" s="227">
        <v>3793.5199999999982</v>
      </c>
      <c r="L219" s="119" t="s">
        <v>100</v>
      </c>
      <c r="M219" s="120"/>
      <c r="N219" s="225"/>
      <c r="O219" s="227">
        <v>4093.5299999999975</v>
      </c>
    </row>
    <row r="220" spans="2:15" ht="15.6" thickTop="1" thickBot="1" x14ac:dyDescent="0.35">
      <c r="B220" s="119" t="s">
        <v>105</v>
      </c>
      <c r="C220" s="120"/>
      <c r="D220" s="225"/>
      <c r="E220" s="253">
        <v>3575.5199999999986</v>
      </c>
      <c r="G220" s="119" t="s">
        <v>105</v>
      </c>
      <c r="H220" s="120"/>
      <c r="I220" s="225"/>
      <c r="J220" s="253">
        <v>3730.5</v>
      </c>
      <c r="L220" s="119" t="s">
        <v>105</v>
      </c>
      <c r="M220" s="120"/>
      <c r="N220" s="225"/>
      <c r="O220" s="253">
        <v>4030.5</v>
      </c>
    </row>
    <row r="221" spans="2:15" ht="15.6" thickTop="1" thickBot="1" x14ac:dyDescent="0.35"/>
    <row r="222" spans="2:15" ht="15.6" thickTop="1" thickBot="1" x14ac:dyDescent="0.35">
      <c r="B222" s="291" t="s">
        <v>98</v>
      </c>
      <c r="C222" s="292"/>
      <c r="D222" s="293"/>
      <c r="E222" s="140">
        <v>44788</v>
      </c>
      <c r="G222" s="291" t="s">
        <v>98</v>
      </c>
      <c r="H222" s="292"/>
      <c r="I222" s="293"/>
      <c r="J222" s="140">
        <v>44788</v>
      </c>
      <c r="L222" s="291" t="s">
        <v>98</v>
      </c>
      <c r="M222" s="292"/>
      <c r="N222" s="293"/>
      <c r="O222" s="140">
        <v>44788</v>
      </c>
    </row>
    <row r="223" spans="2:15" ht="15.6" thickTop="1" thickBot="1" x14ac:dyDescent="0.35">
      <c r="B223" s="294"/>
      <c r="C223" s="295"/>
      <c r="D223" s="296"/>
      <c r="E223" s="140">
        <v>45519</v>
      </c>
      <c r="G223" s="294"/>
      <c r="H223" s="295"/>
      <c r="I223" s="296"/>
      <c r="J223" s="140">
        <v>45550</v>
      </c>
      <c r="L223" s="294"/>
      <c r="M223" s="295"/>
      <c r="N223" s="296"/>
      <c r="O223" s="140">
        <v>45580</v>
      </c>
    </row>
    <row r="224" spans="2:15" ht="15.6" thickTop="1" thickBot="1" x14ac:dyDescent="0.35">
      <c r="B224" s="114" t="s">
        <v>97</v>
      </c>
      <c r="C224" s="2"/>
      <c r="D224" s="2"/>
      <c r="E224" s="209">
        <v>3250</v>
      </c>
      <c r="G224" s="114" t="s">
        <v>97</v>
      </c>
      <c r="H224" s="2"/>
      <c r="I224" s="2"/>
      <c r="J224" s="209">
        <v>3380</v>
      </c>
      <c r="L224" s="114" t="s">
        <v>97</v>
      </c>
      <c r="M224" s="2"/>
      <c r="N224" s="2"/>
      <c r="O224" s="209">
        <v>3510</v>
      </c>
    </row>
    <row r="225" spans="2:15" ht="15.6" thickTop="1" thickBot="1" x14ac:dyDescent="0.35">
      <c r="B225" s="115" t="s">
        <v>188</v>
      </c>
      <c r="C225" s="116"/>
      <c r="D225" s="116"/>
      <c r="E225" s="217"/>
      <c r="G225" s="115" t="s">
        <v>188</v>
      </c>
      <c r="H225" s="116"/>
      <c r="I225" s="116"/>
      <c r="J225" s="217"/>
      <c r="L225" s="115" t="s">
        <v>188</v>
      </c>
      <c r="M225" s="116"/>
      <c r="N225" s="116"/>
      <c r="O225" s="217"/>
    </row>
    <row r="226" spans="2:15" ht="15" thickTop="1" x14ac:dyDescent="0.3">
      <c r="B226" s="215" t="s">
        <v>255</v>
      </c>
      <c r="C226" s="2"/>
      <c r="D226" s="2"/>
      <c r="E226" s="208">
        <v>14260</v>
      </c>
      <c r="G226" s="215" t="s">
        <v>255</v>
      </c>
      <c r="H226" s="2"/>
      <c r="I226" s="2"/>
      <c r="J226" s="208">
        <v>14660</v>
      </c>
      <c r="L226" s="215" t="s">
        <v>255</v>
      </c>
      <c r="M226" s="2"/>
      <c r="N226" s="2"/>
      <c r="O226" s="208">
        <v>15660</v>
      </c>
    </row>
    <row r="227" spans="2:15" x14ac:dyDescent="0.3">
      <c r="B227" s="216" t="s">
        <v>256</v>
      </c>
      <c r="C227" s="2"/>
      <c r="D227" s="2"/>
      <c r="E227" s="123">
        <v>200</v>
      </c>
      <c r="G227" s="216" t="s">
        <v>256</v>
      </c>
      <c r="H227" s="2"/>
      <c r="I227" s="2"/>
      <c r="J227" s="123">
        <v>460</v>
      </c>
      <c r="L227" s="216" t="s">
        <v>256</v>
      </c>
      <c r="M227" s="2"/>
      <c r="N227" s="2"/>
      <c r="O227" s="123">
        <v>460</v>
      </c>
    </row>
    <row r="228" spans="2:15" x14ac:dyDescent="0.3">
      <c r="B228" s="114" t="s">
        <v>109</v>
      </c>
      <c r="C228" s="2"/>
      <c r="D228" s="2"/>
      <c r="E228" s="124">
        <v>900</v>
      </c>
      <c r="G228" s="114" t="s">
        <v>109</v>
      </c>
      <c r="H228" s="2"/>
      <c r="I228" s="2"/>
      <c r="J228" s="124">
        <v>400</v>
      </c>
      <c r="L228" s="114" t="s">
        <v>109</v>
      </c>
      <c r="M228" s="2"/>
      <c r="N228" s="2"/>
      <c r="O228" s="124">
        <v>1000</v>
      </c>
    </row>
    <row r="229" spans="2:15" x14ac:dyDescent="0.3">
      <c r="B229" s="216" t="s">
        <v>257</v>
      </c>
      <c r="C229" s="2"/>
      <c r="D229" s="2"/>
      <c r="E229" s="218">
        <v>1469</v>
      </c>
      <c r="G229" s="216" t="s">
        <v>257</v>
      </c>
      <c r="H229" s="2"/>
      <c r="I229" s="2"/>
      <c r="J229" s="218">
        <v>1501</v>
      </c>
      <c r="L229" s="216" t="s">
        <v>257</v>
      </c>
      <c r="M229" s="2"/>
      <c r="N229" s="2"/>
      <c r="O229" s="218">
        <v>1581</v>
      </c>
    </row>
    <row r="230" spans="2:15" ht="15" thickBot="1" x14ac:dyDescent="0.35">
      <c r="B230" s="114" t="s">
        <v>111</v>
      </c>
      <c r="C230" s="2"/>
      <c r="D230" s="2"/>
      <c r="E230" s="124">
        <v>108</v>
      </c>
      <c r="G230" s="114" t="s">
        <v>111</v>
      </c>
      <c r="H230" s="2"/>
      <c r="I230" s="2"/>
      <c r="J230" s="124">
        <v>32</v>
      </c>
      <c r="L230" s="114" t="s">
        <v>111</v>
      </c>
      <c r="M230" s="2"/>
      <c r="N230" s="2"/>
      <c r="O230" s="124">
        <v>80</v>
      </c>
    </row>
    <row r="231" spans="2:15" ht="15.6" thickTop="1" thickBot="1" x14ac:dyDescent="0.35">
      <c r="B231" s="219" t="s">
        <v>41</v>
      </c>
      <c r="C231" s="116"/>
      <c r="D231" s="116"/>
      <c r="E231" s="217"/>
      <c r="G231" s="219" t="s">
        <v>41</v>
      </c>
      <c r="H231" s="116"/>
      <c r="I231" s="116"/>
      <c r="J231" s="217"/>
      <c r="L231" s="219" t="s">
        <v>41</v>
      </c>
      <c r="M231" s="116"/>
      <c r="N231" s="116"/>
      <c r="O231" s="217"/>
    </row>
    <row r="232" spans="2:15" ht="15" thickTop="1" x14ac:dyDescent="0.3">
      <c r="B232" s="114" t="s">
        <v>107</v>
      </c>
      <c r="C232" s="2"/>
      <c r="D232" s="2"/>
      <c r="E232" s="123">
        <v>10688.740000000003</v>
      </c>
      <c r="G232" s="114" t="s">
        <v>107</v>
      </c>
      <c r="H232" s="2"/>
      <c r="I232" s="2"/>
      <c r="J232" s="123">
        <v>11556.110000000004</v>
      </c>
      <c r="L232" s="114" t="s">
        <v>107</v>
      </c>
      <c r="M232" s="2"/>
      <c r="N232" s="2"/>
      <c r="O232" s="123">
        <v>12463.480000000005</v>
      </c>
    </row>
    <row r="233" spans="2:15" x14ac:dyDescent="0.3">
      <c r="B233" s="114" t="s">
        <v>110</v>
      </c>
      <c r="C233" s="2"/>
      <c r="D233" s="2"/>
      <c r="E233" s="124">
        <v>737.37</v>
      </c>
      <c r="G233" s="114" t="s">
        <v>110</v>
      </c>
      <c r="H233" s="2"/>
      <c r="I233" s="2"/>
      <c r="J233" s="124">
        <v>867.37</v>
      </c>
      <c r="L233" s="114" t="s">
        <v>110</v>
      </c>
      <c r="M233" s="2"/>
      <c r="N233" s="2"/>
      <c r="O233" s="124">
        <v>907.37</v>
      </c>
    </row>
    <row r="234" spans="2:15" ht="15" thickBot="1" x14ac:dyDescent="0.35">
      <c r="B234" s="128" t="s">
        <v>101</v>
      </c>
      <c r="C234" s="127"/>
      <c r="D234" s="118"/>
      <c r="E234" s="126">
        <v>3571.2599999999966</v>
      </c>
      <c r="G234" s="128" t="s">
        <v>101</v>
      </c>
      <c r="H234" s="127"/>
      <c r="I234" s="118"/>
      <c r="J234" s="126">
        <v>3103.8899999999958</v>
      </c>
      <c r="L234" s="128" t="s">
        <v>101</v>
      </c>
      <c r="M234" s="127"/>
      <c r="N234" s="118"/>
      <c r="O234" s="126">
        <v>3196.519999999995</v>
      </c>
    </row>
    <row r="235" spans="2:15" ht="15" thickTop="1" x14ac:dyDescent="0.3">
      <c r="B235" s="114" t="s">
        <v>108</v>
      </c>
      <c r="C235" s="2"/>
      <c r="D235" s="2"/>
      <c r="E235" s="123">
        <v>899</v>
      </c>
      <c r="G235" s="114" t="s">
        <v>108</v>
      </c>
      <c r="H235" s="2"/>
      <c r="I235" s="2"/>
      <c r="J235" s="123">
        <v>1009</v>
      </c>
      <c r="L235" s="114" t="s">
        <v>108</v>
      </c>
      <c r="M235" s="2"/>
      <c r="N235" s="2"/>
      <c r="O235" s="123">
        <v>1113</v>
      </c>
    </row>
    <row r="236" spans="2:15" x14ac:dyDescent="0.3">
      <c r="B236" s="114" t="s">
        <v>112</v>
      </c>
      <c r="C236" s="2"/>
      <c r="D236" s="2"/>
      <c r="E236" s="124">
        <v>94</v>
      </c>
      <c r="G236" s="114" t="s">
        <v>112</v>
      </c>
      <c r="H236" s="2"/>
      <c r="I236" s="2"/>
      <c r="J236" s="124">
        <v>110</v>
      </c>
      <c r="L236" s="114" t="s">
        <v>112</v>
      </c>
      <c r="M236" s="2"/>
      <c r="N236" s="2"/>
      <c r="O236" s="124">
        <v>104</v>
      </c>
    </row>
    <row r="237" spans="2:15" ht="15" thickBot="1" x14ac:dyDescent="0.35">
      <c r="B237" s="128" t="s">
        <v>104</v>
      </c>
      <c r="C237" s="118"/>
      <c r="D237" s="118"/>
      <c r="E237" s="126">
        <v>570</v>
      </c>
      <c r="G237" s="128" t="s">
        <v>104</v>
      </c>
      <c r="H237" s="118"/>
      <c r="I237" s="118"/>
      <c r="J237" s="126">
        <v>492</v>
      </c>
      <c r="L237" s="128" t="s">
        <v>104</v>
      </c>
      <c r="M237" s="118"/>
      <c r="N237" s="118"/>
      <c r="O237" s="126">
        <v>468</v>
      </c>
    </row>
    <row r="238" spans="2:15" ht="15.6" thickTop="1" thickBot="1" x14ac:dyDescent="0.35">
      <c r="B238" s="115" t="s">
        <v>258</v>
      </c>
      <c r="C238" s="220"/>
      <c r="D238" s="116"/>
      <c r="E238" s="224"/>
      <c r="G238" s="115" t="s">
        <v>258</v>
      </c>
      <c r="H238" s="220"/>
      <c r="I238" s="116"/>
      <c r="J238" s="224"/>
      <c r="L238" s="115" t="s">
        <v>258</v>
      </c>
      <c r="M238" s="220"/>
      <c r="N238" s="116"/>
      <c r="O238" s="224"/>
    </row>
    <row r="239" spans="2:15" ht="15" thickTop="1" x14ac:dyDescent="0.3">
      <c r="B239" s="114" t="s">
        <v>259</v>
      </c>
      <c r="C239" s="210"/>
      <c r="D239" s="2"/>
      <c r="E239" s="125">
        <v>23.5</v>
      </c>
      <c r="G239" s="114" t="s">
        <v>259</v>
      </c>
      <c r="H239" s="210"/>
      <c r="I239" s="2"/>
      <c r="J239" s="125">
        <v>23.5</v>
      </c>
      <c r="L239" s="114" t="s">
        <v>259</v>
      </c>
      <c r="M239" s="210"/>
      <c r="N239" s="2"/>
      <c r="O239" s="125">
        <v>23.5</v>
      </c>
    </row>
    <row r="240" spans="2:15" x14ac:dyDescent="0.3">
      <c r="B240" s="114" t="s">
        <v>282</v>
      </c>
      <c r="C240" s="221"/>
      <c r="D240" s="222"/>
      <c r="E240" s="123">
        <v>250</v>
      </c>
      <c r="G240" s="114" t="s">
        <v>282</v>
      </c>
      <c r="H240" s="221"/>
      <c r="I240" s="222"/>
      <c r="J240" s="123">
        <v>250</v>
      </c>
      <c r="L240" s="114" t="s">
        <v>282</v>
      </c>
      <c r="M240" s="221"/>
      <c r="N240" s="222"/>
      <c r="O240" s="123">
        <v>450</v>
      </c>
    </row>
    <row r="241" spans="2:15" x14ac:dyDescent="0.3">
      <c r="B241" s="114" t="s">
        <v>281</v>
      </c>
      <c r="C241" s="221"/>
      <c r="D241" s="222"/>
      <c r="E241" s="123">
        <v>24</v>
      </c>
      <c r="G241" s="114" t="s">
        <v>281</v>
      </c>
      <c r="H241" s="221"/>
      <c r="I241" s="222"/>
      <c r="J241" s="123">
        <v>24</v>
      </c>
      <c r="L241" s="114" t="s">
        <v>281</v>
      </c>
      <c r="M241" s="221"/>
      <c r="N241" s="222"/>
      <c r="O241" s="123">
        <v>38</v>
      </c>
    </row>
    <row r="242" spans="2:15" x14ac:dyDescent="0.3">
      <c r="B242" s="114" t="s">
        <v>99</v>
      </c>
      <c r="C242" s="2"/>
      <c r="D242" s="2"/>
      <c r="E242" s="122">
        <v>3050</v>
      </c>
      <c r="G242" s="114" t="s">
        <v>99</v>
      </c>
      <c r="H242" s="2"/>
      <c r="I242" s="2"/>
      <c r="J242" s="122">
        <v>2920</v>
      </c>
      <c r="L242" s="114" t="s">
        <v>99</v>
      </c>
      <c r="M242" s="2"/>
      <c r="N242" s="2"/>
      <c r="O242" s="122">
        <v>3050</v>
      </c>
    </row>
    <row r="243" spans="2:15" x14ac:dyDescent="0.3">
      <c r="B243" s="114" t="s">
        <v>106</v>
      </c>
      <c r="C243" s="2"/>
      <c r="D243" s="2"/>
      <c r="E243" s="121">
        <v>234.61538461538461</v>
      </c>
      <c r="G243" s="114" t="s">
        <v>106</v>
      </c>
      <c r="H243" s="2"/>
      <c r="I243" s="2"/>
      <c r="J243" s="121">
        <v>224.61538461538461</v>
      </c>
      <c r="L243" s="114" t="s">
        <v>106</v>
      </c>
      <c r="M243" s="2"/>
      <c r="N243" s="2"/>
      <c r="O243" s="121">
        <v>234.61538461538461</v>
      </c>
    </row>
    <row r="244" spans="2:15" x14ac:dyDescent="0.3">
      <c r="B244" s="114" t="s">
        <v>268</v>
      </c>
      <c r="C244" s="2"/>
      <c r="D244" s="2"/>
      <c r="E244" s="122">
        <v>1218.5</v>
      </c>
      <c r="G244" s="114" t="s">
        <v>268</v>
      </c>
      <c r="H244" s="2"/>
      <c r="I244" s="2"/>
      <c r="J244" s="122">
        <v>1250.5</v>
      </c>
      <c r="L244" s="114" t="s">
        <v>268</v>
      </c>
      <c r="M244" s="2"/>
      <c r="N244" s="2"/>
      <c r="O244" s="122">
        <v>1116.5</v>
      </c>
    </row>
    <row r="245" spans="2:15" ht="15" thickBot="1" x14ac:dyDescent="0.35">
      <c r="B245" s="114" t="s">
        <v>102</v>
      </c>
      <c r="C245" s="2"/>
      <c r="D245" s="223"/>
      <c r="E245" s="231">
        <v>190.27</v>
      </c>
      <c r="G245" s="114" t="s">
        <v>102</v>
      </c>
      <c r="H245" s="2"/>
      <c r="I245" s="223"/>
      <c r="J245" s="231">
        <v>637.64</v>
      </c>
      <c r="L245" s="114" t="s">
        <v>102</v>
      </c>
      <c r="M245" s="2"/>
      <c r="N245" s="223"/>
      <c r="O245" s="231">
        <v>605.71</v>
      </c>
    </row>
    <row r="246" spans="2:15" ht="15.6" thickTop="1" thickBot="1" x14ac:dyDescent="0.35">
      <c r="B246" s="119" t="s">
        <v>100</v>
      </c>
      <c r="C246" s="120"/>
      <c r="D246" s="225"/>
      <c r="E246" s="227">
        <v>4331.529999999997</v>
      </c>
      <c r="G246" s="119" t="s">
        <v>100</v>
      </c>
      <c r="H246" s="120"/>
      <c r="I246" s="225"/>
      <c r="J246" s="227">
        <v>4233.5299999999961</v>
      </c>
      <c r="L246" s="119" t="s">
        <v>100</v>
      </c>
      <c r="M246" s="120"/>
      <c r="N246" s="225"/>
      <c r="O246" s="227">
        <v>4270.229999999995</v>
      </c>
    </row>
    <row r="247" spans="2:15" ht="15.6" thickTop="1" thickBot="1" x14ac:dyDescent="0.35">
      <c r="B247" s="119" t="s">
        <v>105</v>
      </c>
      <c r="C247" s="120"/>
      <c r="D247" s="225"/>
      <c r="E247" s="253">
        <v>4268.5</v>
      </c>
      <c r="G247" s="119" t="s">
        <v>105</v>
      </c>
      <c r="H247" s="120"/>
      <c r="I247" s="225"/>
      <c r="J247" s="253">
        <v>4170.5</v>
      </c>
      <c r="L247" s="119" t="s">
        <v>105</v>
      </c>
      <c r="M247" s="120"/>
      <c r="N247" s="225"/>
      <c r="O247" s="253">
        <v>4166.5</v>
      </c>
    </row>
    <row r="248" spans="2:15" ht="15.6" thickTop="1" thickBot="1" x14ac:dyDescent="0.35"/>
    <row r="249" spans="2:15" ht="15.6" thickTop="1" thickBot="1" x14ac:dyDescent="0.35">
      <c r="B249" s="291" t="s">
        <v>98</v>
      </c>
      <c r="C249" s="292"/>
      <c r="D249" s="293"/>
      <c r="E249" s="140">
        <v>44788</v>
      </c>
      <c r="G249" s="291" t="s">
        <v>98</v>
      </c>
      <c r="H249" s="292"/>
      <c r="I249" s="293"/>
      <c r="J249" s="140">
        <v>44788</v>
      </c>
      <c r="L249" s="291" t="s">
        <v>98</v>
      </c>
      <c r="M249" s="292"/>
      <c r="N249" s="293"/>
      <c r="O249" s="140">
        <v>44788</v>
      </c>
    </row>
    <row r="250" spans="2:15" ht="15.6" thickTop="1" thickBot="1" x14ac:dyDescent="0.35">
      <c r="B250" s="294"/>
      <c r="C250" s="295"/>
      <c r="D250" s="296"/>
      <c r="E250" s="140">
        <v>45611</v>
      </c>
      <c r="G250" s="294"/>
      <c r="H250" s="295"/>
      <c r="I250" s="296"/>
      <c r="J250" s="140">
        <v>45656</v>
      </c>
      <c r="L250" s="294"/>
      <c r="M250" s="295"/>
      <c r="N250" s="296"/>
      <c r="O250" s="140">
        <v>45702</v>
      </c>
    </row>
    <row r="251" spans="2:15" ht="15.6" thickTop="1" thickBot="1" x14ac:dyDescent="0.35">
      <c r="B251" s="114" t="s">
        <v>97</v>
      </c>
      <c r="C251" s="2"/>
      <c r="D251" s="2"/>
      <c r="E251" s="209">
        <v>3640</v>
      </c>
      <c r="G251" s="114" t="s">
        <v>97</v>
      </c>
      <c r="H251" s="2"/>
      <c r="I251" s="2"/>
      <c r="J251" s="209">
        <v>3770</v>
      </c>
      <c r="L251" s="114" t="s">
        <v>97</v>
      </c>
      <c r="M251" s="2"/>
      <c r="N251" s="2"/>
      <c r="O251" s="209">
        <v>3900</v>
      </c>
    </row>
    <row r="252" spans="2:15" ht="15.6" thickTop="1" thickBot="1" x14ac:dyDescent="0.35">
      <c r="B252" s="115" t="s">
        <v>188</v>
      </c>
      <c r="C252" s="116"/>
      <c r="D252" s="116"/>
      <c r="E252" s="217"/>
      <c r="G252" s="115" t="s">
        <v>188</v>
      </c>
      <c r="H252" s="116"/>
      <c r="I252" s="116"/>
      <c r="J252" s="217"/>
      <c r="L252" s="115" t="s">
        <v>188</v>
      </c>
      <c r="M252" s="116"/>
      <c r="N252" s="116"/>
      <c r="O252" s="217"/>
    </row>
    <row r="253" spans="2:15" ht="15" thickTop="1" x14ac:dyDescent="0.3">
      <c r="B253" s="215" t="s">
        <v>255</v>
      </c>
      <c r="C253" s="2"/>
      <c r="D253" s="2"/>
      <c r="E253" s="208">
        <v>17360</v>
      </c>
      <c r="G253" s="215" t="s">
        <v>255</v>
      </c>
      <c r="H253" s="2"/>
      <c r="I253" s="2"/>
      <c r="J253" s="208">
        <v>18940</v>
      </c>
      <c r="L253" s="215" t="s">
        <v>255</v>
      </c>
      <c r="M253" s="2"/>
      <c r="N253" s="2"/>
      <c r="O253" s="208">
        <v>20490</v>
      </c>
    </row>
    <row r="254" spans="2:15" x14ac:dyDescent="0.3">
      <c r="B254" s="216" t="s">
        <v>256</v>
      </c>
      <c r="C254" s="2"/>
      <c r="D254" s="2"/>
      <c r="E254" s="123">
        <v>460</v>
      </c>
      <c r="G254" s="216" t="s">
        <v>256</v>
      </c>
      <c r="H254" s="2"/>
      <c r="I254" s="2"/>
      <c r="J254" s="123">
        <v>460</v>
      </c>
      <c r="L254" s="216" t="s">
        <v>256</v>
      </c>
      <c r="M254" s="2"/>
      <c r="N254" s="2"/>
      <c r="O254" s="123">
        <v>460</v>
      </c>
    </row>
    <row r="255" spans="2:15" x14ac:dyDescent="0.3">
      <c r="B255" s="114" t="s">
        <v>109</v>
      </c>
      <c r="C255" s="2"/>
      <c r="D255" s="2"/>
      <c r="E255" s="124">
        <v>1700</v>
      </c>
      <c r="G255" s="114" t="s">
        <v>109</v>
      </c>
      <c r="H255" s="2"/>
      <c r="I255" s="2"/>
      <c r="J255" s="124">
        <v>1580</v>
      </c>
      <c r="L255" s="114" t="s">
        <v>109</v>
      </c>
      <c r="M255" s="2"/>
      <c r="N255" s="2"/>
      <c r="O255" s="124">
        <v>1550</v>
      </c>
    </row>
    <row r="256" spans="2:15" x14ac:dyDescent="0.3">
      <c r="B256" s="216" t="s">
        <v>257</v>
      </c>
      <c r="C256" s="2"/>
      <c r="D256" s="2"/>
      <c r="E256" s="218">
        <v>1831</v>
      </c>
      <c r="G256" s="216" t="s">
        <v>257</v>
      </c>
      <c r="H256" s="2"/>
      <c r="I256" s="2"/>
      <c r="J256" s="218">
        <v>2082.6</v>
      </c>
      <c r="L256" s="216" t="s">
        <v>257</v>
      </c>
      <c r="M256" s="2"/>
      <c r="N256" s="2"/>
      <c r="O256" s="218">
        <v>2284.6</v>
      </c>
    </row>
    <row r="257" spans="2:17" ht="15" thickBot="1" x14ac:dyDescent="0.35">
      <c r="B257" s="114" t="s">
        <v>111</v>
      </c>
      <c r="C257" s="2"/>
      <c r="D257" s="2"/>
      <c r="E257" s="124">
        <v>250</v>
      </c>
      <c r="G257" s="114" t="s">
        <v>111</v>
      </c>
      <c r="H257" s="2"/>
      <c r="I257" s="2"/>
      <c r="J257" s="124">
        <v>251.6</v>
      </c>
      <c r="L257" s="114" t="s">
        <v>111</v>
      </c>
      <c r="M257" s="2"/>
      <c r="N257" s="2"/>
      <c r="O257" s="124">
        <v>202</v>
      </c>
    </row>
    <row r="258" spans="2:17" ht="15.6" thickTop="1" thickBot="1" x14ac:dyDescent="0.35">
      <c r="B258" s="219" t="s">
        <v>41</v>
      </c>
      <c r="C258" s="116"/>
      <c r="D258" s="116"/>
      <c r="E258" s="217"/>
      <c r="G258" s="219" t="s">
        <v>41</v>
      </c>
      <c r="H258" s="116"/>
      <c r="I258" s="116"/>
      <c r="J258" s="217"/>
      <c r="L258" s="219" t="s">
        <v>41</v>
      </c>
      <c r="M258" s="116"/>
      <c r="N258" s="116"/>
      <c r="O258" s="217"/>
    </row>
    <row r="259" spans="2:17" ht="15" thickTop="1" x14ac:dyDescent="0.3">
      <c r="B259" s="114" t="s">
        <v>107</v>
      </c>
      <c r="C259" s="2"/>
      <c r="D259" s="2"/>
      <c r="E259" s="123">
        <v>13426.550000000007</v>
      </c>
      <c r="G259" s="114" t="s">
        <v>107</v>
      </c>
      <c r="H259" s="2"/>
      <c r="I259" s="2"/>
      <c r="J259" s="123">
        <v>14624.890000000007</v>
      </c>
      <c r="L259" s="114" t="s">
        <v>107</v>
      </c>
      <c r="M259" s="2"/>
      <c r="N259" s="2"/>
      <c r="O259" s="123">
        <v>16028.230000000007</v>
      </c>
    </row>
    <row r="260" spans="2:17" x14ac:dyDescent="0.3">
      <c r="B260" s="114" t="s">
        <v>110</v>
      </c>
      <c r="C260" s="2"/>
      <c r="D260" s="2"/>
      <c r="E260" s="124">
        <v>963.07</v>
      </c>
      <c r="G260" s="114" t="s">
        <v>110</v>
      </c>
      <c r="H260" s="2"/>
      <c r="I260" s="2"/>
      <c r="J260" s="124">
        <v>1198.3400000000001</v>
      </c>
      <c r="L260" s="114" t="s">
        <v>110</v>
      </c>
      <c r="M260" s="2"/>
      <c r="N260" s="2"/>
      <c r="O260" s="124">
        <v>1403.3400000000001</v>
      </c>
    </row>
    <row r="261" spans="2:17" ht="15" thickBot="1" x14ac:dyDescent="0.35">
      <c r="B261" s="128" t="s">
        <v>101</v>
      </c>
      <c r="C261" s="127"/>
      <c r="D261" s="118"/>
      <c r="E261" s="126">
        <v>3933.4499999999935</v>
      </c>
      <c r="G261" s="128" t="s">
        <v>101</v>
      </c>
      <c r="H261" s="127"/>
      <c r="I261" s="118"/>
      <c r="J261" s="126">
        <v>4315.1099999999933</v>
      </c>
      <c r="L261" s="128" t="s">
        <v>101</v>
      </c>
      <c r="M261" s="127"/>
      <c r="N261" s="118"/>
      <c r="O261" s="126">
        <v>4461.7699999999932</v>
      </c>
    </row>
    <row r="262" spans="2:17" ht="15" thickTop="1" x14ac:dyDescent="0.3">
      <c r="B262" s="114" t="s">
        <v>108</v>
      </c>
      <c r="C262" s="2"/>
      <c r="D262" s="2"/>
      <c r="E262" s="123">
        <v>1223</v>
      </c>
      <c r="G262" s="114" t="s">
        <v>108</v>
      </c>
      <c r="H262" s="2"/>
      <c r="I262" s="2"/>
      <c r="J262" s="123">
        <v>1345</v>
      </c>
      <c r="L262" s="114" t="s">
        <v>108</v>
      </c>
      <c r="M262" s="2"/>
      <c r="N262" s="2"/>
      <c r="O262" s="123">
        <v>1490.6</v>
      </c>
    </row>
    <row r="263" spans="2:17" x14ac:dyDescent="0.3">
      <c r="B263" s="114" t="s">
        <v>112</v>
      </c>
      <c r="C263" s="2"/>
      <c r="D263" s="2"/>
      <c r="E263" s="124">
        <v>110</v>
      </c>
      <c r="G263" s="114" t="s">
        <v>112</v>
      </c>
      <c r="H263" s="2"/>
      <c r="I263" s="2"/>
      <c r="J263" s="124">
        <v>122</v>
      </c>
      <c r="L263" s="114" t="s">
        <v>112</v>
      </c>
      <c r="M263" s="2"/>
      <c r="N263" s="2"/>
      <c r="O263" s="124">
        <v>145.6</v>
      </c>
    </row>
    <row r="264" spans="2:17" ht="15" thickBot="1" x14ac:dyDescent="0.35">
      <c r="B264" s="128" t="s">
        <v>104</v>
      </c>
      <c r="C264" s="118"/>
      <c r="D264" s="118"/>
      <c r="E264" s="126">
        <v>608</v>
      </c>
      <c r="G264" s="128" t="s">
        <v>104</v>
      </c>
      <c r="H264" s="118"/>
      <c r="I264" s="118"/>
      <c r="J264" s="126">
        <v>737.59999999999991</v>
      </c>
      <c r="L264" s="128" t="s">
        <v>104</v>
      </c>
      <c r="M264" s="118"/>
      <c r="N264" s="118"/>
      <c r="O264" s="126">
        <v>794</v>
      </c>
    </row>
    <row r="265" spans="2:17" ht="15.6" thickTop="1" thickBot="1" x14ac:dyDescent="0.35">
      <c r="B265" s="115" t="s">
        <v>258</v>
      </c>
      <c r="C265" s="220"/>
      <c r="D265" s="116"/>
      <c r="E265" s="224"/>
      <c r="G265" s="115" t="s">
        <v>258</v>
      </c>
      <c r="H265" s="220"/>
      <c r="I265" s="116"/>
      <c r="J265" s="224"/>
      <c r="L265" s="115" t="s">
        <v>258</v>
      </c>
      <c r="M265" s="220"/>
      <c r="N265" s="116"/>
      <c r="O265" s="224"/>
    </row>
    <row r="266" spans="2:17" ht="15" thickTop="1" x14ac:dyDescent="0.3">
      <c r="B266" s="114" t="s">
        <v>259</v>
      </c>
      <c r="C266" s="210"/>
      <c r="D266" s="2"/>
      <c r="E266" s="125">
        <v>156.99999999999997</v>
      </c>
      <c r="G266" s="114" t="s">
        <v>259</v>
      </c>
      <c r="H266" s="210"/>
      <c r="I266" s="2"/>
      <c r="J266" s="125">
        <v>183.69999999999996</v>
      </c>
      <c r="L266" s="114" t="s">
        <v>259</v>
      </c>
      <c r="M266" s="210"/>
      <c r="N266" s="2"/>
      <c r="O266" s="125">
        <v>183.69999999999996</v>
      </c>
    </row>
    <row r="267" spans="2:17" x14ac:dyDescent="0.3">
      <c r="B267" s="114" t="s">
        <v>282</v>
      </c>
      <c r="C267" s="221"/>
      <c r="D267" s="222"/>
      <c r="E267" s="123">
        <v>450</v>
      </c>
      <c r="G267" s="114" t="s">
        <v>282</v>
      </c>
      <c r="H267" s="221"/>
      <c r="I267" s="222"/>
      <c r="J267" s="123">
        <v>450</v>
      </c>
      <c r="L267" s="114" t="s">
        <v>282</v>
      </c>
      <c r="M267" s="221"/>
      <c r="N267" s="222"/>
      <c r="O267" s="123">
        <v>450</v>
      </c>
    </row>
    <row r="268" spans="2:17" x14ac:dyDescent="0.3">
      <c r="B268" s="114" t="s">
        <v>281</v>
      </c>
      <c r="C268" s="221"/>
      <c r="D268" s="222"/>
      <c r="E268" s="123">
        <v>50</v>
      </c>
      <c r="G268" s="114" t="s">
        <v>281</v>
      </c>
      <c r="H268" s="221"/>
      <c r="I268" s="222"/>
      <c r="J268" s="123">
        <v>66</v>
      </c>
      <c r="L268" s="114" t="s">
        <v>281</v>
      </c>
      <c r="M268" s="221"/>
      <c r="N268" s="222"/>
      <c r="O268" s="123">
        <v>88</v>
      </c>
      <c r="Q268" s="22"/>
    </row>
    <row r="269" spans="2:17" x14ac:dyDescent="0.3">
      <c r="B269" s="114" t="s">
        <v>99</v>
      </c>
      <c r="C269" s="2"/>
      <c r="D269" s="2"/>
      <c r="E269" s="122">
        <v>3180</v>
      </c>
      <c r="G269" s="114" t="s">
        <v>99</v>
      </c>
      <c r="H269" s="2"/>
      <c r="I269" s="2"/>
      <c r="J269" s="122">
        <v>3310</v>
      </c>
      <c r="L269" s="114" t="s">
        <v>99</v>
      </c>
      <c r="M269" s="2"/>
      <c r="N269" s="2"/>
      <c r="O269" s="122">
        <v>3440</v>
      </c>
    </row>
    <row r="270" spans="2:17" x14ac:dyDescent="0.3">
      <c r="B270" s="114" t="s">
        <v>106</v>
      </c>
      <c r="C270" s="2"/>
      <c r="D270" s="2"/>
      <c r="E270" s="121">
        <v>244.61538461538461</v>
      </c>
      <c r="G270" s="114" t="s">
        <v>106</v>
      </c>
      <c r="H270" s="2"/>
      <c r="I270" s="2"/>
      <c r="J270" s="121">
        <v>254.61538461538461</v>
      </c>
      <c r="L270" s="114" t="s">
        <v>106</v>
      </c>
      <c r="M270" s="2"/>
      <c r="N270" s="2"/>
      <c r="O270" s="121">
        <v>264.61538461538464</v>
      </c>
    </row>
    <row r="271" spans="2:17" x14ac:dyDescent="0.3">
      <c r="B271" s="114" t="s">
        <v>268</v>
      </c>
      <c r="C271" s="2"/>
      <c r="D271" s="2"/>
      <c r="E271" s="122">
        <v>1488</v>
      </c>
      <c r="G271" s="114" t="s">
        <v>268</v>
      </c>
      <c r="H271" s="2"/>
      <c r="I271" s="2"/>
      <c r="J271" s="122">
        <v>1750.3</v>
      </c>
      <c r="L271" s="114" t="s">
        <v>268</v>
      </c>
      <c r="M271" s="2"/>
      <c r="N271" s="2"/>
      <c r="O271" s="122">
        <v>1930.3</v>
      </c>
    </row>
    <row r="272" spans="2:17" ht="15" thickBot="1" x14ac:dyDescent="0.35">
      <c r="B272" s="114" t="s">
        <v>102</v>
      </c>
      <c r="C272" s="2"/>
      <c r="D272" s="223"/>
      <c r="E272" s="231">
        <v>215.58</v>
      </c>
      <c r="G272" s="114" t="s">
        <v>102</v>
      </c>
      <c r="H272" s="2"/>
      <c r="I272" s="223"/>
      <c r="J272" s="231">
        <v>112.61</v>
      </c>
      <c r="L272" s="114" t="s">
        <v>102</v>
      </c>
      <c r="M272" s="2"/>
      <c r="N272" s="223"/>
      <c r="O272" s="231">
        <v>241.55</v>
      </c>
    </row>
    <row r="273" spans="2:15" ht="15.6" thickTop="1" thickBot="1" x14ac:dyDescent="0.35">
      <c r="B273" s="119" t="s">
        <v>100</v>
      </c>
      <c r="C273" s="120"/>
      <c r="D273" s="225"/>
      <c r="E273" s="227">
        <v>4757.0299999999934</v>
      </c>
      <c r="G273" s="119" t="s">
        <v>100</v>
      </c>
      <c r="H273" s="120"/>
      <c r="I273" s="225"/>
      <c r="J273" s="227">
        <v>5165.3199999999933</v>
      </c>
      <c r="L273" s="119" t="s">
        <v>100</v>
      </c>
      <c r="M273" s="120"/>
      <c r="N273" s="225"/>
      <c r="O273" s="227">
        <v>5497.3199999999933</v>
      </c>
    </row>
    <row r="274" spans="2:15" ht="15.6" thickTop="1" thickBot="1" x14ac:dyDescent="0.35">
      <c r="B274" s="119" t="s">
        <v>105</v>
      </c>
      <c r="C274" s="120"/>
      <c r="D274" s="225"/>
      <c r="E274" s="253">
        <v>4668</v>
      </c>
      <c r="G274" s="119" t="s">
        <v>105</v>
      </c>
      <c r="H274" s="120"/>
      <c r="I274" s="225"/>
      <c r="J274" s="253">
        <v>5060.3</v>
      </c>
      <c r="L274" s="119" t="s">
        <v>105</v>
      </c>
      <c r="M274" s="120"/>
      <c r="N274" s="225"/>
      <c r="O274" s="253">
        <v>5370.3</v>
      </c>
    </row>
    <row r="275" spans="2:15" ht="15" thickTop="1" x14ac:dyDescent="0.3"/>
  </sheetData>
  <mergeCells count="31">
    <mergeCell ref="B114:D115"/>
    <mergeCell ref="G114:I115"/>
    <mergeCell ref="L114:N115"/>
    <mergeCell ref="B6:D7"/>
    <mergeCell ref="G6:I7"/>
    <mergeCell ref="L6:N7"/>
    <mergeCell ref="B87:D88"/>
    <mergeCell ref="G87:I88"/>
    <mergeCell ref="L87:N88"/>
    <mergeCell ref="B33:D34"/>
    <mergeCell ref="G33:I34"/>
    <mergeCell ref="L33:N34"/>
    <mergeCell ref="B60:D61"/>
    <mergeCell ref="G60:I61"/>
    <mergeCell ref="L60:N61"/>
    <mergeCell ref="L249:N250"/>
    <mergeCell ref="B249:D250"/>
    <mergeCell ref="G249:I250"/>
    <mergeCell ref="B2:O4"/>
    <mergeCell ref="B195:D196"/>
    <mergeCell ref="G195:I196"/>
    <mergeCell ref="L195:N196"/>
    <mergeCell ref="B222:D223"/>
    <mergeCell ref="G222:I223"/>
    <mergeCell ref="L222:N223"/>
    <mergeCell ref="B141:D142"/>
    <mergeCell ref="G141:I142"/>
    <mergeCell ref="L141:N142"/>
    <mergeCell ref="B168:D169"/>
    <mergeCell ref="G168:I169"/>
    <mergeCell ref="L168:N169"/>
  </mergeCells>
  <pageMargins left="0.19685039370078741" right="0.19685039370078741" top="0.19685039370078741" bottom="0.19685039370078741" header="0" footer="0"/>
  <pageSetup paperSize="9" scale="63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0F7A8-4B9F-43FA-A798-BA4FA9BCE93F}">
  <sheetPr codeName="Hoja36"/>
  <dimension ref="B1:P226"/>
  <sheetViews>
    <sheetView topLeftCell="A97" workbookViewId="0">
      <selection activeCell="O224" sqref="O224"/>
    </sheetView>
  </sheetViews>
  <sheetFormatPr baseColWidth="10" defaultColWidth="11.5546875" defaultRowHeight="14.4" x14ac:dyDescent="0.3"/>
  <cols>
    <col min="1" max="1" width="2.88671875" customWidth="1"/>
    <col min="6" max="6" width="3.109375" customWidth="1"/>
    <col min="11" max="11" width="3.77734375" customWidth="1"/>
  </cols>
  <sheetData>
    <row r="1" spans="2:15" ht="15" thickBot="1" x14ac:dyDescent="0.35"/>
    <row r="2" spans="2:15" ht="15.6" thickTop="1" thickBot="1" x14ac:dyDescent="0.35">
      <c r="B2" s="291" t="s">
        <v>98</v>
      </c>
      <c r="C2" s="292"/>
      <c r="D2" s="293"/>
      <c r="E2" s="140">
        <v>44788</v>
      </c>
      <c r="G2" s="291" t="s">
        <v>98</v>
      </c>
      <c r="H2" s="292"/>
      <c r="I2" s="293"/>
      <c r="J2" s="140">
        <v>44788</v>
      </c>
      <c r="L2" s="291" t="s">
        <v>98</v>
      </c>
      <c r="M2" s="292"/>
      <c r="N2" s="293"/>
      <c r="O2" s="140">
        <v>44788</v>
      </c>
    </row>
    <row r="3" spans="2:15" ht="15.6" thickTop="1" thickBot="1" x14ac:dyDescent="0.35">
      <c r="B3" s="294"/>
      <c r="C3" s="295"/>
      <c r="D3" s="296"/>
      <c r="E3" s="140">
        <v>44788</v>
      </c>
      <c r="G3" s="294"/>
      <c r="H3" s="295"/>
      <c r="I3" s="296"/>
      <c r="J3" s="140">
        <v>44819</v>
      </c>
      <c r="L3" s="294"/>
      <c r="M3" s="295"/>
      <c r="N3" s="296"/>
      <c r="O3" s="140">
        <v>44849</v>
      </c>
    </row>
    <row r="4" spans="2:15" ht="15.6" thickTop="1" thickBot="1" x14ac:dyDescent="0.35">
      <c r="B4" s="114" t="s">
        <v>97</v>
      </c>
      <c r="C4" s="2"/>
      <c r="D4" s="2"/>
      <c r="E4" s="209">
        <v>130</v>
      </c>
      <c r="G4" s="114" t="s">
        <v>97</v>
      </c>
      <c r="H4" s="2"/>
      <c r="I4" s="2"/>
      <c r="J4" s="209">
        <v>260</v>
      </c>
      <c r="L4" s="114" t="s">
        <v>97</v>
      </c>
      <c r="M4" s="2"/>
      <c r="N4" s="2"/>
      <c r="O4" s="209">
        <v>390</v>
      </c>
    </row>
    <row r="5" spans="2:15" ht="15.6" thickTop="1" thickBot="1" x14ac:dyDescent="0.35">
      <c r="B5" s="115" t="s">
        <v>188</v>
      </c>
      <c r="C5" s="116"/>
      <c r="D5" s="116"/>
      <c r="E5" s="217"/>
      <c r="G5" s="115" t="s">
        <v>188</v>
      </c>
      <c r="H5" s="116"/>
      <c r="I5" s="116"/>
      <c r="J5" s="217"/>
      <c r="L5" s="115" t="s">
        <v>188</v>
      </c>
      <c r="M5" s="116"/>
      <c r="N5" s="116"/>
      <c r="O5" s="217"/>
    </row>
    <row r="6" spans="2:15" ht="15" thickTop="1" x14ac:dyDescent="0.3">
      <c r="B6" s="215" t="s">
        <v>255</v>
      </c>
      <c r="C6" s="2"/>
      <c r="D6" s="2"/>
      <c r="E6" s="208">
        <v>0</v>
      </c>
      <c r="G6" s="215" t="s">
        <v>255</v>
      </c>
      <c r="H6" s="2"/>
      <c r="I6" s="2"/>
      <c r="J6" s="208">
        <v>160</v>
      </c>
      <c r="L6" s="215" t="s">
        <v>255</v>
      </c>
      <c r="M6" s="2"/>
      <c r="N6" s="2"/>
      <c r="O6" s="208">
        <v>360</v>
      </c>
    </row>
    <row r="7" spans="2:15" x14ac:dyDescent="0.3">
      <c r="B7" s="216" t="s">
        <v>256</v>
      </c>
      <c r="C7" s="2"/>
      <c r="D7" s="2"/>
      <c r="E7" s="123">
        <v>0</v>
      </c>
      <c r="G7" s="216" t="s">
        <v>256</v>
      </c>
      <c r="H7" s="2"/>
      <c r="I7" s="2"/>
      <c r="J7" s="123">
        <v>100</v>
      </c>
      <c r="L7" s="216" t="s">
        <v>256</v>
      </c>
      <c r="M7" s="2"/>
      <c r="N7" s="2"/>
      <c r="O7" s="123">
        <v>100</v>
      </c>
    </row>
    <row r="8" spans="2:15" x14ac:dyDescent="0.3">
      <c r="B8" s="114" t="s">
        <v>109</v>
      </c>
      <c r="C8" s="2"/>
      <c r="D8" s="2"/>
      <c r="E8" s="124">
        <v>0</v>
      </c>
      <c r="G8" s="114" t="s">
        <v>109</v>
      </c>
      <c r="H8" s="2"/>
      <c r="I8" s="2"/>
      <c r="J8" s="124">
        <v>160</v>
      </c>
      <c r="L8" s="114" t="s">
        <v>109</v>
      </c>
      <c r="M8" s="2"/>
      <c r="N8" s="2"/>
      <c r="O8" s="124">
        <v>200</v>
      </c>
    </row>
    <row r="9" spans="2:15" x14ac:dyDescent="0.3">
      <c r="B9" s="216" t="s">
        <v>257</v>
      </c>
      <c r="C9" s="2"/>
      <c r="D9" s="2"/>
      <c r="E9" s="218">
        <v>0</v>
      </c>
      <c r="G9" s="216" t="s">
        <v>257</v>
      </c>
      <c r="H9" s="2"/>
      <c r="I9" s="2"/>
      <c r="J9" s="218">
        <v>6.4</v>
      </c>
      <c r="L9" s="216" t="s">
        <v>257</v>
      </c>
      <c r="M9" s="2"/>
      <c r="N9" s="2"/>
      <c r="O9" s="218">
        <v>10.4</v>
      </c>
    </row>
    <row r="10" spans="2:15" ht="15" thickBot="1" x14ac:dyDescent="0.35">
      <c r="B10" s="114" t="s">
        <v>111</v>
      </c>
      <c r="C10" s="2"/>
      <c r="D10" s="2"/>
      <c r="E10" s="124">
        <v>0</v>
      </c>
      <c r="G10" s="114" t="s">
        <v>111</v>
      </c>
      <c r="H10" s="2"/>
      <c r="I10" s="2"/>
      <c r="J10" s="124">
        <v>6.4</v>
      </c>
      <c r="L10" s="114" t="s">
        <v>111</v>
      </c>
      <c r="M10" s="2"/>
      <c r="N10" s="2"/>
      <c r="O10" s="124">
        <v>4</v>
      </c>
    </row>
    <row r="11" spans="2:15" ht="15.6" thickTop="1" thickBot="1" x14ac:dyDescent="0.35">
      <c r="B11" s="219" t="s">
        <v>41</v>
      </c>
      <c r="C11" s="116"/>
      <c r="D11" s="116"/>
      <c r="E11" s="217"/>
      <c r="G11" s="219" t="s">
        <v>41</v>
      </c>
      <c r="H11" s="116"/>
      <c r="I11" s="116"/>
      <c r="J11" s="217"/>
      <c r="L11" s="219" t="s">
        <v>41</v>
      </c>
      <c r="M11" s="116"/>
      <c r="N11" s="116"/>
      <c r="O11" s="217"/>
    </row>
    <row r="12" spans="2:15" ht="15" thickTop="1" x14ac:dyDescent="0.3">
      <c r="B12" s="114" t="s">
        <v>107</v>
      </c>
      <c r="C12" s="2"/>
      <c r="D12" s="2"/>
      <c r="E12" s="123">
        <v>0</v>
      </c>
      <c r="G12" s="114" t="s">
        <v>107</v>
      </c>
      <c r="H12" s="2"/>
      <c r="I12" s="2"/>
      <c r="J12" s="123">
        <v>0</v>
      </c>
      <c r="L12" s="114" t="s">
        <v>107</v>
      </c>
      <c r="M12" s="2"/>
      <c r="N12" s="2"/>
      <c r="O12" s="123">
        <v>160</v>
      </c>
    </row>
    <row r="13" spans="2:15" x14ac:dyDescent="0.3">
      <c r="B13" s="114" t="s">
        <v>110</v>
      </c>
      <c r="C13" s="2"/>
      <c r="D13" s="2"/>
      <c r="E13" s="124">
        <v>0</v>
      </c>
      <c r="G13" s="114" t="s">
        <v>110</v>
      </c>
      <c r="H13" s="2"/>
      <c r="I13" s="2"/>
      <c r="J13" s="124">
        <v>0</v>
      </c>
      <c r="L13" s="114" t="s">
        <v>110</v>
      </c>
      <c r="M13" s="2"/>
      <c r="N13" s="2"/>
      <c r="O13" s="124">
        <v>160</v>
      </c>
    </row>
    <row r="14" spans="2:15" ht="15" thickBot="1" x14ac:dyDescent="0.35">
      <c r="B14" s="128" t="s">
        <v>101</v>
      </c>
      <c r="C14" s="127"/>
      <c r="D14" s="118"/>
      <c r="E14" s="126">
        <v>0</v>
      </c>
      <c r="G14" s="128" t="s">
        <v>101</v>
      </c>
      <c r="H14" s="127"/>
      <c r="I14" s="118"/>
      <c r="J14" s="126">
        <v>160</v>
      </c>
      <c r="L14" s="128" t="s">
        <v>101</v>
      </c>
      <c r="M14" s="127"/>
      <c r="N14" s="118"/>
      <c r="O14" s="126">
        <v>200</v>
      </c>
    </row>
    <row r="15" spans="2:15" ht="15" thickTop="1" x14ac:dyDescent="0.3">
      <c r="B15" s="114" t="s">
        <v>108</v>
      </c>
      <c r="C15" s="2"/>
      <c r="D15" s="2"/>
      <c r="E15" s="123">
        <v>0</v>
      </c>
      <c r="G15" s="114" t="s">
        <v>108</v>
      </c>
      <c r="H15" s="2"/>
      <c r="I15" s="2"/>
      <c r="J15" s="123">
        <v>0</v>
      </c>
      <c r="L15" s="114" t="s">
        <v>108</v>
      </c>
      <c r="M15" s="2"/>
      <c r="N15" s="2"/>
      <c r="O15" s="123">
        <v>6.4</v>
      </c>
    </row>
    <row r="16" spans="2:15" x14ac:dyDescent="0.3">
      <c r="B16" s="114" t="s">
        <v>112</v>
      </c>
      <c r="C16" s="2"/>
      <c r="D16" s="2"/>
      <c r="E16" s="124">
        <v>0</v>
      </c>
      <c r="G16" s="114" t="s">
        <v>112</v>
      </c>
      <c r="H16" s="2"/>
      <c r="I16" s="2"/>
      <c r="J16" s="124">
        <v>0</v>
      </c>
      <c r="L16" s="114" t="s">
        <v>112</v>
      </c>
      <c r="M16" s="2"/>
      <c r="N16" s="2"/>
      <c r="O16" s="124">
        <v>6.4</v>
      </c>
    </row>
    <row r="17" spans="2:15" ht="15" thickBot="1" x14ac:dyDescent="0.35">
      <c r="B17" s="128" t="s">
        <v>104</v>
      </c>
      <c r="C17" s="118"/>
      <c r="D17" s="118"/>
      <c r="E17" s="126">
        <v>0</v>
      </c>
      <c r="G17" s="128" t="s">
        <v>104</v>
      </c>
      <c r="H17" s="118"/>
      <c r="I17" s="118"/>
      <c r="J17" s="126">
        <v>6.4</v>
      </c>
      <c r="L17" s="128" t="s">
        <v>104</v>
      </c>
      <c r="M17" s="118"/>
      <c r="N17" s="118"/>
      <c r="O17" s="126">
        <v>4</v>
      </c>
    </row>
    <row r="18" spans="2:15" ht="15.6" thickTop="1" thickBot="1" x14ac:dyDescent="0.35">
      <c r="B18" s="115" t="s">
        <v>258</v>
      </c>
      <c r="C18" s="220"/>
      <c r="D18" s="116"/>
      <c r="E18" s="224"/>
      <c r="G18" s="115" t="s">
        <v>258</v>
      </c>
      <c r="H18" s="220"/>
      <c r="I18" s="116"/>
      <c r="J18" s="224"/>
      <c r="L18" s="115" t="s">
        <v>258</v>
      </c>
      <c r="M18" s="220"/>
      <c r="N18" s="116"/>
      <c r="O18" s="224"/>
    </row>
    <row r="19" spans="2:15" ht="15" thickTop="1" x14ac:dyDescent="0.3">
      <c r="B19" s="114" t="s">
        <v>259</v>
      </c>
      <c r="C19" s="210"/>
      <c r="D19" s="2"/>
      <c r="E19" s="125">
        <v>0</v>
      </c>
      <c r="G19" s="114" t="s">
        <v>259</v>
      </c>
      <c r="H19" s="210"/>
      <c r="I19" s="2"/>
      <c r="J19" s="125">
        <v>0</v>
      </c>
      <c r="L19" s="114" t="s">
        <v>259</v>
      </c>
      <c r="M19" s="210"/>
      <c r="N19" s="2"/>
      <c r="O19" s="125">
        <v>0</v>
      </c>
    </row>
    <row r="20" spans="2:15" x14ac:dyDescent="0.3">
      <c r="B20" s="114" t="s">
        <v>260</v>
      </c>
      <c r="C20" s="221"/>
      <c r="D20" s="222"/>
      <c r="E20" s="123">
        <v>0</v>
      </c>
      <c r="G20" s="114" t="s">
        <v>260</v>
      </c>
      <c r="H20" s="221"/>
      <c r="I20" s="222"/>
      <c r="J20" s="123">
        <v>0</v>
      </c>
      <c r="L20" s="114" t="s">
        <v>260</v>
      </c>
      <c r="M20" s="221"/>
      <c r="N20" s="222"/>
      <c r="O20" s="123">
        <v>0</v>
      </c>
    </row>
    <row r="21" spans="2:15" x14ac:dyDescent="0.3">
      <c r="B21" s="114" t="s">
        <v>99</v>
      </c>
      <c r="C21" s="2"/>
      <c r="D21" s="2"/>
      <c r="E21" s="122">
        <v>130</v>
      </c>
      <c r="G21" s="114" t="s">
        <v>99</v>
      </c>
      <c r="H21" s="2"/>
      <c r="I21" s="2"/>
      <c r="J21" s="122">
        <v>160</v>
      </c>
      <c r="L21" s="114" t="s">
        <v>99</v>
      </c>
      <c r="M21" s="2"/>
      <c r="N21" s="2"/>
      <c r="O21" s="122">
        <v>290</v>
      </c>
    </row>
    <row r="22" spans="2:15" x14ac:dyDescent="0.3">
      <c r="B22" s="114" t="s">
        <v>106</v>
      </c>
      <c r="C22" s="2"/>
      <c r="D22" s="2"/>
      <c r="E22" s="121">
        <v>10</v>
      </c>
      <c r="G22" s="114" t="s">
        <v>106</v>
      </c>
      <c r="H22" s="2"/>
      <c r="I22" s="2"/>
      <c r="J22" s="121">
        <v>12.307692307692308</v>
      </c>
      <c r="L22" s="114" t="s">
        <v>106</v>
      </c>
      <c r="M22" s="2"/>
      <c r="N22" s="2"/>
      <c r="O22" s="121">
        <v>22.307692307692307</v>
      </c>
    </row>
    <row r="23" spans="2:15" x14ac:dyDescent="0.3">
      <c r="B23" s="114" t="s">
        <v>132</v>
      </c>
      <c r="C23" s="2"/>
      <c r="D23" s="2"/>
      <c r="E23" s="122">
        <v>0</v>
      </c>
      <c r="G23" s="114" t="s">
        <v>132</v>
      </c>
      <c r="H23" s="2"/>
      <c r="I23" s="2"/>
      <c r="J23" s="122">
        <v>6.4</v>
      </c>
      <c r="L23" s="114" t="s">
        <v>132</v>
      </c>
      <c r="M23" s="2"/>
      <c r="N23" s="2"/>
      <c r="O23" s="122">
        <v>10.4</v>
      </c>
    </row>
    <row r="24" spans="2:15" ht="15" thickBot="1" x14ac:dyDescent="0.35">
      <c r="B24" s="114" t="s">
        <v>102</v>
      </c>
      <c r="C24" s="2"/>
      <c r="D24" s="223"/>
      <c r="E24" s="226">
        <v>0</v>
      </c>
      <c r="G24" s="114" t="s">
        <v>102</v>
      </c>
      <c r="H24" s="2"/>
      <c r="I24" s="223"/>
      <c r="J24" s="226">
        <v>0</v>
      </c>
      <c r="L24" s="114" t="s">
        <v>102</v>
      </c>
      <c r="M24" s="2"/>
      <c r="N24" s="223"/>
      <c r="O24" s="226">
        <v>0</v>
      </c>
    </row>
    <row r="25" spans="2:15" ht="15.6" thickTop="1" thickBot="1" x14ac:dyDescent="0.35">
      <c r="B25" s="119" t="s">
        <v>100</v>
      </c>
      <c r="C25" s="120"/>
      <c r="D25" s="225"/>
      <c r="E25" s="227">
        <v>130</v>
      </c>
      <c r="G25" s="119" t="s">
        <v>100</v>
      </c>
      <c r="H25" s="120"/>
      <c r="I25" s="225"/>
      <c r="J25" s="227">
        <v>166.4</v>
      </c>
      <c r="L25" s="119" t="s">
        <v>100</v>
      </c>
      <c r="M25" s="120"/>
      <c r="N25" s="225"/>
      <c r="O25" s="227">
        <v>300.39999999999998</v>
      </c>
    </row>
    <row r="26" spans="2:15" ht="15.6" thickTop="1" thickBot="1" x14ac:dyDescent="0.35"/>
    <row r="27" spans="2:15" ht="15.6" thickTop="1" thickBot="1" x14ac:dyDescent="0.35">
      <c r="B27" s="291" t="s">
        <v>98</v>
      </c>
      <c r="C27" s="292"/>
      <c r="D27" s="293"/>
      <c r="E27" s="140">
        <v>44788</v>
      </c>
      <c r="G27" s="291" t="s">
        <v>98</v>
      </c>
      <c r="H27" s="292"/>
      <c r="I27" s="293"/>
      <c r="J27" s="140">
        <v>44788</v>
      </c>
      <c r="L27" s="291" t="s">
        <v>98</v>
      </c>
      <c r="M27" s="292"/>
      <c r="N27" s="293"/>
      <c r="O27" s="140">
        <v>44788</v>
      </c>
    </row>
    <row r="28" spans="2:15" ht="15.6" thickTop="1" thickBot="1" x14ac:dyDescent="0.35">
      <c r="B28" s="294"/>
      <c r="C28" s="295"/>
      <c r="D28" s="296"/>
      <c r="E28" s="140">
        <v>44880</v>
      </c>
      <c r="G28" s="294"/>
      <c r="H28" s="295"/>
      <c r="I28" s="296"/>
      <c r="J28" s="140">
        <v>44910</v>
      </c>
      <c r="L28" s="294"/>
      <c r="M28" s="295"/>
      <c r="N28" s="296"/>
      <c r="O28" s="140">
        <v>44941</v>
      </c>
    </row>
    <row r="29" spans="2:15" ht="15.6" thickTop="1" thickBot="1" x14ac:dyDescent="0.35">
      <c r="B29" s="114" t="s">
        <v>97</v>
      </c>
      <c r="C29" s="2"/>
      <c r="D29" s="2"/>
      <c r="E29" s="209">
        <v>520</v>
      </c>
      <c r="G29" s="114" t="s">
        <v>97</v>
      </c>
      <c r="H29" s="2"/>
      <c r="I29" s="2"/>
      <c r="J29" s="209">
        <v>650</v>
      </c>
      <c r="L29" s="114" t="s">
        <v>97</v>
      </c>
      <c r="M29" s="2"/>
      <c r="N29" s="2"/>
      <c r="O29" s="209">
        <v>780</v>
      </c>
    </row>
    <row r="30" spans="2:15" ht="15.6" thickTop="1" thickBot="1" x14ac:dyDescent="0.35">
      <c r="B30" s="115" t="s">
        <v>188</v>
      </c>
      <c r="C30" s="116"/>
      <c r="D30" s="116"/>
      <c r="E30" s="217"/>
      <c r="G30" s="115" t="s">
        <v>188</v>
      </c>
      <c r="H30" s="116"/>
      <c r="I30" s="116"/>
      <c r="J30" s="217"/>
      <c r="L30" s="115" t="s">
        <v>188</v>
      </c>
      <c r="M30" s="116"/>
      <c r="N30" s="116"/>
      <c r="O30" s="217"/>
    </row>
    <row r="31" spans="2:15" ht="15" thickTop="1" x14ac:dyDescent="0.3">
      <c r="B31" s="215" t="s">
        <v>255</v>
      </c>
      <c r="C31" s="2"/>
      <c r="D31" s="2"/>
      <c r="E31" s="208">
        <v>760</v>
      </c>
      <c r="G31" s="215" t="s">
        <v>255</v>
      </c>
      <c r="H31" s="2"/>
      <c r="I31" s="2"/>
      <c r="J31" s="208">
        <v>1130</v>
      </c>
      <c r="L31" s="215" t="s">
        <v>255</v>
      </c>
      <c r="M31" s="2"/>
      <c r="N31" s="2"/>
      <c r="O31" s="208">
        <v>1480</v>
      </c>
    </row>
    <row r="32" spans="2:15" x14ac:dyDescent="0.3">
      <c r="B32" s="216" t="s">
        <v>256</v>
      </c>
      <c r="C32" s="2"/>
      <c r="D32" s="2"/>
      <c r="E32" s="123">
        <v>100</v>
      </c>
      <c r="G32" s="216" t="s">
        <v>256</v>
      </c>
      <c r="H32" s="2"/>
      <c r="I32" s="2"/>
      <c r="J32" s="123">
        <v>100</v>
      </c>
      <c r="L32" s="216" t="s">
        <v>256</v>
      </c>
      <c r="M32" s="2"/>
      <c r="N32" s="2"/>
      <c r="O32" s="123">
        <v>100</v>
      </c>
    </row>
    <row r="33" spans="2:15" x14ac:dyDescent="0.3">
      <c r="B33" s="114" t="s">
        <v>109</v>
      </c>
      <c r="C33" s="2"/>
      <c r="D33" s="2"/>
      <c r="E33" s="124">
        <v>400</v>
      </c>
      <c r="G33" s="114" t="s">
        <v>109</v>
      </c>
      <c r="H33" s="2"/>
      <c r="I33" s="2"/>
      <c r="J33" s="124">
        <v>370</v>
      </c>
      <c r="L33" s="114" t="s">
        <v>109</v>
      </c>
      <c r="M33" s="2"/>
      <c r="N33" s="2"/>
      <c r="O33" s="124">
        <v>350</v>
      </c>
    </row>
    <row r="34" spans="2:15" x14ac:dyDescent="0.3">
      <c r="B34" s="216" t="s">
        <v>257</v>
      </c>
      <c r="C34" s="2"/>
      <c r="D34" s="2"/>
      <c r="E34" s="218">
        <v>22.4</v>
      </c>
      <c r="G34" s="216" t="s">
        <v>257</v>
      </c>
      <c r="H34" s="2"/>
      <c r="I34" s="2"/>
      <c r="J34" s="218">
        <v>55.4</v>
      </c>
      <c r="L34" s="216" t="s">
        <v>257</v>
      </c>
      <c r="M34" s="2"/>
      <c r="N34" s="2"/>
      <c r="O34" s="218">
        <v>78.400000000000006</v>
      </c>
    </row>
    <row r="35" spans="2:15" ht="15" thickBot="1" x14ac:dyDescent="0.35">
      <c r="B35" s="114" t="s">
        <v>111</v>
      </c>
      <c r="C35" s="2"/>
      <c r="D35" s="2"/>
      <c r="E35" s="124">
        <v>12</v>
      </c>
      <c r="G35" s="114" t="s">
        <v>111</v>
      </c>
      <c r="H35" s="2"/>
      <c r="I35" s="2"/>
      <c r="J35" s="124">
        <v>33</v>
      </c>
      <c r="L35" s="114" t="s">
        <v>111</v>
      </c>
      <c r="M35" s="2"/>
      <c r="N35" s="2"/>
      <c r="O35" s="124">
        <v>23</v>
      </c>
    </row>
    <row r="36" spans="2:15" ht="15.6" thickTop="1" thickBot="1" x14ac:dyDescent="0.35">
      <c r="B36" s="219" t="s">
        <v>41</v>
      </c>
      <c r="C36" s="116"/>
      <c r="D36" s="116"/>
      <c r="E36" s="217"/>
      <c r="G36" s="219" t="s">
        <v>41</v>
      </c>
      <c r="H36" s="116"/>
      <c r="I36" s="116"/>
      <c r="J36" s="217"/>
      <c r="L36" s="219" t="s">
        <v>41</v>
      </c>
      <c r="M36" s="116"/>
      <c r="N36" s="116"/>
      <c r="O36" s="217"/>
    </row>
    <row r="37" spans="2:15" ht="15" thickTop="1" x14ac:dyDescent="0.3">
      <c r="B37" s="114" t="s">
        <v>107</v>
      </c>
      <c r="C37" s="2"/>
      <c r="D37" s="2"/>
      <c r="E37" s="123">
        <v>360</v>
      </c>
      <c r="G37" s="114" t="s">
        <v>107</v>
      </c>
      <c r="H37" s="2"/>
      <c r="I37" s="2"/>
      <c r="J37" s="123">
        <v>360</v>
      </c>
      <c r="L37" s="114" t="s">
        <v>107</v>
      </c>
      <c r="M37" s="2"/>
      <c r="N37" s="2"/>
      <c r="O37" s="123">
        <v>594</v>
      </c>
    </row>
    <row r="38" spans="2:15" x14ac:dyDescent="0.3">
      <c r="B38" s="114" t="s">
        <v>110</v>
      </c>
      <c r="C38" s="2"/>
      <c r="D38" s="2"/>
      <c r="E38" s="124">
        <v>200</v>
      </c>
      <c r="G38" s="114" t="s">
        <v>110</v>
      </c>
      <c r="H38" s="2"/>
      <c r="I38" s="2"/>
      <c r="J38" s="124">
        <v>0</v>
      </c>
      <c r="L38" s="114" t="s">
        <v>110</v>
      </c>
      <c r="M38" s="2"/>
      <c r="N38" s="2"/>
      <c r="O38" s="124">
        <v>234</v>
      </c>
    </row>
    <row r="39" spans="2:15" ht="15" thickBot="1" x14ac:dyDescent="0.35">
      <c r="B39" s="128" t="s">
        <v>101</v>
      </c>
      <c r="C39" s="127"/>
      <c r="D39" s="118"/>
      <c r="E39" s="126">
        <v>400</v>
      </c>
      <c r="G39" s="128" t="s">
        <v>101</v>
      </c>
      <c r="H39" s="127"/>
      <c r="I39" s="118"/>
      <c r="J39" s="126">
        <v>770</v>
      </c>
      <c r="L39" s="128" t="s">
        <v>101</v>
      </c>
      <c r="M39" s="127"/>
      <c r="N39" s="118"/>
      <c r="O39" s="126">
        <v>886</v>
      </c>
    </row>
    <row r="40" spans="2:15" ht="15" thickTop="1" x14ac:dyDescent="0.3">
      <c r="B40" s="114" t="s">
        <v>108</v>
      </c>
      <c r="C40" s="2"/>
      <c r="D40" s="2"/>
      <c r="E40" s="123">
        <v>10.4</v>
      </c>
      <c r="G40" s="114" t="s">
        <v>108</v>
      </c>
      <c r="H40" s="2"/>
      <c r="I40" s="2"/>
      <c r="J40" s="123">
        <v>10.4</v>
      </c>
      <c r="L40" s="114" t="s">
        <v>108</v>
      </c>
      <c r="M40" s="2"/>
      <c r="N40" s="2"/>
      <c r="O40" s="123">
        <v>23.799999999999997</v>
      </c>
    </row>
    <row r="41" spans="2:15" x14ac:dyDescent="0.3">
      <c r="B41" s="114" t="s">
        <v>112</v>
      </c>
      <c r="C41" s="2"/>
      <c r="D41" s="2"/>
      <c r="E41" s="124">
        <v>4</v>
      </c>
      <c r="G41" s="114" t="s">
        <v>112</v>
      </c>
      <c r="H41" s="2"/>
      <c r="I41" s="2"/>
      <c r="J41" s="124">
        <v>0</v>
      </c>
      <c r="L41" s="114" t="s">
        <v>112</v>
      </c>
      <c r="M41" s="2"/>
      <c r="N41" s="2"/>
      <c r="O41" s="124">
        <v>3.4</v>
      </c>
    </row>
    <row r="42" spans="2:15" ht="15" thickBot="1" x14ac:dyDescent="0.35">
      <c r="B42" s="128" t="s">
        <v>104</v>
      </c>
      <c r="C42" s="118"/>
      <c r="D42" s="118"/>
      <c r="E42" s="126">
        <v>11.999999999999998</v>
      </c>
      <c r="G42" s="128" t="s">
        <v>104</v>
      </c>
      <c r="H42" s="118"/>
      <c r="I42" s="118"/>
      <c r="J42" s="126">
        <v>45</v>
      </c>
      <c r="L42" s="128" t="s">
        <v>104</v>
      </c>
      <c r="M42" s="118"/>
      <c r="N42" s="118"/>
      <c r="O42" s="126">
        <v>54.600000000000009</v>
      </c>
    </row>
    <row r="43" spans="2:15" ht="15.6" thickTop="1" thickBot="1" x14ac:dyDescent="0.35">
      <c r="B43" s="115" t="s">
        <v>258</v>
      </c>
      <c r="C43" s="220"/>
      <c r="D43" s="116"/>
      <c r="E43" s="224"/>
      <c r="G43" s="115" t="s">
        <v>258</v>
      </c>
      <c r="H43" s="220"/>
      <c r="I43" s="116"/>
      <c r="J43" s="224"/>
      <c r="L43" s="115" t="s">
        <v>258</v>
      </c>
      <c r="M43" s="220"/>
      <c r="N43" s="116"/>
      <c r="O43" s="224"/>
    </row>
    <row r="44" spans="2:15" ht="15" thickTop="1" x14ac:dyDescent="0.3">
      <c r="B44" s="114" t="s">
        <v>259</v>
      </c>
      <c r="C44" s="210"/>
      <c r="D44" s="2"/>
      <c r="E44" s="125">
        <v>0</v>
      </c>
      <c r="G44" s="114" t="s">
        <v>259</v>
      </c>
      <c r="H44" s="210"/>
      <c r="I44" s="2"/>
      <c r="J44" s="125">
        <v>0</v>
      </c>
      <c r="L44" s="114" t="s">
        <v>259</v>
      </c>
      <c r="M44" s="210"/>
      <c r="N44" s="2"/>
      <c r="O44" s="125">
        <v>10</v>
      </c>
    </row>
    <row r="45" spans="2:15" x14ac:dyDescent="0.3">
      <c r="B45" s="114" t="s">
        <v>260</v>
      </c>
      <c r="C45" s="221"/>
      <c r="D45" s="222"/>
      <c r="E45" s="123">
        <v>0</v>
      </c>
      <c r="G45" s="114" t="s">
        <v>260</v>
      </c>
      <c r="H45" s="221"/>
      <c r="I45" s="222"/>
      <c r="J45" s="123">
        <v>0</v>
      </c>
      <c r="L45" s="114" t="s">
        <v>260</v>
      </c>
      <c r="M45" s="221"/>
      <c r="N45" s="222"/>
      <c r="O45" s="123">
        <v>0</v>
      </c>
    </row>
    <row r="46" spans="2:15" x14ac:dyDescent="0.3">
      <c r="B46" s="114" t="s">
        <v>99</v>
      </c>
      <c r="C46" s="2"/>
      <c r="D46" s="2"/>
      <c r="E46" s="122">
        <v>420</v>
      </c>
      <c r="G46" s="114" t="s">
        <v>99</v>
      </c>
      <c r="H46" s="2"/>
      <c r="I46" s="2"/>
      <c r="J46" s="122">
        <v>550</v>
      </c>
      <c r="L46" s="114" t="s">
        <v>99</v>
      </c>
      <c r="M46" s="2"/>
      <c r="N46" s="2"/>
      <c r="O46" s="122">
        <v>680</v>
      </c>
    </row>
    <row r="47" spans="2:15" x14ac:dyDescent="0.3">
      <c r="B47" s="114" t="s">
        <v>106</v>
      </c>
      <c r="C47" s="2"/>
      <c r="D47" s="2"/>
      <c r="E47" s="121">
        <v>32.307692307692307</v>
      </c>
      <c r="G47" s="114" t="s">
        <v>106</v>
      </c>
      <c r="H47" s="2"/>
      <c r="I47" s="2"/>
      <c r="J47" s="121">
        <v>42.307692307692307</v>
      </c>
      <c r="L47" s="114" t="s">
        <v>106</v>
      </c>
      <c r="M47" s="2"/>
      <c r="N47" s="2"/>
      <c r="O47" s="121">
        <v>52.307692307692307</v>
      </c>
    </row>
    <row r="48" spans="2:15" x14ac:dyDescent="0.3">
      <c r="B48" s="114" t="s">
        <v>132</v>
      </c>
      <c r="C48" s="2"/>
      <c r="D48" s="2"/>
      <c r="E48" s="122">
        <v>22.4</v>
      </c>
      <c r="G48" s="114" t="s">
        <v>132</v>
      </c>
      <c r="H48" s="2"/>
      <c r="I48" s="2"/>
      <c r="J48" s="122">
        <v>55.4</v>
      </c>
      <c r="L48" s="114" t="s">
        <v>132</v>
      </c>
      <c r="M48" s="2"/>
      <c r="N48" s="2"/>
      <c r="O48" s="122">
        <v>78.400000000000006</v>
      </c>
    </row>
    <row r="49" spans="2:15" ht="15" thickBot="1" x14ac:dyDescent="0.35">
      <c r="B49" s="114" t="s">
        <v>102</v>
      </c>
      <c r="C49" s="2"/>
      <c r="D49" s="223"/>
      <c r="E49" s="226">
        <v>0</v>
      </c>
      <c r="G49" s="114" t="s">
        <v>102</v>
      </c>
      <c r="H49" s="2"/>
      <c r="I49" s="223"/>
      <c r="J49" s="226">
        <v>0</v>
      </c>
      <c r="L49" s="114" t="s">
        <v>102</v>
      </c>
      <c r="M49" s="2"/>
      <c r="N49" s="223"/>
      <c r="O49" s="226"/>
    </row>
    <row r="50" spans="2:15" ht="15.6" thickTop="1" thickBot="1" x14ac:dyDescent="0.35">
      <c r="B50" s="119" t="s">
        <v>100</v>
      </c>
      <c r="C50" s="120"/>
      <c r="D50" s="225"/>
      <c r="E50" s="227">
        <v>442.4</v>
      </c>
      <c r="G50" s="119" t="s">
        <v>100</v>
      </c>
      <c r="H50" s="120"/>
      <c r="I50" s="225"/>
      <c r="J50" s="227">
        <v>605.4</v>
      </c>
      <c r="L50" s="119" t="s">
        <v>100</v>
      </c>
      <c r="M50" s="120"/>
      <c r="N50" s="225"/>
      <c r="O50" s="227">
        <v>768.4</v>
      </c>
    </row>
    <row r="51" spans="2:15" ht="15.6" thickTop="1" thickBot="1" x14ac:dyDescent="0.35"/>
    <row r="52" spans="2:15" ht="15.6" thickTop="1" thickBot="1" x14ac:dyDescent="0.35">
      <c r="B52" s="291" t="s">
        <v>98</v>
      </c>
      <c r="C52" s="292"/>
      <c r="D52" s="293"/>
      <c r="E52" s="140">
        <v>44788</v>
      </c>
      <c r="G52" s="291" t="s">
        <v>98</v>
      </c>
      <c r="H52" s="292"/>
      <c r="I52" s="293"/>
      <c r="J52" s="140">
        <v>44788</v>
      </c>
      <c r="L52" s="291" t="s">
        <v>98</v>
      </c>
      <c r="M52" s="292"/>
      <c r="N52" s="293"/>
      <c r="O52" s="140">
        <v>44788</v>
      </c>
    </row>
    <row r="53" spans="2:15" ht="15.6" thickTop="1" thickBot="1" x14ac:dyDescent="0.35">
      <c r="B53" s="294"/>
      <c r="C53" s="295"/>
      <c r="D53" s="296"/>
      <c r="E53" s="140">
        <v>44972</v>
      </c>
      <c r="G53" s="294"/>
      <c r="H53" s="295"/>
      <c r="I53" s="296"/>
      <c r="J53" s="140">
        <v>45000</v>
      </c>
      <c r="L53" s="294"/>
      <c r="M53" s="295"/>
      <c r="N53" s="296"/>
      <c r="O53" s="140">
        <v>45031</v>
      </c>
    </row>
    <row r="54" spans="2:15" ht="15.6" thickTop="1" thickBot="1" x14ac:dyDescent="0.35">
      <c r="B54" s="114" t="s">
        <v>97</v>
      </c>
      <c r="C54" s="2"/>
      <c r="D54" s="2"/>
      <c r="E54" s="209">
        <v>910</v>
      </c>
      <c r="G54" s="114" t="s">
        <v>97</v>
      </c>
      <c r="H54" s="2"/>
      <c r="I54" s="2"/>
      <c r="J54" s="209">
        <v>1040</v>
      </c>
      <c r="L54" s="114" t="s">
        <v>97</v>
      </c>
      <c r="M54" s="2"/>
      <c r="N54" s="2"/>
      <c r="O54" s="209">
        <v>1170</v>
      </c>
    </row>
    <row r="55" spans="2:15" ht="15.6" thickTop="1" thickBot="1" x14ac:dyDescent="0.35">
      <c r="B55" s="115" t="s">
        <v>188</v>
      </c>
      <c r="C55" s="116"/>
      <c r="D55" s="116"/>
      <c r="E55" s="217"/>
      <c r="G55" s="115" t="s">
        <v>188</v>
      </c>
      <c r="H55" s="116"/>
      <c r="I55" s="116"/>
      <c r="J55" s="217"/>
      <c r="L55" s="115" t="s">
        <v>188</v>
      </c>
      <c r="M55" s="116"/>
      <c r="N55" s="116"/>
      <c r="O55" s="217"/>
    </row>
    <row r="56" spans="2:15" ht="15" thickTop="1" x14ac:dyDescent="0.3">
      <c r="B56" s="215" t="s">
        <v>255</v>
      </c>
      <c r="C56" s="2"/>
      <c r="D56" s="2"/>
      <c r="E56" s="208">
        <v>1880</v>
      </c>
      <c r="G56" s="215" t="s">
        <v>255</v>
      </c>
      <c r="H56" s="2"/>
      <c r="I56" s="2"/>
      <c r="J56" s="208">
        <v>2360</v>
      </c>
      <c r="L56" s="215" t="s">
        <v>255</v>
      </c>
      <c r="M56" s="2"/>
      <c r="N56" s="2"/>
      <c r="O56" s="208">
        <v>2660</v>
      </c>
    </row>
    <row r="57" spans="2:15" x14ac:dyDescent="0.3">
      <c r="B57" s="216" t="s">
        <v>256</v>
      </c>
      <c r="C57" s="2"/>
      <c r="D57" s="2"/>
      <c r="E57" s="123">
        <v>100</v>
      </c>
      <c r="G57" s="216" t="s">
        <v>256</v>
      </c>
      <c r="H57" s="2"/>
      <c r="I57" s="2"/>
      <c r="J57" s="123">
        <v>100</v>
      </c>
      <c r="L57" s="216" t="s">
        <v>256</v>
      </c>
      <c r="M57" s="2"/>
      <c r="N57" s="2"/>
      <c r="O57" s="123">
        <v>100</v>
      </c>
    </row>
    <row r="58" spans="2:15" x14ac:dyDescent="0.3">
      <c r="B58" s="114" t="s">
        <v>109</v>
      </c>
      <c r="C58" s="2"/>
      <c r="D58" s="2"/>
      <c r="E58" s="124">
        <v>400</v>
      </c>
      <c r="G58" s="114" t="s">
        <v>109</v>
      </c>
      <c r="H58" s="2"/>
      <c r="I58" s="2"/>
      <c r="J58" s="124">
        <v>480</v>
      </c>
      <c r="L58" s="114" t="s">
        <v>109</v>
      </c>
      <c r="M58" s="2"/>
      <c r="N58" s="2"/>
      <c r="O58" s="124">
        <v>300</v>
      </c>
    </row>
    <row r="59" spans="2:15" x14ac:dyDescent="0.3">
      <c r="B59" s="216" t="s">
        <v>257</v>
      </c>
      <c r="C59" s="2"/>
      <c r="D59" s="2"/>
      <c r="E59" s="218">
        <v>104.4</v>
      </c>
      <c r="G59" s="216" t="s">
        <v>257</v>
      </c>
      <c r="H59" s="2"/>
      <c r="I59" s="2"/>
      <c r="J59" s="218">
        <v>138</v>
      </c>
      <c r="L59" s="216" t="s">
        <v>257</v>
      </c>
      <c r="M59" s="2"/>
      <c r="N59" s="2"/>
      <c r="O59" s="218">
        <v>162</v>
      </c>
    </row>
    <row r="60" spans="2:15" ht="15" thickBot="1" x14ac:dyDescent="0.35">
      <c r="B60" s="114" t="s">
        <v>111</v>
      </c>
      <c r="C60" s="2"/>
      <c r="D60" s="2"/>
      <c r="E60" s="124">
        <v>26</v>
      </c>
      <c r="G60" s="114" t="s">
        <v>111</v>
      </c>
      <c r="H60" s="2"/>
      <c r="I60" s="2"/>
      <c r="J60" s="124">
        <v>33.6</v>
      </c>
      <c r="L60" s="114" t="s">
        <v>111</v>
      </c>
      <c r="M60" s="2"/>
      <c r="N60" s="2"/>
      <c r="O60" s="124">
        <v>24</v>
      </c>
    </row>
    <row r="61" spans="2:15" ht="15.6" thickTop="1" thickBot="1" x14ac:dyDescent="0.35">
      <c r="B61" s="219" t="s">
        <v>41</v>
      </c>
      <c r="C61" s="116"/>
      <c r="D61" s="116"/>
      <c r="E61" s="217"/>
      <c r="G61" s="219" t="s">
        <v>41</v>
      </c>
      <c r="H61" s="116"/>
      <c r="I61" s="116"/>
      <c r="J61" s="217"/>
      <c r="L61" s="219" t="s">
        <v>41</v>
      </c>
      <c r="M61" s="116"/>
      <c r="N61" s="116"/>
      <c r="O61" s="217"/>
    </row>
    <row r="62" spans="2:15" ht="15" thickTop="1" x14ac:dyDescent="0.3">
      <c r="B62" s="114" t="s">
        <v>107</v>
      </c>
      <c r="C62" s="2"/>
      <c r="D62" s="2"/>
      <c r="E62" s="123">
        <v>936.33</v>
      </c>
      <c r="G62" s="114" t="s">
        <v>107</v>
      </c>
      <c r="H62" s="2"/>
      <c r="I62" s="2"/>
      <c r="J62" s="123">
        <v>1203.6599999999999</v>
      </c>
      <c r="L62" s="114" t="s">
        <v>107</v>
      </c>
      <c r="M62" s="2"/>
      <c r="N62" s="2"/>
      <c r="O62" s="123">
        <v>1850.9899999999998</v>
      </c>
    </row>
    <row r="63" spans="2:15" x14ac:dyDescent="0.3">
      <c r="B63" s="114" t="s">
        <v>110</v>
      </c>
      <c r="C63" s="2"/>
      <c r="D63" s="2"/>
      <c r="E63" s="124">
        <v>342.33</v>
      </c>
      <c r="G63" s="114" t="s">
        <v>110</v>
      </c>
      <c r="H63" s="2"/>
      <c r="I63" s="2"/>
      <c r="J63" s="124">
        <v>267.33</v>
      </c>
      <c r="L63" s="114" t="s">
        <v>110</v>
      </c>
      <c r="M63" s="2"/>
      <c r="N63" s="2"/>
      <c r="O63" s="124">
        <v>647.32999999999993</v>
      </c>
    </row>
    <row r="64" spans="2:15" ht="15" thickBot="1" x14ac:dyDescent="0.35">
      <c r="B64" s="128" t="s">
        <v>101</v>
      </c>
      <c r="C64" s="127"/>
      <c r="D64" s="118"/>
      <c r="E64" s="126">
        <v>943.67</v>
      </c>
      <c r="G64" s="128" t="s">
        <v>101</v>
      </c>
      <c r="H64" s="127"/>
      <c r="I64" s="118"/>
      <c r="J64" s="126">
        <v>1156.3400000000001</v>
      </c>
      <c r="L64" s="128" t="s">
        <v>101</v>
      </c>
      <c r="M64" s="127"/>
      <c r="N64" s="118"/>
      <c r="O64" s="126">
        <v>809.01000000000022</v>
      </c>
    </row>
    <row r="65" spans="2:16" ht="15" thickTop="1" x14ac:dyDescent="0.3">
      <c r="B65" s="114" t="s">
        <v>108</v>
      </c>
      <c r="C65" s="2"/>
      <c r="D65" s="2"/>
      <c r="E65" s="123">
        <v>46.199999999999996</v>
      </c>
      <c r="G65" s="114" t="s">
        <v>108</v>
      </c>
      <c r="H65" s="2"/>
      <c r="I65" s="2"/>
      <c r="J65" s="123">
        <v>64.599999999999994</v>
      </c>
      <c r="L65" s="114" t="s">
        <v>108</v>
      </c>
      <c r="M65" s="2"/>
      <c r="N65" s="2"/>
      <c r="O65" s="123">
        <v>108.6</v>
      </c>
    </row>
    <row r="66" spans="2:16" x14ac:dyDescent="0.3">
      <c r="B66" s="114" t="s">
        <v>112</v>
      </c>
      <c r="C66" s="2"/>
      <c r="D66" s="2"/>
      <c r="E66" s="124">
        <v>22.4</v>
      </c>
      <c r="G66" s="114" t="s">
        <v>112</v>
      </c>
      <c r="H66" s="2"/>
      <c r="I66" s="2"/>
      <c r="J66" s="124">
        <v>18.399999999999999</v>
      </c>
      <c r="L66" s="114" t="s">
        <v>112</v>
      </c>
      <c r="M66" s="2"/>
      <c r="N66" s="2"/>
      <c r="O66" s="124">
        <v>44</v>
      </c>
    </row>
    <row r="67" spans="2:16" ht="15" thickBot="1" x14ac:dyDescent="0.35">
      <c r="B67" s="128" t="s">
        <v>104</v>
      </c>
      <c r="C67" s="118"/>
      <c r="D67" s="118"/>
      <c r="E67" s="126">
        <v>58.20000000000001</v>
      </c>
      <c r="G67" s="128" t="s">
        <v>104</v>
      </c>
      <c r="H67" s="118"/>
      <c r="I67" s="118"/>
      <c r="J67" s="126">
        <v>73.400000000000006</v>
      </c>
      <c r="L67" s="128" t="s">
        <v>104</v>
      </c>
      <c r="M67" s="118"/>
      <c r="N67" s="118"/>
      <c r="O67" s="126">
        <v>53.400000000000006</v>
      </c>
    </row>
    <row r="68" spans="2:16" ht="15.6" thickTop="1" thickBot="1" x14ac:dyDescent="0.35">
      <c r="B68" s="115" t="s">
        <v>258</v>
      </c>
      <c r="C68" s="220"/>
      <c r="D68" s="116"/>
      <c r="E68" s="224"/>
      <c r="G68" s="115" t="s">
        <v>258</v>
      </c>
      <c r="H68" s="220"/>
      <c r="I68" s="116"/>
      <c r="J68" s="224"/>
      <c r="L68" s="115" t="s">
        <v>258</v>
      </c>
      <c r="M68" s="220"/>
      <c r="N68" s="116"/>
      <c r="O68" s="224"/>
    </row>
    <row r="69" spans="2:16" ht="15" thickTop="1" x14ac:dyDescent="0.3">
      <c r="B69" s="114" t="s">
        <v>259</v>
      </c>
      <c r="C69" s="210"/>
      <c r="D69" s="2"/>
      <c r="E69" s="125">
        <v>10</v>
      </c>
      <c r="G69" s="114" t="s">
        <v>259</v>
      </c>
      <c r="H69" s="210"/>
      <c r="I69" s="2"/>
      <c r="J69" s="125">
        <v>10</v>
      </c>
      <c r="L69" s="114" t="s">
        <v>259</v>
      </c>
      <c r="M69" s="210"/>
      <c r="N69" s="2"/>
      <c r="O69" s="125">
        <v>10</v>
      </c>
    </row>
    <row r="70" spans="2:16" x14ac:dyDescent="0.3">
      <c r="B70" s="114" t="s">
        <v>260</v>
      </c>
      <c r="C70" s="221"/>
      <c r="D70" s="222"/>
      <c r="E70" s="123">
        <v>0</v>
      </c>
      <c r="G70" s="114" t="s">
        <v>260</v>
      </c>
      <c r="H70" s="221"/>
      <c r="I70" s="222"/>
      <c r="J70" s="123">
        <v>0</v>
      </c>
      <c r="L70" s="114" t="s">
        <v>260</v>
      </c>
      <c r="M70" s="221"/>
      <c r="N70" s="222"/>
      <c r="O70" s="123">
        <v>0</v>
      </c>
    </row>
    <row r="71" spans="2:16" x14ac:dyDescent="0.3">
      <c r="B71" s="114" t="s">
        <v>99</v>
      </c>
      <c r="C71" s="2"/>
      <c r="D71" s="2"/>
      <c r="E71" s="122">
        <v>810</v>
      </c>
      <c r="G71" s="114" t="s">
        <v>99</v>
      </c>
      <c r="H71" s="2"/>
      <c r="I71" s="2"/>
      <c r="J71" s="122">
        <v>940</v>
      </c>
      <c r="L71" s="114" t="s">
        <v>99</v>
      </c>
      <c r="M71" s="2"/>
      <c r="N71" s="2"/>
      <c r="O71" s="122">
        <v>1070</v>
      </c>
    </row>
    <row r="72" spans="2:16" x14ac:dyDescent="0.3">
      <c r="B72" s="114" t="s">
        <v>106</v>
      </c>
      <c r="C72" s="2"/>
      <c r="D72" s="2"/>
      <c r="E72" s="121">
        <v>62.307692307692307</v>
      </c>
      <c r="G72" s="114" t="s">
        <v>106</v>
      </c>
      <c r="H72" s="2"/>
      <c r="I72" s="2"/>
      <c r="J72" s="121">
        <v>72.307692307692307</v>
      </c>
      <c r="L72" s="114" t="s">
        <v>106</v>
      </c>
      <c r="M72" s="2"/>
      <c r="N72" s="2"/>
      <c r="O72" s="121">
        <v>82.307692307692307</v>
      </c>
    </row>
    <row r="73" spans="2:16" x14ac:dyDescent="0.3">
      <c r="B73" s="114" t="s">
        <v>132</v>
      </c>
      <c r="C73" s="2"/>
      <c r="D73" s="2"/>
      <c r="E73" s="122">
        <v>104.4</v>
      </c>
      <c r="G73" s="114" t="s">
        <v>132</v>
      </c>
      <c r="H73" s="2"/>
      <c r="I73" s="2"/>
      <c r="J73" s="122">
        <v>138</v>
      </c>
      <c r="L73" s="114" t="s">
        <v>132</v>
      </c>
      <c r="M73" s="2"/>
      <c r="N73" s="2"/>
      <c r="O73" s="122">
        <v>162</v>
      </c>
      <c r="P73" s="22"/>
    </row>
    <row r="74" spans="2:16" ht="15" thickBot="1" x14ac:dyDescent="0.35">
      <c r="B74" s="114" t="s">
        <v>102</v>
      </c>
      <c r="C74" s="2"/>
      <c r="D74" s="223"/>
      <c r="E74" s="226"/>
      <c r="G74" s="114" t="s">
        <v>102</v>
      </c>
      <c r="H74" s="2"/>
      <c r="I74" s="223"/>
      <c r="J74" s="226"/>
      <c r="L74" s="114" t="s">
        <v>102</v>
      </c>
      <c r="M74" s="2"/>
      <c r="N74" s="223"/>
      <c r="O74" s="226"/>
    </row>
    <row r="75" spans="2:16" ht="15.6" thickTop="1" thickBot="1" x14ac:dyDescent="0.35">
      <c r="B75" s="119" t="s">
        <v>100</v>
      </c>
      <c r="C75" s="120"/>
      <c r="D75" s="225"/>
      <c r="E75" s="227">
        <v>924.4</v>
      </c>
      <c r="G75" s="119" t="s">
        <v>100</v>
      </c>
      <c r="H75" s="120"/>
      <c r="I75" s="225"/>
      <c r="J75" s="227">
        <v>1088</v>
      </c>
      <c r="L75" s="119" t="s">
        <v>100</v>
      </c>
      <c r="M75" s="120"/>
      <c r="N75" s="225"/>
      <c r="O75" s="227">
        <v>1242</v>
      </c>
    </row>
    <row r="76" spans="2:16" ht="15.6" thickTop="1" thickBot="1" x14ac:dyDescent="0.35"/>
    <row r="77" spans="2:16" ht="15.6" thickTop="1" thickBot="1" x14ac:dyDescent="0.35">
      <c r="B77" s="291" t="s">
        <v>98</v>
      </c>
      <c r="C77" s="292"/>
      <c r="D77" s="293"/>
      <c r="E77" s="140">
        <v>44788</v>
      </c>
      <c r="G77" s="291" t="s">
        <v>98</v>
      </c>
      <c r="H77" s="292"/>
      <c r="I77" s="293"/>
      <c r="J77" s="140">
        <v>44788</v>
      </c>
      <c r="L77" s="291" t="s">
        <v>98</v>
      </c>
      <c r="M77" s="292"/>
      <c r="N77" s="293"/>
      <c r="O77" s="140">
        <v>44788</v>
      </c>
    </row>
    <row r="78" spans="2:16" ht="15.6" thickTop="1" thickBot="1" x14ac:dyDescent="0.35">
      <c r="B78" s="294"/>
      <c r="C78" s="295"/>
      <c r="D78" s="296"/>
      <c r="E78" s="140">
        <v>45061</v>
      </c>
      <c r="G78" s="294"/>
      <c r="H78" s="295"/>
      <c r="I78" s="296"/>
      <c r="J78" s="140">
        <v>45092</v>
      </c>
      <c r="L78" s="294"/>
      <c r="M78" s="295"/>
      <c r="N78" s="296"/>
      <c r="O78" s="140">
        <v>45122</v>
      </c>
    </row>
    <row r="79" spans="2:16" ht="15.6" thickTop="1" thickBot="1" x14ac:dyDescent="0.35">
      <c r="B79" s="114" t="s">
        <v>97</v>
      </c>
      <c r="C79" s="2"/>
      <c r="D79" s="2"/>
      <c r="E79" s="209">
        <v>1300</v>
      </c>
      <c r="G79" s="114" t="s">
        <v>97</v>
      </c>
      <c r="H79" s="2"/>
      <c r="I79" s="2"/>
      <c r="J79" s="209">
        <v>1430</v>
      </c>
      <c r="L79" s="114" t="s">
        <v>97</v>
      </c>
      <c r="M79" s="2"/>
      <c r="N79" s="2"/>
      <c r="O79" s="209">
        <v>1560</v>
      </c>
    </row>
    <row r="80" spans="2:16" ht="15.6" thickTop="1" thickBot="1" x14ac:dyDescent="0.35">
      <c r="B80" s="115" t="s">
        <v>188</v>
      </c>
      <c r="C80" s="116"/>
      <c r="D80" s="116"/>
      <c r="E80" s="217"/>
      <c r="G80" s="115" t="s">
        <v>188</v>
      </c>
      <c r="H80" s="116"/>
      <c r="I80" s="116"/>
      <c r="J80" s="217"/>
      <c r="L80" s="115" t="s">
        <v>188</v>
      </c>
      <c r="M80" s="116"/>
      <c r="N80" s="116"/>
      <c r="O80" s="217"/>
    </row>
    <row r="81" spans="2:15" ht="15" thickTop="1" x14ac:dyDescent="0.3">
      <c r="B81" s="215" t="s">
        <v>255</v>
      </c>
      <c r="C81" s="2"/>
      <c r="D81" s="2"/>
      <c r="E81" s="208">
        <v>2960</v>
      </c>
      <c r="G81" s="215" t="s">
        <v>255</v>
      </c>
      <c r="H81" s="2"/>
      <c r="I81" s="2"/>
      <c r="J81" s="208">
        <v>3960</v>
      </c>
      <c r="L81" s="215" t="s">
        <v>255</v>
      </c>
      <c r="M81" s="2"/>
      <c r="N81" s="2"/>
      <c r="O81" s="208">
        <v>3960</v>
      </c>
    </row>
    <row r="82" spans="2:15" x14ac:dyDescent="0.3">
      <c r="B82" s="216" t="s">
        <v>256</v>
      </c>
      <c r="C82" s="2"/>
      <c r="D82" s="2"/>
      <c r="E82" s="123">
        <v>100</v>
      </c>
      <c r="G82" s="216" t="s">
        <v>256</v>
      </c>
      <c r="H82" s="2"/>
      <c r="I82" s="2"/>
      <c r="J82" s="123">
        <v>100</v>
      </c>
      <c r="L82" s="216" t="s">
        <v>256</v>
      </c>
      <c r="M82" s="2"/>
      <c r="N82" s="2"/>
      <c r="O82" s="123">
        <v>100</v>
      </c>
    </row>
    <row r="83" spans="2:15" x14ac:dyDescent="0.3">
      <c r="B83" s="114" t="s">
        <v>109</v>
      </c>
      <c r="C83" s="2"/>
      <c r="D83" s="2"/>
      <c r="E83" s="124">
        <v>300</v>
      </c>
      <c r="G83" s="114" t="s">
        <v>109</v>
      </c>
      <c r="H83" s="2"/>
      <c r="I83" s="2"/>
      <c r="J83" s="124">
        <v>1000</v>
      </c>
      <c r="L83" s="114" t="s">
        <v>109</v>
      </c>
      <c r="M83" s="2"/>
      <c r="N83" s="2"/>
      <c r="O83" s="124">
        <v>0</v>
      </c>
    </row>
    <row r="84" spans="2:15" x14ac:dyDescent="0.3">
      <c r="B84" s="216" t="s">
        <v>257</v>
      </c>
      <c r="C84" s="2"/>
      <c r="D84" s="2"/>
      <c r="E84" s="218">
        <v>178</v>
      </c>
      <c r="G84" s="216" t="s">
        <v>257</v>
      </c>
      <c r="H84" s="2"/>
      <c r="I84" s="2"/>
      <c r="J84" s="218">
        <v>258</v>
      </c>
      <c r="L84" s="216" t="s">
        <v>257</v>
      </c>
      <c r="M84" s="2"/>
      <c r="N84" s="2"/>
      <c r="O84" s="218">
        <v>258</v>
      </c>
    </row>
    <row r="85" spans="2:15" ht="15" thickBot="1" x14ac:dyDescent="0.35">
      <c r="B85" s="114" t="s">
        <v>111</v>
      </c>
      <c r="C85" s="2"/>
      <c r="D85" s="2"/>
      <c r="E85" s="124">
        <v>16</v>
      </c>
      <c r="G85" s="114" t="s">
        <v>111</v>
      </c>
      <c r="H85" s="2"/>
      <c r="I85" s="2"/>
      <c r="J85" s="124">
        <v>80</v>
      </c>
      <c r="L85" s="114" t="s">
        <v>111</v>
      </c>
      <c r="M85" s="2"/>
      <c r="N85" s="2"/>
      <c r="O85" s="124">
        <v>0</v>
      </c>
    </row>
    <row r="86" spans="2:15" ht="15.6" thickTop="1" thickBot="1" x14ac:dyDescent="0.35">
      <c r="B86" s="219" t="s">
        <v>41</v>
      </c>
      <c r="C86" s="116"/>
      <c r="D86" s="116"/>
      <c r="E86" s="217"/>
      <c r="G86" s="219" t="s">
        <v>41</v>
      </c>
      <c r="H86" s="116"/>
      <c r="I86" s="116"/>
      <c r="J86" s="217"/>
      <c r="L86" s="219" t="s">
        <v>41</v>
      </c>
      <c r="M86" s="116"/>
      <c r="N86" s="116"/>
      <c r="O86" s="217"/>
    </row>
    <row r="87" spans="2:15" ht="15" thickTop="1" x14ac:dyDescent="0.3">
      <c r="B87" s="114" t="s">
        <v>107</v>
      </c>
      <c r="C87" s="2"/>
      <c r="D87" s="2"/>
      <c r="E87" s="123">
        <v>2209.9899999999998</v>
      </c>
      <c r="G87" s="114" t="s">
        <v>107</v>
      </c>
      <c r="H87" s="2"/>
      <c r="I87" s="2"/>
      <c r="J87" s="123">
        <v>2534.9899999999998</v>
      </c>
      <c r="L87" s="114" t="s">
        <v>107</v>
      </c>
      <c r="M87" s="2"/>
      <c r="N87" s="2"/>
      <c r="O87" s="123">
        <v>2834.99</v>
      </c>
    </row>
    <row r="88" spans="2:15" x14ac:dyDescent="0.3">
      <c r="B88" s="114" t="s">
        <v>110</v>
      </c>
      <c r="C88" s="2"/>
      <c r="D88" s="2"/>
      <c r="E88" s="124">
        <v>359</v>
      </c>
      <c r="G88" s="114" t="s">
        <v>110</v>
      </c>
      <c r="H88" s="2"/>
      <c r="I88" s="2"/>
      <c r="J88" s="124">
        <v>325</v>
      </c>
      <c r="L88" s="114" t="s">
        <v>110</v>
      </c>
      <c r="M88" s="2"/>
      <c r="N88" s="2"/>
      <c r="O88" s="124">
        <v>300</v>
      </c>
    </row>
    <row r="89" spans="2:15" ht="15" thickBot="1" x14ac:dyDescent="0.35">
      <c r="B89" s="128" t="s">
        <v>101</v>
      </c>
      <c r="C89" s="127"/>
      <c r="D89" s="118"/>
      <c r="E89" s="126">
        <v>750.01000000000022</v>
      </c>
      <c r="G89" s="128" t="s">
        <v>101</v>
      </c>
      <c r="H89" s="127"/>
      <c r="I89" s="118"/>
      <c r="J89" s="126">
        <v>1425.0100000000002</v>
      </c>
      <c r="L89" s="128" t="s">
        <v>101</v>
      </c>
      <c r="M89" s="127"/>
      <c r="N89" s="118"/>
      <c r="O89" s="126">
        <v>1125.0100000000002</v>
      </c>
    </row>
    <row r="90" spans="2:15" ht="15" thickTop="1" x14ac:dyDescent="0.3">
      <c r="B90" s="114" t="s">
        <v>108</v>
      </c>
      <c r="C90" s="2"/>
      <c r="D90" s="2"/>
      <c r="E90" s="123">
        <v>136</v>
      </c>
      <c r="G90" s="114" t="s">
        <v>108</v>
      </c>
      <c r="H90" s="2"/>
      <c r="I90" s="2"/>
      <c r="J90" s="123">
        <v>158</v>
      </c>
      <c r="L90" s="114" t="s">
        <v>108</v>
      </c>
      <c r="M90" s="2"/>
      <c r="N90" s="2"/>
      <c r="O90" s="123">
        <v>198</v>
      </c>
    </row>
    <row r="91" spans="2:15" x14ac:dyDescent="0.3">
      <c r="B91" s="114" t="s">
        <v>112</v>
      </c>
      <c r="C91" s="2"/>
      <c r="D91" s="2"/>
      <c r="E91" s="124">
        <v>27.4</v>
      </c>
      <c r="G91" s="114" t="s">
        <v>112</v>
      </c>
      <c r="H91" s="2"/>
      <c r="I91" s="2"/>
      <c r="J91" s="124">
        <v>22</v>
      </c>
      <c r="L91" s="114" t="s">
        <v>112</v>
      </c>
      <c r="M91" s="2"/>
      <c r="N91" s="2"/>
      <c r="O91" s="124">
        <v>40</v>
      </c>
    </row>
    <row r="92" spans="2:15" ht="15" thickBot="1" x14ac:dyDescent="0.35">
      <c r="B92" s="128" t="s">
        <v>104</v>
      </c>
      <c r="C92" s="118"/>
      <c r="D92" s="118"/>
      <c r="E92" s="126">
        <v>42</v>
      </c>
      <c r="G92" s="128" t="s">
        <v>104</v>
      </c>
      <c r="H92" s="118"/>
      <c r="I92" s="118"/>
      <c r="J92" s="126">
        <v>100</v>
      </c>
      <c r="L92" s="128" t="s">
        <v>104</v>
      </c>
      <c r="M92" s="118"/>
      <c r="N92" s="118"/>
      <c r="O92" s="126">
        <v>60</v>
      </c>
    </row>
    <row r="93" spans="2:15" ht="15.6" thickTop="1" thickBot="1" x14ac:dyDescent="0.35">
      <c r="B93" s="115" t="s">
        <v>258</v>
      </c>
      <c r="C93" s="220"/>
      <c r="D93" s="116"/>
      <c r="E93" s="224"/>
      <c r="G93" s="115" t="s">
        <v>258</v>
      </c>
      <c r="H93" s="220"/>
      <c r="I93" s="116"/>
      <c r="J93" s="224"/>
      <c r="L93" s="115" t="s">
        <v>258</v>
      </c>
      <c r="M93" s="220"/>
      <c r="N93" s="116"/>
      <c r="O93" s="224"/>
    </row>
    <row r="94" spans="2:15" ht="15" thickTop="1" x14ac:dyDescent="0.3">
      <c r="B94" s="114" t="s">
        <v>259</v>
      </c>
      <c r="C94" s="210"/>
      <c r="D94" s="2"/>
      <c r="E94" s="125">
        <v>10</v>
      </c>
      <c r="G94" s="114" t="s">
        <v>259</v>
      </c>
      <c r="H94" s="210"/>
      <c r="I94" s="2"/>
      <c r="J94" s="125">
        <v>10</v>
      </c>
      <c r="L94" s="114" t="s">
        <v>259</v>
      </c>
      <c r="M94" s="210"/>
      <c r="N94" s="2"/>
      <c r="O94" s="125">
        <v>10</v>
      </c>
    </row>
    <row r="95" spans="2:15" x14ac:dyDescent="0.3">
      <c r="B95" s="114" t="s">
        <v>260</v>
      </c>
      <c r="C95" s="221"/>
      <c r="D95" s="222"/>
      <c r="E95" s="123">
        <v>0</v>
      </c>
      <c r="G95" s="114" t="s">
        <v>260</v>
      </c>
      <c r="H95" s="221"/>
      <c r="I95" s="222"/>
      <c r="J95" s="123">
        <v>0</v>
      </c>
      <c r="L95" s="114" t="s">
        <v>260</v>
      </c>
      <c r="M95" s="221"/>
      <c r="N95" s="222"/>
      <c r="O95" s="123">
        <v>0</v>
      </c>
    </row>
    <row r="96" spans="2:15" x14ac:dyDescent="0.3">
      <c r="B96" s="114" t="s">
        <v>99</v>
      </c>
      <c r="C96" s="2"/>
      <c r="D96" s="2"/>
      <c r="E96" s="122">
        <v>1200</v>
      </c>
      <c r="G96" s="114" t="s">
        <v>99</v>
      </c>
      <c r="H96" s="2"/>
      <c r="I96" s="2"/>
      <c r="J96" s="122">
        <v>1330</v>
      </c>
      <c r="L96" s="114" t="s">
        <v>99</v>
      </c>
      <c r="M96" s="2"/>
      <c r="N96" s="2"/>
      <c r="O96" s="122">
        <v>1460</v>
      </c>
    </row>
    <row r="97" spans="2:15" x14ac:dyDescent="0.3">
      <c r="B97" s="114" t="s">
        <v>106</v>
      </c>
      <c r="C97" s="2"/>
      <c r="D97" s="2"/>
      <c r="E97" s="121">
        <v>92.307692307692307</v>
      </c>
      <c r="G97" s="114" t="s">
        <v>106</v>
      </c>
      <c r="H97" s="2"/>
      <c r="I97" s="2"/>
      <c r="J97" s="121">
        <v>102.30769230769231</v>
      </c>
      <c r="L97" s="114" t="s">
        <v>106</v>
      </c>
      <c r="M97" s="2"/>
      <c r="N97" s="2"/>
      <c r="O97" s="121">
        <v>112.30769230769231</v>
      </c>
    </row>
    <row r="98" spans="2:15" x14ac:dyDescent="0.3">
      <c r="B98" s="114" t="s">
        <v>132</v>
      </c>
      <c r="C98" s="2"/>
      <c r="D98" s="2"/>
      <c r="E98" s="122">
        <v>178</v>
      </c>
      <c r="G98" s="114" t="s">
        <v>132</v>
      </c>
      <c r="H98" s="2"/>
      <c r="I98" s="2"/>
      <c r="J98" s="122">
        <v>258</v>
      </c>
      <c r="L98" s="114" t="s">
        <v>132</v>
      </c>
      <c r="M98" s="2"/>
      <c r="N98" s="2"/>
      <c r="O98" s="122">
        <v>258</v>
      </c>
    </row>
    <row r="99" spans="2:15" ht="15" thickBot="1" x14ac:dyDescent="0.35">
      <c r="B99" s="114" t="s">
        <v>102</v>
      </c>
      <c r="C99" s="2"/>
      <c r="D99" s="223"/>
      <c r="E99" s="226"/>
      <c r="G99" s="114" t="s">
        <v>102</v>
      </c>
      <c r="H99" s="2"/>
      <c r="I99" s="223"/>
      <c r="J99" s="226"/>
      <c r="L99" s="114" t="s">
        <v>102</v>
      </c>
      <c r="M99" s="2"/>
      <c r="N99" s="223"/>
      <c r="O99" s="226"/>
    </row>
    <row r="100" spans="2:15" ht="15.6" thickTop="1" thickBot="1" x14ac:dyDescent="0.35">
      <c r="B100" s="119" t="s">
        <v>100</v>
      </c>
      <c r="C100" s="120"/>
      <c r="D100" s="225"/>
      <c r="E100" s="227">
        <v>1388</v>
      </c>
      <c r="G100" s="119" t="s">
        <v>100</v>
      </c>
      <c r="H100" s="120"/>
      <c r="I100" s="225"/>
      <c r="J100" s="227">
        <v>1598</v>
      </c>
      <c r="L100" s="119" t="s">
        <v>100</v>
      </c>
      <c r="M100" s="120"/>
      <c r="N100" s="225"/>
      <c r="O100" s="227">
        <v>1728</v>
      </c>
    </row>
    <row r="101" spans="2:15" ht="15.6" thickTop="1" thickBot="1" x14ac:dyDescent="0.35"/>
    <row r="102" spans="2:15" ht="15.6" thickTop="1" thickBot="1" x14ac:dyDescent="0.35">
      <c r="B102" s="291" t="s">
        <v>98</v>
      </c>
      <c r="C102" s="292"/>
      <c r="D102" s="293"/>
      <c r="E102" s="140">
        <v>44788</v>
      </c>
      <c r="G102" s="291" t="s">
        <v>98</v>
      </c>
      <c r="H102" s="292"/>
      <c r="I102" s="293"/>
      <c r="J102" s="140">
        <v>44788</v>
      </c>
      <c r="L102" s="291" t="s">
        <v>98</v>
      </c>
      <c r="M102" s="292"/>
      <c r="N102" s="293"/>
      <c r="O102" s="140">
        <v>44788</v>
      </c>
    </row>
    <row r="103" spans="2:15" ht="15.6" thickTop="1" thickBot="1" x14ac:dyDescent="0.35">
      <c r="B103" s="294"/>
      <c r="C103" s="295"/>
      <c r="D103" s="296"/>
      <c r="E103" s="140">
        <v>45153</v>
      </c>
      <c r="G103" s="294"/>
      <c r="H103" s="295"/>
      <c r="I103" s="296"/>
      <c r="J103" s="140">
        <v>45184</v>
      </c>
      <c r="L103" s="294"/>
      <c r="M103" s="295"/>
      <c r="N103" s="296"/>
      <c r="O103" s="140">
        <v>45214</v>
      </c>
    </row>
    <row r="104" spans="2:15" ht="15.6" thickTop="1" thickBot="1" x14ac:dyDescent="0.35">
      <c r="B104" s="114" t="s">
        <v>97</v>
      </c>
      <c r="C104" s="2"/>
      <c r="D104" s="2"/>
      <c r="E104" s="209">
        <v>1690</v>
      </c>
      <c r="G104" s="114" t="s">
        <v>97</v>
      </c>
      <c r="H104" s="2"/>
      <c r="I104" s="2"/>
      <c r="J104" s="209">
        <v>1820</v>
      </c>
      <c r="L104" s="114" t="s">
        <v>97</v>
      </c>
      <c r="M104" s="2"/>
      <c r="N104" s="2"/>
      <c r="O104" s="209">
        <v>1950</v>
      </c>
    </row>
    <row r="105" spans="2:15" ht="15.6" thickTop="1" thickBot="1" x14ac:dyDescent="0.35">
      <c r="B105" s="115" t="s">
        <v>188</v>
      </c>
      <c r="C105" s="116"/>
      <c r="D105" s="116"/>
      <c r="E105" s="217"/>
      <c r="G105" s="115" t="s">
        <v>188</v>
      </c>
      <c r="H105" s="116"/>
      <c r="I105" s="116"/>
      <c r="J105" s="217"/>
      <c r="L105" s="115" t="s">
        <v>188</v>
      </c>
      <c r="M105" s="116"/>
      <c r="N105" s="116"/>
      <c r="O105" s="217"/>
    </row>
    <row r="106" spans="2:15" ht="15" thickTop="1" x14ac:dyDescent="0.3">
      <c r="B106" s="215" t="s">
        <v>255</v>
      </c>
      <c r="C106" s="2"/>
      <c r="D106" s="2"/>
      <c r="E106" s="208">
        <v>4460</v>
      </c>
      <c r="G106" s="215" t="s">
        <v>255</v>
      </c>
      <c r="H106" s="2"/>
      <c r="I106" s="2"/>
      <c r="J106" s="208">
        <v>5160</v>
      </c>
      <c r="L106" s="215" t="s">
        <v>255</v>
      </c>
      <c r="M106" s="2"/>
      <c r="N106" s="2"/>
      <c r="O106" s="208">
        <v>6360</v>
      </c>
    </row>
    <row r="107" spans="2:15" x14ac:dyDescent="0.3">
      <c r="B107" s="216" t="s">
        <v>256</v>
      </c>
      <c r="C107" s="2"/>
      <c r="D107" s="2"/>
      <c r="E107" s="123">
        <v>100</v>
      </c>
      <c r="G107" s="216" t="s">
        <v>256</v>
      </c>
      <c r="H107" s="2"/>
      <c r="I107" s="2"/>
      <c r="J107" s="123">
        <v>100</v>
      </c>
      <c r="L107" s="216" t="s">
        <v>256</v>
      </c>
      <c r="M107" s="2"/>
      <c r="N107" s="2"/>
      <c r="O107" s="123">
        <v>100</v>
      </c>
    </row>
    <row r="108" spans="2:15" x14ac:dyDescent="0.3">
      <c r="B108" s="114" t="s">
        <v>109</v>
      </c>
      <c r="C108" s="2"/>
      <c r="D108" s="2"/>
      <c r="E108" s="124">
        <v>200</v>
      </c>
      <c r="G108" s="114" t="s">
        <v>109</v>
      </c>
      <c r="H108" s="2"/>
      <c r="I108" s="2"/>
      <c r="J108" s="124">
        <v>700</v>
      </c>
      <c r="L108" s="114" t="s">
        <v>109</v>
      </c>
      <c r="M108" s="2"/>
      <c r="N108" s="2"/>
      <c r="O108" s="124">
        <v>1200</v>
      </c>
    </row>
    <row r="109" spans="2:15" x14ac:dyDescent="0.3">
      <c r="B109" s="216" t="s">
        <v>257</v>
      </c>
      <c r="C109" s="2"/>
      <c r="D109" s="2"/>
      <c r="E109" s="218">
        <v>268</v>
      </c>
      <c r="G109" s="216" t="s">
        <v>257</v>
      </c>
      <c r="H109" s="2"/>
      <c r="I109" s="2"/>
      <c r="J109" s="218">
        <v>338</v>
      </c>
      <c r="L109" s="216" t="s">
        <v>257</v>
      </c>
      <c r="M109" s="2"/>
      <c r="N109" s="2"/>
      <c r="O109" s="218">
        <v>458</v>
      </c>
    </row>
    <row r="110" spans="2:15" ht="15" thickBot="1" x14ac:dyDescent="0.35">
      <c r="B110" s="114" t="s">
        <v>111</v>
      </c>
      <c r="C110" s="2"/>
      <c r="D110" s="2"/>
      <c r="E110" s="124">
        <v>4</v>
      </c>
      <c r="G110" s="114" t="s">
        <v>111</v>
      </c>
      <c r="H110" s="2"/>
      <c r="I110" s="2"/>
      <c r="J110" s="124">
        <v>70</v>
      </c>
      <c r="L110" s="114" t="s">
        <v>111</v>
      </c>
      <c r="M110" s="2"/>
      <c r="N110" s="2"/>
      <c r="O110" s="124">
        <v>120</v>
      </c>
    </row>
    <row r="111" spans="2:15" ht="15.6" thickTop="1" thickBot="1" x14ac:dyDescent="0.35">
      <c r="B111" s="219" t="s">
        <v>41</v>
      </c>
      <c r="C111" s="116"/>
      <c r="D111" s="116"/>
      <c r="E111" s="217"/>
      <c r="G111" s="219" t="s">
        <v>41</v>
      </c>
      <c r="H111" s="116"/>
      <c r="I111" s="116"/>
      <c r="J111" s="217"/>
      <c r="L111" s="219" t="s">
        <v>41</v>
      </c>
      <c r="M111" s="116"/>
      <c r="N111" s="116"/>
      <c r="O111" s="217"/>
    </row>
    <row r="112" spans="2:15" ht="15" thickTop="1" x14ac:dyDescent="0.3">
      <c r="B112" s="114" t="s">
        <v>107</v>
      </c>
      <c r="C112" s="2"/>
      <c r="D112" s="2"/>
      <c r="E112" s="123">
        <v>3134.99</v>
      </c>
      <c r="G112" s="114" t="s">
        <v>107</v>
      </c>
      <c r="H112" s="2"/>
      <c r="I112" s="2"/>
      <c r="J112" s="123">
        <v>3459.99</v>
      </c>
      <c r="L112" s="114" t="s">
        <v>107</v>
      </c>
      <c r="M112" s="2"/>
      <c r="N112" s="2"/>
      <c r="O112" s="123">
        <v>4584.99</v>
      </c>
    </row>
    <row r="113" spans="2:15" x14ac:dyDescent="0.3">
      <c r="B113" s="114" t="s">
        <v>110</v>
      </c>
      <c r="C113" s="2"/>
      <c r="D113" s="2"/>
      <c r="E113" s="124">
        <v>300</v>
      </c>
      <c r="G113" s="114" t="s">
        <v>110</v>
      </c>
      <c r="H113" s="2"/>
      <c r="I113" s="2"/>
      <c r="J113" s="124">
        <v>325</v>
      </c>
      <c r="L113" s="114" t="s">
        <v>110</v>
      </c>
      <c r="M113" s="2"/>
      <c r="N113" s="2"/>
      <c r="O113" s="124">
        <v>1125</v>
      </c>
    </row>
    <row r="114" spans="2:15" ht="15" thickBot="1" x14ac:dyDescent="0.35">
      <c r="B114" s="128" t="s">
        <v>101</v>
      </c>
      <c r="C114" s="127"/>
      <c r="D114" s="118"/>
      <c r="E114" s="126">
        <v>1325.0100000000002</v>
      </c>
      <c r="G114" s="128" t="s">
        <v>101</v>
      </c>
      <c r="H114" s="127"/>
      <c r="I114" s="118"/>
      <c r="J114" s="126">
        <v>1700.0100000000002</v>
      </c>
      <c r="L114" s="128" t="s">
        <v>101</v>
      </c>
      <c r="M114" s="127"/>
      <c r="N114" s="118"/>
      <c r="O114" s="126">
        <v>1775.0100000000002</v>
      </c>
    </row>
    <row r="115" spans="2:15" ht="15" thickTop="1" x14ac:dyDescent="0.3">
      <c r="B115" s="114" t="s">
        <v>108</v>
      </c>
      <c r="C115" s="2"/>
      <c r="D115" s="2"/>
      <c r="E115" s="123">
        <v>230</v>
      </c>
      <c r="G115" s="114" t="s">
        <v>108</v>
      </c>
      <c r="H115" s="2"/>
      <c r="I115" s="2"/>
      <c r="J115" s="123">
        <v>258</v>
      </c>
      <c r="L115" s="114" t="s">
        <v>108</v>
      </c>
      <c r="M115" s="2"/>
      <c r="N115" s="2"/>
      <c r="O115" s="123">
        <v>292</v>
      </c>
    </row>
    <row r="116" spans="2:15" x14ac:dyDescent="0.3">
      <c r="B116" s="114" t="s">
        <v>112</v>
      </c>
      <c r="C116" s="2"/>
      <c r="D116" s="2"/>
      <c r="E116" s="124">
        <v>32</v>
      </c>
      <c r="G116" s="114" t="s">
        <v>112</v>
      </c>
      <c r="H116" s="2"/>
      <c r="I116" s="2"/>
      <c r="J116" s="124">
        <v>28</v>
      </c>
      <c r="L116" s="114" t="s">
        <v>112</v>
      </c>
      <c r="M116" s="2"/>
      <c r="N116" s="2"/>
      <c r="O116" s="124">
        <v>34</v>
      </c>
    </row>
    <row r="117" spans="2:15" ht="15" thickBot="1" x14ac:dyDescent="0.35">
      <c r="B117" s="128" t="s">
        <v>104</v>
      </c>
      <c r="C117" s="118"/>
      <c r="D117" s="118"/>
      <c r="E117" s="126">
        <v>38</v>
      </c>
      <c r="G117" s="128" t="s">
        <v>104</v>
      </c>
      <c r="H117" s="118"/>
      <c r="I117" s="118"/>
      <c r="J117" s="126">
        <v>80</v>
      </c>
      <c r="L117" s="128" t="s">
        <v>104</v>
      </c>
      <c r="M117" s="118"/>
      <c r="N117" s="118"/>
      <c r="O117" s="126">
        <v>166</v>
      </c>
    </row>
    <row r="118" spans="2:15" ht="15.6" thickTop="1" thickBot="1" x14ac:dyDescent="0.35">
      <c r="B118" s="115" t="s">
        <v>258</v>
      </c>
      <c r="C118" s="220"/>
      <c r="D118" s="116"/>
      <c r="E118" s="224"/>
      <c r="G118" s="115" t="s">
        <v>258</v>
      </c>
      <c r="H118" s="220"/>
      <c r="I118" s="116"/>
      <c r="J118" s="224"/>
      <c r="L118" s="115" t="s">
        <v>258</v>
      </c>
      <c r="M118" s="220"/>
      <c r="N118" s="116"/>
      <c r="O118" s="224"/>
    </row>
    <row r="119" spans="2:15" ht="15" thickTop="1" x14ac:dyDescent="0.3">
      <c r="B119" s="114" t="s">
        <v>259</v>
      </c>
      <c r="C119" s="210"/>
      <c r="D119" s="2"/>
      <c r="E119" s="125">
        <v>10</v>
      </c>
      <c r="G119" s="114" t="s">
        <v>259</v>
      </c>
      <c r="H119" s="210"/>
      <c r="I119" s="2"/>
      <c r="J119" s="125">
        <v>10</v>
      </c>
      <c r="L119" s="114" t="s">
        <v>259</v>
      </c>
      <c r="M119" s="210"/>
      <c r="N119" s="2"/>
      <c r="O119" s="125">
        <v>10</v>
      </c>
    </row>
    <row r="120" spans="2:15" x14ac:dyDescent="0.3">
      <c r="B120" s="114" t="s">
        <v>260</v>
      </c>
      <c r="C120" s="221"/>
      <c r="D120" s="222"/>
      <c r="E120" s="123">
        <v>250</v>
      </c>
      <c r="G120" s="114" t="s">
        <v>260</v>
      </c>
      <c r="H120" s="221"/>
      <c r="I120" s="222"/>
      <c r="J120" s="123">
        <v>250</v>
      </c>
      <c r="L120" s="114" t="s">
        <v>260</v>
      </c>
      <c r="M120" s="221"/>
      <c r="N120" s="222"/>
      <c r="O120" s="123">
        <v>250</v>
      </c>
    </row>
    <row r="121" spans="2:15" x14ac:dyDescent="0.3">
      <c r="B121" s="114" t="s">
        <v>99</v>
      </c>
      <c r="C121" s="2"/>
      <c r="D121" s="2"/>
      <c r="E121" s="122">
        <v>1590</v>
      </c>
      <c r="G121" s="114" t="s">
        <v>99</v>
      </c>
      <c r="H121" s="2"/>
      <c r="I121" s="2"/>
      <c r="J121" s="122">
        <v>1720</v>
      </c>
      <c r="L121" s="114" t="s">
        <v>99</v>
      </c>
      <c r="M121" s="2"/>
      <c r="N121" s="2"/>
      <c r="O121" s="122">
        <v>1850</v>
      </c>
    </row>
    <row r="122" spans="2:15" x14ac:dyDescent="0.3">
      <c r="B122" s="114" t="s">
        <v>106</v>
      </c>
      <c r="C122" s="2"/>
      <c r="D122" s="2"/>
      <c r="E122" s="121">
        <v>122.30769230769231</v>
      </c>
      <c r="G122" s="114" t="s">
        <v>106</v>
      </c>
      <c r="H122" s="2"/>
      <c r="I122" s="2"/>
      <c r="J122" s="121">
        <v>132.30769230769232</v>
      </c>
      <c r="L122" s="114" t="s">
        <v>106</v>
      </c>
      <c r="M122" s="2"/>
      <c r="N122" s="2"/>
      <c r="O122" s="121">
        <v>142.30769230769232</v>
      </c>
    </row>
    <row r="123" spans="2:15" x14ac:dyDescent="0.3">
      <c r="B123" s="114" t="s">
        <v>132</v>
      </c>
      <c r="C123" s="2"/>
      <c r="D123" s="2"/>
      <c r="E123" s="122">
        <v>18</v>
      </c>
      <c r="G123" s="114" t="s">
        <v>132</v>
      </c>
      <c r="H123" s="2"/>
      <c r="I123" s="2"/>
      <c r="J123" s="122">
        <v>88</v>
      </c>
      <c r="L123" s="114" t="s">
        <v>132</v>
      </c>
      <c r="M123" s="2"/>
      <c r="N123" s="2"/>
      <c r="O123" s="122">
        <v>208</v>
      </c>
    </row>
    <row r="124" spans="2:15" ht="15" thickBot="1" x14ac:dyDescent="0.35">
      <c r="B124" s="114" t="s">
        <v>102</v>
      </c>
      <c r="C124" s="2"/>
      <c r="D124" s="223"/>
      <c r="E124" s="226"/>
      <c r="G124" s="114" t="s">
        <v>102</v>
      </c>
      <c r="H124" s="2"/>
      <c r="I124" s="223"/>
      <c r="J124" s="226">
        <v>67</v>
      </c>
      <c r="L124" s="114" t="s">
        <v>102</v>
      </c>
      <c r="M124" s="2"/>
      <c r="N124" s="223"/>
      <c r="O124" s="226">
        <v>156</v>
      </c>
    </row>
    <row r="125" spans="2:15" ht="15.6" thickTop="1" thickBot="1" x14ac:dyDescent="0.35">
      <c r="B125" s="119" t="s">
        <v>100</v>
      </c>
      <c r="C125" s="120"/>
      <c r="D125" s="225"/>
      <c r="E125" s="227">
        <v>1368</v>
      </c>
      <c r="G125" s="119" t="s">
        <v>100</v>
      </c>
      <c r="H125" s="120"/>
      <c r="I125" s="225"/>
      <c r="J125" s="227">
        <v>1635</v>
      </c>
      <c r="L125" s="119" t="s">
        <v>100</v>
      </c>
      <c r="M125" s="120"/>
      <c r="N125" s="225"/>
      <c r="O125" s="227">
        <v>1974</v>
      </c>
    </row>
    <row r="126" spans="2:15" ht="15.6" thickTop="1" thickBot="1" x14ac:dyDescent="0.35"/>
    <row r="127" spans="2:15" ht="15.6" thickTop="1" thickBot="1" x14ac:dyDescent="0.35">
      <c r="B127" s="291" t="s">
        <v>98</v>
      </c>
      <c r="C127" s="292"/>
      <c r="D127" s="293"/>
      <c r="E127" s="140">
        <v>44788</v>
      </c>
      <c r="G127" s="291" t="s">
        <v>98</v>
      </c>
      <c r="H127" s="292"/>
      <c r="I127" s="293"/>
      <c r="J127" s="140">
        <v>44788</v>
      </c>
      <c r="L127" s="291" t="s">
        <v>98</v>
      </c>
      <c r="M127" s="292"/>
      <c r="N127" s="293"/>
      <c r="O127" s="140">
        <v>44788</v>
      </c>
    </row>
    <row r="128" spans="2:15" ht="15.6" thickTop="1" thickBot="1" x14ac:dyDescent="0.35">
      <c r="B128" s="294"/>
      <c r="C128" s="295"/>
      <c r="D128" s="296"/>
      <c r="E128" s="140">
        <v>45245</v>
      </c>
      <c r="G128" s="294"/>
      <c r="H128" s="295"/>
      <c r="I128" s="296"/>
      <c r="J128" s="140">
        <v>45275</v>
      </c>
      <c r="L128" s="294"/>
      <c r="M128" s="295"/>
      <c r="N128" s="296"/>
      <c r="O128" s="140">
        <v>45306</v>
      </c>
    </row>
    <row r="129" spans="2:15" ht="15.6" thickTop="1" thickBot="1" x14ac:dyDescent="0.35">
      <c r="B129" s="114" t="s">
        <v>97</v>
      </c>
      <c r="C129" s="2"/>
      <c r="D129" s="2"/>
      <c r="E129" s="209">
        <v>2080</v>
      </c>
      <c r="G129" s="114" t="s">
        <v>97</v>
      </c>
      <c r="H129" s="2"/>
      <c r="I129" s="2"/>
      <c r="J129" s="209">
        <v>2210</v>
      </c>
      <c r="L129" s="114" t="s">
        <v>97</v>
      </c>
      <c r="M129" s="2"/>
      <c r="N129" s="2"/>
      <c r="O129" s="209">
        <v>2340</v>
      </c>
    </row>
    <row r="130" spans="2:15" ht="15.6" thickTop="1" thickBot="1" x14ac:dyDescent="0.35">
      <c r="B130" s="115" t="s">
        <v>188</v>
      </c>
      <c r="C130" s="116"/>
      <c r="D130" s="116"/>
      <c r="E130" s="217"/>
      <c r="G130" s="115" t="s">
        <v>188</v>
      </c>
      <c r="H130" s="116"/>
      <c r="I130" s="116"/>
      <c r="J130" s="217"/>
      <c r="L130" s="115" t="s">
        <v>188</v>
      </c>
      <c r="M130" s="116"/>
      <c r="N130" s="116"/>
      <c r="O130" s="217"/>
    </row>
    <row r="131" spans="2:15" ht="15" thickTop="1" x14ac:dyDescent="0.3">
      <c r="B131" s="215" t="s">
        <v>255</v>
      </c>
      <c r="C131" s="2"/>
      <c r="D131" s="2"/>
      <c r="E131" s="208">
        <v>6810</v>
      </c>
      <c r="G131" s="215" t="s">
        <v>255</v>
      </c>
      <c r="H131" s="2"/>
      <c r="I131" s="2"/>
      <c r="J131" s="208">
        <v>6810</v>
      </c>
      <c r="L131" s="215" t="s">
        <v>255</v>
      </c>
      <c r="M131" s="2"/>
      <c r="N131" s="2"/>
      <c r="O131" s="208">
        <v>7310</v>
      </c>
    </row>
    <row r="132" spans="2:15" x14ac:dyDescent="0.3">
      <c r="B132" s="216" t="s">
        <v>256</v>
      </c>
      <c r="C132" s="2"/>
      <c r="D132" s="2"/>
      <c r="E132" s="123">
        <v>100</v>
      </c>
      <c r="G132" s="216" t="s">
        <v>256</v>
      </c>
      <c r="H132" s="2"/>
      <c r="I132" s="2"/>
      <c r="J132" s="123">
        <v>100</v>
      </c>
      <c r="L132" s="216" t="s">
        <v>256</v>
      </c>
      <c r="M132" s="2"/>
      <c r="N132" s="2"/>
      <c r="O132" s="123">
        <v>100</v>
      </c>
    </row>
    <row r="133" spans="2:15" x14ac:dyDescent="0.3">
      <c r="B133" s="114" t="s">
        <v>109</v>
      </c>
      <c r="C133" s="2"/>
      <c r="D133" s="2"/>
      <c r="E133" s="124">
        <v>450</v>
      </c>
      <c r="G133" s="114" t="s">
        <v>109</v>
      </c>
      <c r="H133" s="2"/>
      <c r="I133" s="2"/>
      <c r="J133" s="124">
        <v>0</v>
      </c>
      <c r="L133" s="114" t="s">
        <v>109</v>
      </c>
      <c r="M133" s="2"/>
      <c r="N133" s="2"/>
      <c r="O133" s="124">
        <v>500</v>
      </c>
    </row>
    <row r="134" spans="2:15" x14ac:dyDescent="0.3">
      <c r="B134" s="216" t="s">
        <v>257</v>
      </c>
      <c r="C134" s="2"/>
      <c r="D134" s="2"/>
      <c r="E134" s="218">
        <v>494</v>
      </c>
      <c r="G134" s="216" t="s">
        <v>257</v>
      </c>
      <c r="H134" s="2"/>
      <c r="I134" s="2"/>
      <c r="J134" s="218">
        <v>494</v>
      </c>
      <c r="L134" s="216" t="s">
        <v>257</v>
      </c>
      <c r="M134" s="2"/>
      <c r="N134" s="2"/>
      <c r="O134" s="218">
        <v>514</v>
      </c>
    </row>
    <row r="135" spans="2:15" ht="15" thickBot="1" x14ac:dyDescent="0.35">
      <c r="B135" s="114" t="s">
        <v>111</v>
      </c>
      <c r="C135" s="2"/>
      <c r="D135" s="2"/>
      <c r="E135" s="124">
        <v>36</v>
      </c>
      <c r="G135" s="114" t="s">
        <v>111</v>
      </c>
      <c r="H135" s="2"/>
      <c r="I135" s="2"/>
      <c r="J135" s="124">
        <v>0</v>
      </c>
      <c r="L135" s="114" t="s">
        <v>111</v>
      </c>
      <c r="M135" s="2"/>
      <c r="N135" s="2"/>
      <c r="O135" s="124">
        <v>20</v>
      </c>
    </row>
    <row r="136" spans="2:15" ht="15.6" thickTop="1" thickBot="1" x14ac:dyDescent="0.35">
      <c r="B136" s="219" t="s">
        <v>41</v>
      </c>
      <c r="C136" s="116"/>
      <c r="D136" s="116"/>
      <c r="E136" s="217"/>
      <c r="G136" s="219" t="s">
        <v>41</v>
      </c>
      <c r="H136" s="116"/>
      <c r="I136" s="116"/>
      <c r="J136" s="217"/>
      <c r="L136" s="219" t="s">
        <v>41</v>
      </c>
      <c r="M136" s="116"/>
      <c r="N136" s="116"/>
      <c r="O136" s="217"/>
    </row>
    <row r="137" spans="2:15" ht="15" thickTop="1" x14ac:dyDescent="0.3">
      <c r="B137" s="114" t="s">
        <v>107</v>
      </c>
      <c r="C137" s="2"/>
      <c r="D137" s="2"/>
      <c r="E137" s="123">
        <v>4717.13</v>
      </c>
      <c r="G137" s="114" t="s">
        <v>107</v>
      </c>
      <c r="H137" s="2"/>
      <c r="I137" s="2"/>
      <c r="J137" s="123">
        <v>4849.2700000000004</v>
      </c>
      <c r="L137" s="114" t="s">
        <v>107</v>
      </c>
      <c r="M137" s="2"/>
      <c r="N137" s="2"/>
      <c r="O137" s="123">
        <v>5281.4100000000008</v>
      </c>
    </row>
    <row r="138" spans="2:15" x14ac:dyDescent="0.3">
      <c r="B138" s="114" t="s">
        <v>110</v>
      </c>
      <c r="C138" s="2"/>
      <c r="D138" s="2"/>
      <c r="E138" s="124">
        <v>132.13999999999999</v>
      </c>
      <c r="G138" s="114" t="s">
        <v>110</v>
      </c>
      <c r="H138" s="2"/>
      <c r="I138" s="2"/>
      <c r="J138" s="124">
        <v>132.13999999999999</v>
      </c>
      <c r="L138" s="114" t="s">
        <v>110</v>
      </c>
      <c r="M138" s="2"/>
      <c r="N138" s="2"/>
      <c r="O138" s="124">
        <v>432.14</v>
      </c>
    </row>
    <row r="139" spans="2:15" ht="15" thickBot="1" x14ac:dyDescent="0.35">
      <c r="B139" s="128" t="s">
        <v>101</v>
      </c>
      <c r="C139" s="127"/>
      <c r="D139" s="118"/>
      <c r="E139" s="126">
        <v>2092.87</v>
      </c>
      <c r="G139" s="128" t="s">
        <v>101</v>
      </c>
      <c r="H139" s="127"/>
      <c r="I139" s="118"/>
      <c r="J139" s="126">
        <v>1960.7299999999996</v>
      </c>
      <c r="L139" s="128" t="s">
        <v>101</v>
      </c>
      <c r="M139" s="127"/>
      <c r="N139" s="118"/>
      <c r="O139" s="126">
        <v>2028.5899999999992</v>
      </c>
    </row>
    <row r="140" spans="2:15" ht="15" thickTop="1" x14ac:dyDescent="0.3">
      <c r="B140" s="114" t="s">
        <v>108</v>
      </c>
      <c r="C140" s="2"/>
      <c r="D140" s="2"/>
      <c r="E140" s="123">
        <v>329.5</v>
      </c>
      <c r="G140" s="114" t="s">
        <v>108</v>
      </c>
      <c r="H140" s="2"/>
      <c r="I140" s="2"/>
      <c r="J140" s="123">
        <v>374.5</v>
      </c>
      <c r="L140" s="114" t="s">
        <v>108</v>
      </c>
      <c r="M140" s="2"/>
      <c r="N140" s="2"/>
      <c r="O140" s="123">
        <v>423.5</v>
      </c>
    </row>
    <row r="141" spans="2:15" x14ac:dyDescent="0.3">
      <c r="B141" s="114" t="s">
        <v>112</v>
      </c>
      <c r="C141" s="2"/>
      <c r="D141" s="2"/>
      <c r="E141" s="124">
        <v>36</v>
      </c>
      <c r="G141" s="114" t="s">
        <v>112</v>
      </c>
      <c r="H141" s="2"/>
      <c r="I141" s="2"/>
      <c r="J141" s="124">
        <v>45</v>
      </c>
      <c r="L141" s="114" t="s">
        <v>112</v>
      </c>
      <c r="M141" s="2"/>
      <c r="N141" s="2"/>
      <c r="O141" s="124">
        <v>49</v>
      </c>
    </row>
    <row r="142" spans="2:15" ht="15" thickBot="1" x14ac:dyDescent="0.35">
      <c r="B142" s="128" t="s">
        <v>104</v>
      </c>
      <c r="C142" s="118"/>
      <c r="D142" s="118"/>
      <c r="E142" s="126">
        <v>164.5</v>
      </c>
      <c r="G142" s="128" t="s">
        <v>104</v>
      </c>
      <c r="H142" s="118"/>
      <c r="I142" s="118"/>
      <c r="J142" s="126">
        <v>119.5</v>
      </c>
      <c r="L142" s="128" t="s">
        <v>104</v>
      </c>
      <c r="M142" s="118"/>
      <c r="N142" s="118"/>
      <c r="O142" s="126">
        <v>90.5</v>
      </c>
    </row>
    <row r="143" spans="2:15" ht="15.6" thickTop="1" thickBot="1" x14ac:dyDescent="0.35">
      <c r="B143" s="115" t="s">
        <v>258</v>
      </c>
      <c r="C143" s="220"/>
      <c r="D143" s="116"/>
      <c r="E143" s="224"/>
      <c r="G143" s="115" t="s">
        <v>258</v>
      </c>
      <c r="H143" s="220"/>
      <c r="I143" s="116"/>
      <c r="J143" s="224"/>
      <c r="L143" s="115" t="s">
        <v>258</v>
      </c>
      <c r="M143" s="220"/>
      <c r="N143" s="116"/>
      <c r="O143" s="224"/>
    </row>
    <row r="144" spans="2:15" ht="15" thickTop="1" x14ac:dyDescent="0.3">
      <c r="B144" s="114" t="s">
        <v>259</v>
      </c>
      <c r="C144" s="210"/>
      <c r="D144" s="2"/>
      <c r="E144" s="125">
        <v>11.5</v>
      </c>
      <c r="G144" s="114" t="s">
        <v>259</v>
      </c>
      <c r="H144" s="210"/>
      <c r="I144" s="2"/>
      <c r="J144" s="125">
        <v>11.5</v>
      </c>
      <c r="L144" s="114" t="s">
        <v>259</v>
      </c>
      <c r="M144" s="210"/>
      <c r="N144" s="2"/>
      <c r="O144" s="125">
        <v>11.5</v>
      </c>
    </row>
    <row r="145" spans="2:15" x14ac:dyDescent="0.3">
      <c r="B145" s="114" t="s">
        <v>260</v>
      </c>
      <c r="C145" s="221"/>
      <c r="D145" s="222"/>
      <c r="E145" s="123">
        <v>250</v>
      </c>
      <c r="G145" s="114" t="s">
        <v>260</v>
      </c>
      <c r="H145" s="221"/>
      <c r="I145" s="222"/>
      <c r="J145" s="123">
        <v>250</v>
      </c>
      <c r="L145" s="114" t="s">
        <v>260</v>
      </c>
      <c r="M145" s="221"/>
      <c r="N145" s="222"/>
      <c r="O145" s="123">
        <v>260</v>
      </c>
    </row>
    <row r="146" spans="2:15" x14ac:dyDescent="0.3">
      <c r="B146" s="114" t="s">
        <v>99</v>
      </c>
      <c r="C146" s="2"/>
      <c r="D146" s="2"/>
      <c r="E146" s="122">
        <v>1980</v>
      </c>
      <c r="G146" s="114" t="s">
        <v>99</v>
      </c>
      <c r="H146" s="2"/>
      <c r="I146" s="2"/>
      <c r="J146" s="122">
        <v>2110</v>
      </c>
      <c r="L146" s="114" t="s">
        <v>99</v>
      </c>
      <c r="M146" s="2"/>
      <c r="N146" s="2"/>
      <c r="O146" s="122">
        <v>2240</v>
      </c>
    </row>
    <row r="147" spans="2:15" x14ac:dyDescent="0.3">
      <c r="B147" s="114" t="s">
        <v>106</v>
      </c>
      <c r="C147" s="2"/>
      <c r="D147" s="2"/>
      <c r="E147" s="121">
        <v>152.30769230769232</v>
      </c>
      <c r="G147" s="114" t="s">
        <v>106</v>
      </c>
      <c r="H147" s="2"/>
      <c r="I147" s="2"/>
      <c r="J147" s="121">
        <v>162.30769230769232</v>
      </c>
      <c r="L147" s="114" t="s">
        <v>106</v>
      </c>
      <c r="M147" s="2"/>
      <c r="N147" s="2"/>
      <c r="O147" s="121">
        <v>172.30769230769232</v>
      </c>
    </row>
    <row r="148" spans="2:15" x14ac:dyDescent="0.3">
      <c r="B148" s="114" t="s">
        <v>132</v>
      </c>
      <c r="C148" s="2"/>
      <c r="D148" s="2"/>
      <c r="E148" s="122">
        <v>244</v>
      </c>
      <c r="G148" s="114" t="s">
        <v>132</v>
      </c>
      <c r="H148" s="2"/>
      <c r="I148" s="2"/>
      <c r="J148" s="122">
        <v>244</v>
      </c>
      <c r="L148" s="114" t="s">
        <v>132</v>
      </c>
      <c r="M148" s="2"/>
      <c r="N148" s="2"/>
      <c r="O148" s="122">
        <v>254</v>
      </c>
    </row>
    <row r="149" spans="2:15" ht="15" thickBot="1" x14ac:dyDescent="0.35">
      <c r="B149" s="114" t="s">
        <v>102</v>
      </c>
      <c r="C149" s="2"/>
      <c r="D149" s="223"/>
      <c r="E149" s="226">
        <v>5.65</v>
      </c>
      <c r="G149" s="114" t="s">
        <v>102</v>
      </c>
      <c r="H149" s="2"/>
      <c r="I149" s="223"/>
      <c r="J149" s="226">
        <v>5.65</v>
      </c>
      <c r="L149" s="114" t="s">
        <v>102</v>
      </c>
      <c r="M149" s="2"/>
      <c r="N149" s="223"/>
      <c r="O149" s="226">
        <v>323.93</v>
      </c>
    </row>
    <row r="150" spans="2:15" ht="15.6" thickTop="1" thickBot="1" x14ac:dyDescent="0.35">
      <c r="B150" s="119" t="s">
        <v>100</v>
      </c>
      <c r="C150" s="120"/>
      <c r="D150" s="225"/>
      <c r="E150" s="227">
        <v>1991.15</v>
      </c>
      <c r="G150" s="119" t="s">
        <v>100</v>
      </c>
      <c r="H150" s="120"/>
      <c r="I150" s="225"/>
      <c r="J150" s="227">
        <v>2121.15</v>
      </c>
      <c r="L150" s="119" t="s">
        <v>100</v>
      </c>
      <c r="M150" s="120"/>
      <c r="N150" s="225"/>
      <c r="O150" s="227">
        <v>2569.4299999999998</v>
      </c>
    </row>
    <row r="151" spans="2:15" ht="15.6" thickTop="1" thickBot="1" x14ac:dyDescent="0.35"/>
    <row r="152" spans="2:15" ht="15.6" thickTop="1" thickBot="1" x14ac:dyDescent="0.35">
      <c r="B152" s="291" t="s">
        <v>98</v>
      </c>
      <c r="C152" s="292"/>
      <c r="D152" s="293"/>
      <c r="E152" s="140">
        <v>44788</v>
      </c>
      <c r="G152" s="291" t="s">
        <v>98</v>
      </c>
      <c r="H152" s="292"/>
      <c r="I152" s="293"/>
      <c r="J152" s="140">
        <v>44788</v>
      </c>
      <c r="L152" s="291" t="s">
        <v>98</v>
      </c>
      <c r="M152" s="292"/>
      <c r="N152" s="293"/>
      <c r="O152" s="140">
        <v>44788</v>
      </c>
    </row>
    <row r="153" spans="2:15" ht="15.6" thickTop="1" thickBot="1" x14ac:dyDescent="0.35">
      <c r="B153" s="294"/>
      <c r="C153" s="295"/>
      <c r="D153" s="296"/>
      <c r="E153" s="140">
        <v>45337</v>
      </c>
      <c r="G153" s="294"/>
      <c r="H153" s="295"/>
      <c r="I153" s="296"/>
      <c r="J153" s="140">
        <v>45366</v>
      </c>
      <c r="L153" s="294"/>
      <c r="M153" s="295"/>
      <c r="N153" s="296"/>
      <c r="O153" s="140">
        <v>45397</v>
      </c>
    </row>
    <row r="154" spans="2:15" ht="15.6" thickTop="1" thickBot="1" x14ac:dyDescent="0.35">
      <c r="B154" s="114" t="s">
        <v>97</v>
      </c>
      <c r="C154" s="2"/>
      <c r="D154" s="2"/>
      <c r="E154" s="209">
        <v>2470</v>
      </c>
      <c r="G154" s="114" t="s">
        <v>97</v>
      </c>
      <c r="H154" s="2"/>
      <c r="I154" s="2"/>
      <c r="J154" s="209">
        <v>2600</v>
      </c>
      <c r="L154" s="114" t="s">
        <v>97</v>
      </c>
      <c r="M154" s="2"/>
      <c r="N154" s="2"/>
      <c r="O154" s="209">
        <v>2730</v>
      </c>
    </row>
    <row r="155" spans="2:15" ht="15.6" thickTop="1" thickBot="1" x14ac:dyDescent="0.35">
      <c r="B155" s="115" t="s">
        <v>188</v>
      </c>
      <c r="C155" s="116"/>
      <c r="D155" s="116"/>
      <c r="E155" s="217"/>
      <c r="G155" s="115" t="s">
        <v>188</v>
      </c>
      <c r="H155" s="116"/>
      <c r="I155" s="116"/>
      <c r="J155" s="217"/>
      <c r="L155" s="115" t="s">
        <v>188</v>
      </c>
      <c r="M155" s="116"/>
      <c r="N155" s="116"/>
      <c r="O155" s="217"/>
    </row>
    <row r="156" spans="2:15" ht="15" thickTop="1" x14ac:dyDescent="0.3">
      <c r="B156" s="215" t="s">
        <v>255</v>
      </c>
      <c r="C156" s="2"/>
      <c r="D156" s="2"/>
      <c r="E156" s="208">
        <v>8010</v>
      </c>
      <c r="G156" s="215" t="s">
        <v>255</v>
      </c>
      <c r="H156" s="2"/>
      <c r="I156" s="2"/>
      <c r="J156" s="208">
        <v>10210</v>
      </c>
      <c r="L156" s="215" t="s">
        <v>255</v>
      </c>
      <c r="M156" s="2"/>
      <c r="N156" s="2"/>
      <c r="O156" s="208">
        <v>10360</v>
      </c>
    </row>
    <row r="157" spans="2:15" x14ac:dyDescent="0.3">
      <c r="B157" s="216" t="s">
        <v>256</v>
      </c>
      <c r="C157" s="2"/>
      <c r="D157" s="2"/>
      <c r="E157" s="123">
        <v>100</v>
      </c>
      <c r="G157" s="216" t="s">
        <v>256</v>
      </c>
      <c r="H157" s="2"/>
      <c r="I157" s="2"/>
      <c r="J157" s="123">
        <v>100</v>
      </c>
      <c r="L157" s="216" t="s">
        <v>256</v>
      </c>
      <c r="M157" s="2"/>
      <c r="N157" s="2"/>
      <c r="O157" s="123">
        <v>200</v>
      </c>
    </row>
    <row r="158" spans="2:15" x14ac:dyDescent="0.3">
      <c r="B158" s="114" t="s">
        <v>109</v>
      </c>
      <c r="C158" s="2"/>
      <c r="D158" s="2"/>
      <c r="E158" s="124">
        <v>600</v>
      </c>
      <c r="G158" s="114" t="s">
        <v>109</v>
      </c>
      <c r="H158" s="2"/>
      <c r="I158" s="2"/>
      <c r="J158" s="124">
        <v>2100</v>
      </c>
      <c r="L158" s="114" t="s">
        <v>109</v>
      </c>
      <c r="M158" s="2"/>
      <c r="N158" s="2"/>
      <c r="O158" s="124">
        <v>150</v>
      </c>
    </row>
    <row r="159" spans="2:15" x14ac:dyDescent="0.3">
      <c r="B159" s="216" t="s">
        <v>257</v>
      </c>
      <c r="C159" s="2"/>
      <c r="D159" s="2"/>
      <c r="E159" s="218">
        <v>584</v>
      </c>
      <c r="G159" s="216" t="s">
        <v>257</v>
      </c>
      <c r="H159" s="2"/>
      <c r="I159" s="2"/>
      <c r="J159" s="218">
        <v>978</v>
      </c>
      <c r="L159" s="216" t="s">
        <v>257</v>
      </c>
      <c r="M159" s="2"/>
      <c r="N159" s="2"/>
      <c r="O159" s="218">
        <v>987</v>
      </c>
    </row>
    <row r="160" spans="2:15" ht="15" thickBot="1" x14ac:dyDescent="0.35">
      <c r="B160" s="114" t="s">
        <v>111</v>
      </c>
      <c r="C160" s="2"/>
      <c r="D160" s="2"/>
      <c r="E160" s="124">
        <v>60</v>
      </c>
      <c r="G160" s="114" t="s">
        <v>111</v>
      </c>
      <c r="H160" s="2"/>
      <c r="I160" s="2"/>
      <c r="J160" s="124">
        <v>386</v>
      </c>
      <c r="L160" s="114" t="s">
        <v>111</v>
      </c>
      <c r="M160" s="2"/>
      <c r="N160" s="2"/>
      <c r="O160" s="124">
        <v>9</v>
      </c>
    </row>
    <row r="161" spans="2:15" ht="15.6" thickTop="1" thickBot="1" x14ac:dyDescent="0.35">
      <c r="B161" s="219" t="s">
        <v>41</v>
      </c>
      <c r="C161" s="116"/>
      <c r="D161" s="116"/>
      <c r="E161" s="217"/>
      <c r="G161" s="219" t="s">
        <v>41</v>
      </c>
      <c r="H161" s="116"/>
      <c r="I161" s="116"/>
      <c r="J161" s="217"/>
      <c r="L161" s="219" t="s">
        <v>41</v>
      </c>
      <c r="M161" s="116"/>
      <c r="N161" s="116"/>
      <c r="O161" s="217"/>
    </row>
    <row r="162" spans="2:15" ht="15" thickTop="1" x14ac:dyDescent="0.3">
      <c r="B162" s="114" t="s">
        <v>107</v>
      </c>
      <c r="C162" s="2"/>
      <c r="D162" s="2"/>
      <c r="E162" s="123">
        <v>5938.5500000000011</v>
      </c>
      <c r="G162" s="114" t="s">
        <v>107</v>
      </c>
      <c r="H162" s="2"/>
      <c r="I162" s="2"/>
      <c r="J162" s="123">
        <v>7440.6900000000014</v>
      </c>
      <c r="L162" s="114" t="s">
        <v>107</v>
      </c>
      <c r="M162" s="2"/>
      <c r="N162" s="2"/>
      <c r="O162" s="123">
        <v>7912.8300000000017</v>
      </c>
    </row>
    <row r="163" spans="2:15" x14ac:dyDescent="0.3">
      <c r="B163" s="114" t="s">
        <v>110</v>
      </c>
      <c r="C163" s="2"/>
      <c r="D163" s="2"/>
      <c r="E163" s="124">
        <v>657.14</v>
      </c>
      <c r="G163" s="114" t="s">
        <v>110</v>
      </c>
      <c r="H163" s="2"/>
      <c r="I163" s="2"/>
      <c r="J163" s="124">
        <v>1502.1399999999999</v>
      </c>
      <c r="L163" s="114" t="s">
        <v>110</v>
      </c>
      <c r="M163" s="2"/>
      <c r="N163" s="2"/>
      <c r="O163" s="124">
        <v>472.14</v>
      </c>
    </row>
    <row r="164" spans="2:15" ht="15" thickBot="1" x14ac:dyDescent="0.35">
      <c r="B164" s="128" t="s">
        <v>101</v>
      </c>
      <c r="C164" s="127"/>
      <c r="D164" s="118"/>
      <c r="E164" s="126">
        <v>2071.4499999999989</v>
      </c>
      <c r="G164" s="128" t="s">
        <v>101</v>
      </c>
      <c r="H164" s="127"/>
      <c r="I164" s="118"/>
      <c r="J164" s="126">
        <v>2769.3099999999986</v>
      </c>
      <c r="L164" s="128" t="s">
        <v>101</v>
      </c>
      <c r="M164" s="127"/>
      <c r="N164" s="118"/>
      <c r="O164" s="126">
        <v>2447.1699999999983</v>
      </c>
    </row>
    <row r="165" spans="2:15" ht="15" thickTop="1" x14ac:dyDescent="0.3">
      <c r="B165" s="114" t="s">
        <v>108</v>
      </c>
      <c r="C165" s="2"/>
      <c r="D165" s="2"/>
      <c r="E165" s="123">
        <v>477.5</v>
      </c>
      <c r="G165" s="114" t="s">
        <v>108</v>
      </c>
      <c r="H165" s="2"/>
      <c r="I165" s="2"/>
      <c r="J165" s="123">
        <v>525.5</v>
      </c>
      <c r="L165" s="114" t="s">
        <v>108</v>
      </c>
      <c r="M165" s="2"/>
      <c r="N165" s="2"/>
      <c r="O165" s="123">
        <v>589.5</v>
      </c>
    </row>
    <row r="166" spans="2:15" x14ac:dyDescent="0.3">
      <c r="B166" s="114" t="s">
        <v>112</v>
      </c>
      <c r="C166" s="2"/>
      <c r="D166" s="2"/>
      <c r="E166" s="124">
        <v>46</v>
      </c>
      <c r="G166" s="114" t="s">
        <v>112</v>
      </c>
      <c r="H166" s="2"/>
      <c r="I166" s="2"/>
      <c r="J166" s="124">
        <v>48</v>
      </c>
      <c r="L166" s="114" t="s">
        <v>112</v>
      </c>
      <c r="M166" s="2"/>
      <c r="N166" s="2"/>
      <c r="O166" s="124">
        <v>64</v>
      </c>
    </row>
    <row r="167" spans="2:15" ht="15" thickBot="1" x14ac:dyDescent="0.35">
      <c r="B167" s="128" t="s">
        <v>104</v>
      </c>
      <c r="C167" s="118"/>
      <c r="D167" s="118"/>
      <c r="E167" s="126">
        <v>106.5</v>
      </c>
      <c r="G167" s="128" t="s">
        <v>104</v>
      </c>
      <c r="H167" s="118"/>
      <c r="I167" s="118"/>
      <c r="J167" s="126">
        <v>452.5</v>
      </c>
      <c r="L167" s="128" t="s">
        <v>104</v>
      </c>
      <c r="M167" s="118"/>
      <c r="N167" s="118"/>
      <c r="O167" s="126">
        <v>397.5</v>
      </c>
    </row>
    <row r="168" spans="2:15" ht="15.6" thickTop="1" thickBot="1" x14ac:dyDescent="0.35">
      <c r="B168" s="115" t="s">
        <v>258</v>
      </c>
      <c r="C168" s="220"/>
      <c r="D168" s="116"/>
      <c r="E168" s="224"/>
      <c r="G168" s="115" t="s">
        <v>258</v>
      </c>
      <c r="H168" s="220"/>
      <c r="I168" s="116"/>
      <c r="J168" s="224"/>
      <c r="L168" s="115" t="s">
        <v>258</v>
      </c>
      <c r="M168" s="220"/>
      <c r="N168" s="116"/>
      <c r="O168" s="224"/>
    </row>
    <row r="169" spans="2:15" ht="15" thickTop="1" x14ac:dyDescent="0.3">
      <c r="B169" s="114" t="s">
        <v>259</v>
      </c>
      <c r="C169" s="210"/>
      <c r="D169" s="2"/>
      <c r="E169" s="125">
        <v>19.5</v>
      </c>
      <c r="G169" s="114" t="s">
        <v>259</v>
      </c>
      <c r="H169" s="210"/>
      <c r="I169" s="2"/>
      <c r="J169" s="125">
        <v>19.5</v>
      </c>
      <c r="L169" s="114" t="s">
        <v>259</v>
      </c>
      <c r="M169" s="210"/>
      <c r="N169" s="2"/>
      <c r="O169" s="125">
        <v>19.5</v>
      </c>
    </row>
    <row r="170" spans="2:15" x14ac:dyDescent="0.3">
      <c r="B170" s="114" t="s">
        <v>260</v>
      </c>
      <c r="C170" s="221"/>
      <c r="D170" s="222"/>
      <c r="E170" s="123">
        <v>260</v>
      </c>
      <c r="G170" s="114" t="s">
        <v>260</v>
      </c>
      <c r="H170" s="221"/>
      <c r="I170" s="222"/>
      <c r="J170" s="123">
        <v>266</v>
      </c>
      <c r="L170" s="114" t="s">
        <v>260</v>
      </c>
      <c r="M170" s="221"/>
      <c r="N170" s="222"/>
      <c r="O170" s="123">
        <v>266</v>
      </c>
    </row>
    <row r="171" spans="2:15" x14ac:dyDescent="0.3">
      <c r="B171" s="114" t="s">
        <v>99</v>
      </c>
      <c r="C171" s="2"/>
      <c r="D171" s="2"/>
      <c r="E171" s="122">
        <v>2370</v>
      </c>
      <c r="G171" s="114" t="s">
        <v>99</v>
      </c>
      <c r="H171" s="2"/>
      <c r="I171" s="2"/>
      <c r="J171" s="122">
        <v>2500</v>
      </c>
      <c r="L171" s="114" t="s">
        <v>99</v>
      </c>
      <c r="M171" s="2"/>
      <c r="N171" s="2"/>
      <c r="O171" s="122">
        <v>2530</v>
      </c>
    </row>
    <row r="172" spans="2:15" x14ac:dyDescent="0.3">
      <c r="B172" s="114" t="s">
        <v>106</v>
      </c>
      <c r="C172" s="2"/>
      <c r="D172" s="2"/>
      <c r="E172" s="121">
        <v>182.30769230769232</v>
      </c>
      <c r="G172" s="114" t="s">
        <v>106</v>
      </c>
      <c r="H172" s="2"/>
      <c r="I172" s="2"/>
      <c r="J172" s="121">
        <v>192.30769230769232</v>
      </c>
      <c r="L172" s="114" t="s">
        <v>106</v>
      </c>
      <c r="M172" s="2"/>
      <c r="N172" s="2"/>
      <c r="O172" s="121">
        <v>194.61538461538461</v>
      </c>
    </row>
    <row r="173" spans="2:15" x14ac:dyDescent="0.3">
      <c r="B173" s="114" t="s">
        <v>132</v>
      </c>
      <c r="C173" s="2"/>
      <c r="D173" s="2"/>
      <c r="E173" s="122">
        <v>324</v>
      </c>
      <c r="G173" s="114" t="s">
        <v>132</v>
      </c>
      <c r="H173" s="2"/>
      <c r="I173" s="2"/>
      <c r="J173" s="122">
        <v>712</v>
      </c>
      <c r="L173" s="114" t="s">
        <v>132</v>
      </c>
      <c r="M173" s="2"/>
      <c r="N173" s="2"/>
      <c r="O173" s="122">
        <v>721</v>
      </c>
    </row>
    <row r="174" spans="2:15" ht="15" thickBot="1" x14ac:dyDescent="0.35">
      <c r="B174" s="114" t="s">
        <v>102</v>
      </c>
      <c r="C174" s="2"/>
      <c r="D174" s="223"/>
      <c r="E174" s="226">
        <v>465.07</v>
      </c>
      <c r="G174" s="114" t="s">
        <v>102</v>
      </c>
      <c r="H174" s="2"/>
      <c r="I174" s="223"/>
      <c r="J174" s="226">
        <v>45.21</v>
      </c>
      <c r="L174" s="114" t="s">
        <v>102</v>
      </c>
      <c r="M174" s="2"/>
      <c r="N174" s="223"/>
      <c r="O174" s="226">
        <v>461.35</v>
      </c>
    </row>
    <row r="175" spans="2:15" ht="15.6" thickTop="1" thickBot="1" x14ac:dyDescent="0.35">
      <c r="B175" s="119" t="s">
        <v>100</v>
      </c>
      <c r="C175" s="120"/>
      <c r="D175" s="225"/>
      <c r="E175" s="227">
        <v>2918.57</v>
      </c>
      <c r="G175" s="119" t="s">
        <v>100</v>
      </c>
      <c r="H175" s="120"/>
      <c r="I175" s="225"/>
      <c r="J175" s="227">
        <v>3010.71</v>
      </c>
      <c r="L175" s="119" t="s">
        <v>100</v>
      </c>
      <c r="M175" s="120"/>
      <c r="N175" s="225"/>
      <c r="O175" s="227">
        <v>3465.85</v>
      </c>
    </row>
    <row r="176" spans="2:15" ht="15.6" thickTop="1" thickBot="1" x14ac:dyDescent="0.35"/>
    <row r="177" spans="2:15" ht="15.6" thickTop="1" thickBot="1" x14ac:dyDescent="0.35">
      <c r="B177" s="291" t="s">
        <v>98</v>
      </c>
      <c r="C177" s="292"/>
      <c r="D177" s="293"/>
      <c r="E177" s="140">
        <v>44788</v>
      </c>
      <c r="G177" s="291" t="s">
        <v>98</v>
      </c>
      <c r="H177" s="292"/>
      <c r="I177" s="293"/>
      <c r="J177" s="140">
        <v>44788</v>
      </c>
      <c r="L177" s="291" t="s">
        <v>98</v>
      </c>
      <c r="M177" s="292"/>
      <c r="N177" s="293"/>
      <c r="O177" s="140">
        <v>44788</v>
      </c>
    </row>
    <row r="178" spans="2:15" ht="15.6" thickTop="1" thickBot="1" x14ac:dyDescent="0.35">
      <c r="B178" s="294"/>
      <c r="C178" s="295"/>
      <c r="D178" s="296"/>
      <c r="E178" s="140">
        <v>45427</v>
      </c>
      <c r="G178" s="294"/>
      <c r="H178" s="295"/>
      <c r="I178" s="296"/>
      <c r="J178" s="140">
        <v>45458</v>
      </c>
      <c r="L178" s="294"/>
      <c r="M178" s="295"/>
      <c r="N178" s="296"/>
      <c r="O178" s="140">
        <v>45488</v>
      </c>
    </row>
    <row r="179" spans="2:15" ht="15.6" thickTop="1" thickBot="1" x14ac:dyDescent="0.35">
      <c r="B179" s="114" t="s">
        <v>97</v>
      </c>
      <c r="C179" s="2"/>
      <c r="D179" s="2"/>
      <c r="E179" s="209">
        <v>2860</v>
      </c>
      <c r="G179" s="114" t="s">
        <v>97</v>
      </c>
      <c r="H179" s="2"/>
      <c r="I179" s="2"/>
      <c r="J179" s="209">
        <v>2990</v>
      </c>
      <c r="L179" s="114" t="s">
        <v>97</v>
      </c>
      <c r="M179" s="2"/>
      <c r="N179" s="2"/>
      <c r="O179" s="209">
        <v>3120</v>
      </c>
    </row>
    <row r="180" spans="2:15" ht="15.6" thickTop="1" thickBot="1" x14ac:dyDescent="0.35">
      <c r="B180" s="115" t="s">
        <v>188</v>
      </c>
      <c r="C180" s="116"/>
      <c r="D180" s="116"/>
      <c r="E180" s="217"/>
      <c r="G180" s="115" t="s">
        <v>188</v>
      </c>
      <c r="H180" s="116"/>
      <c r="I180" s="116"/>
      <c r="J180" s="217"/>
      <c r="L180" s="115" t="s">
        <v>188</v>
      </c>
      <c r="M180" s="116"/>
      <c r="N180" s="116"/>
      <c r="O180" s="217"/>
    </row>
    <row r="181" spans="2:15" ht="15" thickTop="1" x14ac:dyDescent="0.3">
      <c r="B181" s="215" t="s">
        <v>255</v>
      </c>
      <c r="C181" s="2"/>
      <c r="D181" s="2"/>
      <c r="E181" s="208">
        <v>11360</v>
      </c>
      <c r="G181" s="215" t="s">
        <v>255</v>
      </c>
      <c r="H181" s="2"/>
      <c r="I181" s="2"/>
      <c r="J181" s="208">
        <v>12360</v>
      </c>
      <c r="L181" s="215" t="s">
        <v>255</v>
      </c>
      <c r="M181" s="2"/>
      <c r="N181" s="2"/>
      <c r="O181" s="208">
        <v>13360</v>
      </c>
    </row>
    <row r="182" spans="2:15" x14ac:dyDescent="0.3">
      <c r="B182" s="216" t="s">
        <v>256</v>
      </c>
      <c r="C182" s="2"/>
      <c r="D182" s="2"/>
      <c r="E182" s="123">
        <v>200</v>
      </c>
      <c r="G182" s="216" t="s">
        <v>256</v>
      </c>
      <c r="H182" s="2"/>
      <c r="I182" s="2"/>
      <c r="J182" s="123">
        <v>200</v>
      </c>
      <c r="L182" s="216" t="s">
        <v>256</v>
      </c>
      <c r="M182" s="2"/>
      <c r="N182" s="2"/>
      <c r="O182" s="123">
        <v>200</v>
      </c>
    </row>
    <row r="183" spans="2:15" x14ac:dyDescent="0.3">
      <c r="B183" s="114" t="s">
        <v>109</v>
      </c>
      <c r="C183" s="2"/>
      <c r="D183" s="2"/>
      <c r="E183" s="124">
        <v>1000</v>
      </c>
      <c r="G183" s="114" t="s">
        <v>109</v>
      </c>
      <c r="H183" s="2"/>
      <c r="I183" s="2"/>
      <c r="J183" s="124">
        <v>1000</v>
      </c>
      <c r="L183" s="114" t="s">
        <v>109</v>
      </c>
      <c r="M183" s="2"/>
      <c r="N183" s="2"/>
      <c r="O183" s="124">
        <v>1000</v>
      </c>
    </row>
    <row r="184" spans="2:15" x14ac:dyDescent="0.3">
      <c r="B184" s="216" t="s">
        <v>257</v>
      </c>
      <c r="C184" s="2"/>
      <c r="D184" s="2"/>
      <c r="E184" s="218">
        <v>1103</v>
      </c>
      <c r="G184" s="216" t="s">
        <v>257</v>
      </c>
      <c r="H184" s="2"/>
      <c r="I184" s="2"/>
      <c r="J184" s="218">
        <v>1191</v>
      </c>
      <c r="L184" s="216" t="s">
        <v>257</v>
      </c>
      <c r="M184" s="2"/>
      <c r="N184" s="2"/>
      <c r="O184" s="218">
        <v>1361</v>
      </c>
    </row>
    <row r="185" spans="2:15" ht="15" thickBot="1" x14ac:dyDescent="0.35">
      <c r="B185" s="114" t="s">
        <v>111</v>
      </c>
      <c r="C185" s="2"/>
      <c r="D185" s="2"/>
      <c r="E185" s="124">
        <v>116</v>
      </c>
      <c r="G185" s="114" t="s">
        <v>111</v>
      </c>
      <c r="H185" s="2"/>
      <c r="I185" s="2"/>
      <c r="J185" s="124">
        <v>88</v>
      </c>
      <c r="L185" s="114" t="s">
        <v>111</v>
      </c>
      <c r="M185" s="2"/>
      <c r="N185" s="2"/>
      <c r="O185" s="124">
        <v>170</v>
      </c>
    </row>
    <row r="186" spans="2:15" ht="15.6" thickTop="1" thickBot="1" x14ac:dyDescent="0.35">
      <c r="B186" s="219" t="s">
        <v>41</v>
      </c>
      <c r="C186" s="116"/>
      <c r="D186" s="116"/>
      <c r="E186" s="217"/>
      <c r="G186" s="219" t="s">
        <v>41</v>
      </c>
      <c r="H186" s="116"/>
      <c r="I186" s="116"/>
      <c r="J186" s="217"/>
      <c r="L186" s="219" t="s">
        <v>41</v>
      </c>
      <c r="M186" s="116"/>
      <c r="N186" s="116"/>
      <c r="O186" s="217"/>
    </row>
    <row r="187" spans="2:15" ht="15" thickTop="1" x14ac:dyDescent="0.3">
      <c r="B187" s="114" t="s">
        <v>107</v>
      </c>
      <c r="C187" s="2"/>
      <c r="D187" s="2"/>
      <c r="E187" s="123">
        <v>8384.9700000000012</v>
      </c>
      <c r="G187" s="114" t="s">
        <v>107</v>
      </c>
      <c r="H187" s="2"/>
      <c r="I187" s="2"/>
      <c r="J187" s="123">
        <v>9085.6700000000019</v>
      </c>
      <c r="L187" s="114" t="s">
        <v>107</v>
      </c>
      <c r="M187" s="2"/>
      <c r="N187" s="2"/>
      <c r="O187" s="123">
        <v>9951.3700000000026</v>
      </c>
    </row>
    <row r="188" spans="2:15" x14ac:dyDescent="0.3">
      <c r="B188" s="114" t="s">
        <v>110</v>
      </c>
      <c r="C188" s="2"/>
      <c r="D188" s="2"/>
      <c r="E188" s="124">
        <v>472.14</v>
      </c>
      <c r="G188" s="114" t="s">
        <v>110</v>
      </c>
      <c r="H188" s="2"/>
      <c r="I188" s="2"/>
      <c r="J188" s="124">
        <v>700.7</v>
      </c>
      <c r="L188" s="114" t="s">
        <v>110</v>
      </c>
      <c r="M188" s="2"/>
      <c r="N188" s="2"/>
      <c r="O188" s="124">
        <v>865.7</v>
      </c>
    </row>
    <row r="189" spans="2:15" ht="15" thickBot="1" x14ac:dyDescent="0.35">
      <c r="B189" s="128" t="s">
        <v>101</v>
      </c>
      <c r="C189" s="127"/>
      <c r="D189" s="118"/>
      <c r="E189" s="126">
        <v>2975.0299999999988</v>
      </c>
      <c r="G189" s="128" t="s">
        <v>101</v>
      </c>
      <c r="H189" s="127"/>
      <c r="I189" s="118"/>
      <c r="J189" s="126">
        <v>3274.3299999999981</v>
      </c>
      <c r="L189" s="128" t="s">
        <v>101</v>
      </c>
      <c r="M189" s="127"/>
      <c r="N189" s="118"/>
      <c r="O189" s="126">
        <v>3408.6299999999974</v>
      </c>
    </row>
    <row r="190" spans="2:15" ht="15" thickTop="1" x14ac:dyDescent="0.3">
      <c r="B190" s="114" t="s">
        <v>108</v>
      </c>
      <c r="C190" s="2"/>
      <c r="D190" s="2"/>
      <c r="E190" s="123">
        <v>657.5</v>
      </c>
      <c r="G190" s="114" t="s">
        <v>108</v>
      </c>
      <c r="H190" s="2"/>
      <c r="I190" s="2"/>
      <c r="J190" s="123">
        <v>733.5</v>
      </c>
      <c r="L190" s="114" t="s">
        <v>108</v>
      </c>
      <c r="M190" s="2"/>
      <c r="N190" s="2"/>
      <c r="O190" s="123">
        <v>828.5</v>
      </c>
    </row>
    <row r="191" spans="2:15" x14ac:dyDescent="0.3">
      <c r="B191" s="114" t="s">
        <v>112</v>
      </c>
      <c r="C191" s="2"/>
      <c r="D191" s="2"/>
      <c r="E191" s="124">
        <v>64</v>
      </c>
      <c r="G191" s="114" t="s">
        <v>112</v>
      </c>
      <c r="H191" s="2"/>
      <c r="I191" s="2"/>
      <c r="J191" s="124">
        <v>76</v>
      </c>
      <c r="L191" s="114" t="s">
        <v>112</v>
      </c>
      <c r="M191" s="2"/>
      <c r="N191" s="2"/>
      <c r="O191" s="124">
        <v>95</v>
      </c>
    </row>
    <row r="192" spans="2:15" ht="15" thickBot="1" x14ac:dyDescent="0.35">
      <c r="B192" s="128" t="s">
        <v>104</v>
      </c>
      <c r="C192" s="118"/>
      <c r="D192" s="118"/>
      <c r="E192" s="126">
        <v>445.5</v>
      </c>
      <c r="G192" s="128" t="s">
        <v>104</v>
      </c>
      <c r="H192" s="118"/>
      <c r="I192" s="118"/>
      <c r="J192" s="126">
        <v>457.5</v>
      </c>
      <c r="L192" s="128" t="s">
        <v>104</v>
      </c>
      <c r="M192" s="118"/>
      <c r="N192" s="118"/>
      <c r="O192" s="126">
        <v>532.5</v>
      </c>
    </row>
    <row r="193" spans="2:15" ht="15.6" thickTop="1" thickBot="1" x14ac:dyDescent="0.35">
      <c r="B193" s="115" t="s">
        <v>258</v>
      </c>
      <c r="C193" s="220"/>
      <c r="D193" s="116"/>
      <c r="E193" s="224"/>
      <c r="G193" s="115" t="s">
        <v>258</v>
      </c>
      <c r="H193" s="220"/>
      <c r="I193" s="116"/>
      <c r="J193" s="224"/>
      <c r="L193" s="115" t="s">
        <v>258</v>
      </c>
      <c r="M193" s="220"/>
      <c r="N193" s="116"/>
      <c r="O193" s="224"/>
    </row>
    <row r="194" spans="2:15" ht="15" thickTop="1" x14ac:dyDescent="0.3">
      <c r="B194" s="114" t="s">
        <v>259</v>
      </c>
      <c r="C194" s="210"/>
      <c r="D194" s="2"/>
      <c r="E194" s="125">
        <v>23.5</v>
      </c>
      <c r="G194" s="114" t="s">
        <v>259</v>
      </c>
      <c r="H194" s="210"/>
      <c r="I194" s="2"/>
      <c r="J194" s="125">
        <v>23.5</v>
      </c>
      <c r="L194" s="114" t="s">
        <v>259</v>
      </c>
      <c r="M194" s="210"/>
      <c r="N194" s="2"/>
      <c r="O194" s="125">
        <v>23.5</v>
      </c>
    </row>
    <row r="195" spans="2:15" x14ac:dyDescent="0.3">
      <c r="B195" s="114" t="s">
        <v>260</v>
      </c>
      <c r="C195" s="221"/>
      <c r="D195" s="222"/>
      <c r="E195" s="123">
        <v>266</v>
      </c>
      <c r="G195" s="114" t="s">
        <v>260</v>
      </c>
      <c r="H195" s="221"/>
      <c r="I195" s="222"/>
      <c r="J195" s="123">
        <v>274</v>
      </c>
      <c r="L195" s="114" t="s">
        <v>260</v>
      </c>
      <c r="M195" s="221"/>
      <c r="N195" s="222"/>
      <c r="O195" s="123">
        <v>274</v>
      </c>
    </row>
    <row r="196" spans="2:15" x14ac:dyDescent="0.3">
      <c r="B196" s="114" t="s">
        <v>99</v>
      </c>
      <c r="C196" s="2"/>
      <c r="D196" s="2"/>
      <c r="E196" s="122">
        <v>2660</v>
      </c>
      <c r="G196" s="114" t="s">
        <v>99</v>
      </c>
      <c r="H196" s="2"/>
      <c r="I196" s="2"/>
      <c r="J196" s="122">
        <v>2790</v>
      </c>
      <c r="L196" s="114" t="s">
        <v>99</v>
      </c>
      <c r="M196" s="2"/>
      <c r="N196" s="2"/>
      <c r="O196" s="122">
        <v>2920</v>
      </c>
    </row>
    <row r="197" spans="2:15" x14ac:dyDescent="0.3">
      <c r="B197" s="114" t="s">
        <v>106</v>
      </c>
      <c r="C197" s="2"/>
      <c r="D197" s="2"/>
      <c r="E197" s="121">
        <v>204.61538461538461</v>
      </c>
      <c r="G197" s="114" t="s">
        <v>106</v>
      </c>
      <c r="H197" s="2"/>
      <c r="I197" s="2"/>
      <c r="J197" s="121">
        <v>214.61538461538461</v>
      </c>
      <c r="L197" s="114" t="s">
        <v>106</v>
      </c>
      <c r="M197" s="2"/>
      <c r="N197" s="2"/>
      <c r="O197" s="121">
        <v>224.61538461538461</v>
      </c>
    </row>
    <row r="198" spans="2:15" x14ac:dyDescent="0.3">
      <c r="B198" s="114" t="s">
        <v>132</v>
      </c>
      <c r="C198" s="2"/>
      <c r="D198" s="2"/>
      <c r="E198" s="122">
        <v>837</v>
      </c>
      <c r="G198" s="114" t="s">
        <v>132</v>
      </c>
      <c r="H198" s="2"/>
      <c r="I198" s="2"/>
      <c r="J198" s="122">
        <v>917</v>
      </c>
      <c r="L198" s="114" t="s">
        <v>132</v>
      </c>
      <c r="M198" s="2"/>
      <c r="N198" s="2"/>
      <c r="O198" s="122">
        <v>1087</v>
      </c>
    </row>
    <row r="199" spans="2:15" ht="15" thickBot="1" x14ac:dyDescent="0.35">
      <c r="B199" s="114" t="s">
        <v>102</v>
      </c>
      <c r="C199" s="2"/>
      <c r="D199" s="223"/>
      <c r="E199" s="226">
        <v>131.49</v>
      </c>
      <c r="G199" s="114" t="s">
        <v>102</v>
      </c>
      <c r="H199" s="2"/>
      <c r="I199" s="223"/>
      <c r="J199" s="226">
        <v>38.19</v>
      </c>
      <c r="L199" s="114" t="s">
        <v>102</v>
      </c>
      <c r="M199" s="2"/>
      <c r="N199" s="223"/>
      <c r="O199" s="226">
        <v>128.9</v>
      </c>
    </row>
    <row r="200" spans="2:15" ht="15.6" thickTop="1" thickBot="1" x14ac:dyDescent="0.35">
      <c r="B200" s="119" t="s">
        <v>100</v>
      </c>
      <c r="C200" s="120"/>
      <c r="D200" s="225"/>
      <c r="E200" s="227">
        <v>3385.99</v>
      </c>
      <c r="G200" s="119" t="s">
        <v>100</v>
      </c>
      <c r="H200" s="120"/>
      <c r="I200" s="225"/>
      <c r="J200" s="227">
        <v>3494.69</v>
      </c>
      <c r="L200" s="119" t="s">
        <v>100</v>
      </c>
      <c r="M200" s="120"/>
      <c r="N200" s="225"/>
      <c r="O200" s="227">
        <v>3885.4</v>
      </c>
    </row>
    <row r="201" spans="2:15" ht="15.6" thickTop="1" thickBot="1" x14ac:dyDescent="0.35"/>
    <row r="202" spans="2:15" ht="15.6" thickTop="1" thickBot="1" x14ac:dyDescent="0.35">
      <c r="B202" s="291" t="s">
        <v>98</v>
      </c>
      <c r="C202" s="292"/>
      <c r="D202" s="293"/>
      <c r="E202" s="140">
        <v>44788</v>
      </c>
      <c r="G202" s="291" t="s">
        <v>98</v>
      </c>
      <c r="H202" s="292"/>
      <c r="I202" s="293"/>
      <c r="J202" s="140">
        <v>44788</v>
      </c>
      <c r="L202" s="291" t="s">
        <v>98</v>
      </c>
      <c r="M202" s="292"/>
      <c r="N202" s="293"/>
      <c r="O202" s="140">
        <v>44788</v>
      </c>
    </row>
    <row r="203" spans="2:15" ht="15.6" thickTop="1" thickBot="1" x14ac:dyDescent="0.35">
      <c r="B203" s="294"/>
      <c r="C203" s="295"/>
      <c r="D203" s="296"/>
      <c r="E203" s="140">
        <v>45519</v>
      </c>
      <c r="G203" s="294"/>
      <c r="H203" s="295"/>
      <c r="I203" s="296"/>
      <c r="J203" s="140">
        <v>45550</v>
      </c>
      <c r="L203" s="294"/>
      <c r="M203" s="295"/>
      <c r="N203" s="296"/>
      <c r="O203" s="140">
        <v>45580</v>
      </c>
    </row>
    <row r="204" spans="2:15" ht="15.6" thickTop="1" thickBot="1" x14ac:dyDescent="0.35">
      <c r="B204" s="114" t="s">
        <v>97</v>
      </c>
      <c r="C204" s="2"/>
      <c r="D204" s="2"/>
      <c r="E204" s="209">
        <v>3250</v>
      </c>
      <c r="G204" s="114" t="s">
        <v>97</v>
      </c>
      <c r="H204" s="2"/>
      <c r="I204" s="2"/>
      <c r="J204" s="209">
        <v>3380</v>
      </c>
      <c r="L204" s="114" t="s">
        <v>97</v>
      </c>
      <c r="M204" s="2"/>
      <c r="N204" s="2"/>
      <c r="O204" s="209">
        <v>3510</v>
      </c>
    </row>
    <row r="205" spans="2:15" ht="15.6" thickTop="1" thickBot="1" x14ac:dyDescent="0.35">
      <c r="B205" s="115" t="s">
        <v>188</v>
      </c>
      <c r="C205" s="116"/>
      <c r="D205" s="116"/>
      <c r="E205" s="217"/>
      <c r="G205" s="115" t="s">
        <v>188</v>
      </c>
      <c r="H205" s="116"/>
      <c r="I205" s="116"/>
      <c r="J205" s="217"/>
      <c r="L205" s="115" t="s">
        <v>188</v>
      </c>
      <c r="M205" s="116"/>
      <c r="N205" s="116"/>
      <c r="O205" s="217"/>
    </row>
    <row r="206" spans="2:15" ht="15" thickTop="1" x14ac:dyDescent="0.3">
      <c r="B206" s="215" t="s">
        <v>255</v>
      </c>
      <c r="C206" s="2"/>
      <c r="D206" s="2"/>
      <c r="E206" s="208">
        <v>14260</v>
      </c>
      <c r="G206" s="215" t="s">
        <v>255</v>
      </c>
      <c r="H206" s="2"/>
      <c r="I206" s="2"/>
      <c r="J206" s="208">
        <v>14660</v>
      </c>
      <c r="L206" s="215" t="s">
        <v>255</v>
      </c>
      <c r="M206" s="2"/>
      <c r="N206" s="2"/>
      <c r="O206" s="208">
        <v>15660</v>
      </c>
    </row>
    <row r="207" spans="2:15" x14ac:dyDescent="0.3">
      <c r="B207" s="216" t="s">
        <v>256</v>
      </c>
      <c r="C207" s="2"/>
      <c r="D207" s="2"/>
      <c r="E207" s="123">
        <v>200</v>
      </c>
      <c r="G207" s="216" t="s">
        <v>256</v>
      </c>
      <c r="H207" s="2"/>
      <c r="I207" s="2"/>
      <c r="J207" s="123">
        <v>300</v>
      </c>
      <c r="L207" s="216" t="s">
        <v>256</v>
      </c>
      <c r="M207" s="2"/>
      <c r="N207" s="2"/>
      <c r="O207" s="123">
        <v>300</v>
      </c>
    </row>
    <row r="208" spans="2:15" x14ac:dyDescent="0.3">
      <c r="B208" s="114" t="s">
        <v>109</v>
      </c>
      <c r="C208" s="2"/>
      <c r="D208" s="2"/>
      <c r="E208" s="124">
        <v>900</v>
      </c>
      <c r="G208" s="114" t="s">
        <v>109</v>
      </c>
      <c r="H208" s="2"/>
      <c r="I208" s="2"/>
      <c r="J208" s="124">
        <v>400</v>
      </c>
      <c r="L208" s="114" t="s">
        <v>109</v>
      </c>
      <c r="M208" s="2"/>
      <c r="N208" s="2"/>
      <c r="O208" s="124">
        <v>1000</v>
      </c>
    </row>
    <row r="209" spans="2:15" x14ac:dyDescent="0.3">
      <c r="B209" s="216" t="s">
        <v>257</v>
      </c>
      <c r="C209" s="2"/>
      <c r="D209" s="2"/>
      <c r="E209" s="218">
        <v>1469</v>
      </c>
      <c r="G209" s="216" t="s">
        <v>257</v>
      </c>
      <c r="H209" s="2"/>
      <c r="I209" s="2"/>
      <c r="J209" s="218">
        <v>1501</v>
      </c>
      <c r="L209" s="216" t="s">
        <v>257</v>
      </c>
      <c r="M209" s="2"/>
      <c r="N209" s="2"/>
      <c r="O209" s="218">
        <v>1581</v>
      </c>
    </row>
    <row r="210" spans="2:15" ht="15" thickBot="1" x14ac:dyDescent="0.35">
      <c r="B210" s="114" t="s">
        <v>111</v>
      </c>
      <c r="C210" s="2"/>
      <c r="D210" s="2"/>
      <c r="E210" s="124">
        <v>108</v>
      </c>
      <c r="G210" s="114" t="s">
        <v>111</v>
      </c>
      <c r="H210" s="2"/>
      <c r="I210" s="2"/>
      <c r="J210" s="124">
        <v>32</v>
      </c>
      <c r="L210" s="114" t="s">
        <v>111</v>
      </c>
      <c r="M210" s="2"/>
      <c r="N210" s="2"/>
      <c r="O210" s="124">
        <v>80</v>
      </c>
    </row>
    <row r="211" spans="2:15" ht="15.6" thickTop="1" thickBot="1" x14ac:dyDescent="0.35">
      <c r="B211" s="219" t="s">
        <v>41</v>
      </c>
      <c r="C211" s="116"/>
      <c r="D211" s="116"/>
      <c r="E211" s="217"/>
      <c r="G211" s="219" t="s">
        <v>41</v>
      </c>
      <c r="H211" s="116"/>
      <c r="I211" s="116"/>
      <c r="J211" s="217"/>
      <c r="L211" s="219" t="s">
        <v>41</v>
      </c>
      <c r="M211" s="116"/>
      <c r="N211" s="116"/>
      <c r="O211" s="217"/>
    </row>
    <row r="212" spans="2:15" ht="15" thickTop="1" x14ac:dyDescent="0.3">
      <c r="B212" s="114" t="s">
        <v>107</v>
      </c>
      <c r="C212" s="2"/>
      <c r="D212" s="2"/>
      <c r="E212" s="123">
        <v>10688.740000000003</v>
      </c>
      <c r="G212" s="114" t="s">
        <v>107</v>
      </c>
      <c r="H212" s="2"/>
      <c r="I212" s="2"/>
      <c r="J212" s="123">
        <v>11556.110000000004</v>
      </c>
      <c r="L212" s="114" t="s">
        <v>107</v>
      </c>
      <c r="M212" s="2"/>
      <c r="N212" s="2"/>
      <c r="O212" s="123">
        <v>12463.480000000005</v>
      </c>
    </row>
    <row r="213" spans="2:15" x14ac:dyDescent="0.3">
      <c r="B213" s="114" t="s">
        <v>110</v>
      </c>
      <c r="C213" s="2"/>
      <c r="D213" s="2"/>
      <c r="E213" s="124">
        <v>737.37</v>
      </c>
      <c r="G213" s="114" t="s">
        <v>110</v>
      </c>
      <c r="H213" s="2"/>
      <c r="I213" s="2"/>
      <c r="J213" s="124">
        <v>867.37</v>
      </c>
      <c r="L213" s="114" t="s">
        <v>110</v>
      </c>
      <c r="M213" s="2"/>
      <c r="N213" s="2"/>
      <c r="O213" s="124">
        <v>907.37</v>
      </c>
    </row>
    <row r="214" spans="2:15" ht="15" thickBot="1" x14ac:dyDescent="0.35">
      <c r="B214" s="128" t="s">
        <v>101</v>
      </c>
      <c r="C214" s="127"/>
      <c r="D214" s="118"/>
      <c r="E214" s="126">
        <v>3571.2599999999966</v>
      </c>
      <c r="G214" s="128" t="s">
        <v>101</v>
      </c>
      <c r="H214" s="127"/>
      <c r="I214" s="118"/>
      <c r="J214" s="126">
        <v>3103.8899999999958</v>
      </c>
      <c r="L214" s="128" t="s">
        <v>101</v>
      </c>
      <c r="M214" s="127"/>
      <c r="N214" s="118"/>
      <c r="O214" s="126">
        <v>3196.519999999995</v>
      </c>
    </row>
    <row r="215" spans="2:15" ht="15" thickTop="1" x14ac:dyDescent="0.3">
      <c r="B215" s="114" t="s">
        <v>108</v>
      </c>
      <c r="C215" s="2"/>
      <c r="D215" s="2"/>
      <c r="E215" s="123">
        <v>922.5</v>
      </c>
      <c r="G215" s="114" t="s">
        <v>108</v>
      </c>
      <c r="H215" s="2"/>
      <c r="I215" s="2"/>
      <c r="J215" s="123">
        <v>1032.5</v>
      </c>
      <c r="L215" s="114" t="s">
        <v>108</v>
      </c>
      <c r="M215" s="2"/>
      <c r="N215" s="2"/>
      <c r="O215" s="123">
        <v>1113</v>
      </c>
    </row>
    <row r="216" spans="2:15" x14ac:dyDescent="0.3">
      <c r="B216" s="114" t="s">
        <v>112</v>
      </c>
      <c r="C216" s="2"/>
      <c r="D216" s="2"/>
      <c r="E216" s="124">
        <v>94</v>
      </c>
      <c r="G216" s="114" t="s">
        <v>112</v>
      </c>
      <c r="H216" s="2"/>
      <c r="I216" s="2"/>
      <c r="J216" s="124">
        <v>110</v>
      </c>
      <c r="L216" s="114" t="s">
        <v>112</v>
      </c>
      <c r="M216" s="2"/>
      <c r="N216" s="2"/>
      <c r="O216" s="124">
        <v>104</v>
      </c>
    </row>
    <row r="217" spans="2:15" ht="15" thickBot="1" x14ac:dyDescent="0.35">
      <c r="B217" s="128" t="s">
        <v>104</v>
      </c>
      <c r="C217" s="118"/>
      <c r="D217" s="118"/>
      <c r="E217" s="126">
        <v>546.5</v>
      </c>
      <c r="G217" s="128" t="s">
        <v>104</v>
      </c>
      <c r="H217" s="118"/>
      <c r="I217" s="118"/>
      <c r="J217" s="126">
        <v>468.5</v>
      </c>
      <c r="L217" s="128" t="s">
        <v>104</v>
      </c>
      <c r="M217" s="118"/>
      <c r="N217" s="118"/>
      <c r="O217" s="126">
        <v>468</v>
      </c>
    </row>
    <row r="218" spans="2:15" ht="15.6" thickTop="1" thickBot="1" x14ac:dyDescent="0.35">
      <c r="B218" s="115" t="s">
        <v>258</v>
      </c>
      <c r="C218" s="220"/>
      <c r="D218" s="116"/>
      <c r="E218" s="224"/>
      <c r="G218" s="115" t="s">
        <v>258</v>
      </c>
      <c r="H218" s="220"/>
      <c r="I218" s="116"/>
      <c r="J218" s="224"/>
      <c r="L218" s="115" t="s">
        <v>258</v>
      </c>
      <c r="M218" s="220"/>
      <c r="N218" s="116"/>
      <c r="O218" s="224"/>
    </row>
    <row r="219" spans="2:15" ht="15" thickTop="1" x14ac:dyDescent="0.3">
      <c r="B219" s="114" t="s">
        <v>259</v>
      </c>
      <c r="C219" s="210"/>
      <c r="D219" s="2"/>
      <c r="E219" s="125">
        <v>23.5</v>
      </c>
      <c r="G219" s="114" t="s">
        <v>259</v>
      </c>
      <c r="H219" s="210"/>
      <c r="I219" s="2"/>
      <c r="J219" s="125">
        <v>23.5</v>
      </c>
      <c r="L219" s="114" t="s">
        <v>259</v>
      </c>
      <c r="M219" s="210"/>
      <c r="N219" s="2"/>
      <c r="O219" s="125">
        <v>23.5</v>
      </c>
    </row>
    <row r="220" spans="2:15" x14ac:dyDescent="0.3">
      <c r="B220" s="114" t="s">
        <v>260</v>
      </c>
      <c r="C220" s="221"/>
      <c r="D220" s="222"/>
      <c r="E220" s="123">
        <v>274</v>
      </c>
      <c r="G220" s="114" t="s">
        <v>260</v>
      </c>
      <c r="H220" s="221"/>
      <c r="I220" s="222"/>
      <c r="J220" s="123">
        <v>274</v>
      </c>
      <c r="L220" s="114" t="s">
        <v>260</v>
      </c>
      <c r="M220" s="221"/>
      <c r="N220" s="222"/>
      <c r="O220" s="123">
        <v>450</v>
      </c>
    </row>
    <row r="221" spans="2:15" x14ac:dyDescent="0.3">
      <c r="B221" s="114" t="s">
        <v>99</v>
      </c>
      <c r="C221" s="2"/>
      <c r="D221" s="2"/>
      <c r="E221" s="122">
        <v>3050</v>
      </c>
      <c r="G221" s="114" t="s">
        <v>99</v>
      </c>
      <c r="H221" s="2"/>
      <c r="I221" s="2"/>
      <c r="J221" s="122">
        <v>3080</v>
      </c>
      <c r="L221" s="114" t="s">
        <v>99</v>
      </c>
      <c r="M221" s="2"/>
      <c r="N221" s="2"/>
      <c r="O221" s="122">
        <v>38</v>
      </c>
    </row>
    <row r="222" spans="2:15" x14ac:dyDescent="0.3">
      <c r="B222" s="114" t="s">
        <v>106</v>
      </c>
      <c r="C222" s="2"/>
      <c r="D222" s="2"/>
      <c r="E222" s="121">
        <v>234.61538461538461</v>
      </c>
      <c r="G222" s="114" t="s">
        <v>106</v>
      </c>
      <c r="H222" s="2"/>
      <c r="I222" s="2"/>
      <c r="J222" s="121">
        <v>236.92307692307693</v>
      </c>
      <c r="L222" s="114" t="s">
        <v>106</v>
      </c>
      <c r="M222" s="2"/>
      <c r="N222" s="2"/>
      <c r="O222" s="121">
        <v>3210</v>
      </c>
    </row>
    <row r="223" spans="2:15" x14ac:dyDescent="0.3">
      <c r="B223" s="114" t="s">
        <v>132</v>
      </c>
      <c r="C223" s="2"/>
      <c r="D223" s="2"/>
      <c r="E223" s="122">
        <v>1195</v>
      </c>
      <c r="G223" s="114" t="s">
        <v>132</v>
      </c>
      <c r="H223" s="2"/>
      <c r="I223" s="2"/>
      <c r="J223" s="122">
        <v>1227</v>
      </c>
      <c r="L223" s="114" t="s">
        <v>132</v>
      </c>
      <c r="M223" s="2"/>
      <c r="N223" s="2"/>
      <c r="O223" s="122">
        <v>246.92307692307693</v>
      </c>
    </row>
    <row r="224" spans="2:15" ht="15" thickBot="1" x14ac:dyDescent="0.35">
      <c r="B224" s="114" t="s">
        <v>102</v>
      </c>
      <c r="C224" s="2"/>
      <c r="D224" s="223"/>
      <c r="E224" s="226">
        <v>190.27</v>
      </c>
      <c r="G224" s="114" t="s">
        <v>102</v>
      </c>
      <c r="H224" s="2"/>
      <c r="I224" s="223"/>
      <c r="J224" s="226">
        <v>637.64</v>
      </c>
      <c r="L224" s="114" t="s">
        <v>102</v>
      </c>
      <c r="M224" s="2"/>
      <c r="N224" s="223"/>
      <c r="O224" s="226">
        <v>1093</v>
      </c>
    </row>
    <row r="225" spans="2:15" ht="15.6" thickTop="1" thickBot="1" x14ac:dyDescent="0.35">
      <c r="B225" s="119" t="s">
        <v>100</v>
      </c>
      <c r="C225" s="120"/>
      <c r="D225" s="225"/>
      <c r="E225" s="227">
        <v>4184.7700000000004</v>
      </c>
      <c r="G225" s="119" t="s">
        <v>100</v>
      </c>
      <c r="H225" s="120"/>
      <c r="I225" s="225"/>
      <c r="J225" s="227">
        <v>4694.1399999999994</v>
      </c>
      <c r="L225" s="119" t="s">
        <v>100</v>
      </c>
      <c r="M225" s="120"/>
      <c r="N225" s="225"/>
      <c r="O225" s="227">
        <v>605.71</v>
      </c>
    </row>
    <row r="226" spans="2:15" ht="15" thickTop="1" x14ac:dyDescent="0.3"/>
  </sheetData>
  <mergeCells count="27">
    <mergeCell ref="B2:D3"/>
    <mergeCell ref="G2:I3"/>
    <mergeCell ref="L2:N3"/>
    <mergeCell ref="B27:D28"/>
    <mergeCell ref="G27:I28"/>
    <mergeCell ref="L27:N28"/>
    <mergeCell ref="B52:D53"/>
    <mergeCell ref="G52:I53"/>
    <mergeCell ref="L52:N53"/>
    <mergeCell ref="B77:D78"/>
    <mergeCell ref="G77:I78"/>
    <mergeCell ref="L77:N78"/>
    <mergeCell ref="B102:D103"/>
    <mergeCell ref="G102:I103"/>
    <mergeCell ref="L102:N103"/>
    <mergeCell ref="B127:D128"/>
    <mergeCell ref="G127:I128"/>
    <mergeCell ref="L127:N128"/>
    <mergeCell ref="B202:D203"/>
    <mergeCell ref="G202:I203"/>
    <mergeCell ref="L202:N203"/>
    <mergeCell ref="B152:D153"/>
    <mergeCell ref="G152:I153"/>
    <mergeCell ref="L152:N153"/>
    <mergeCell ref="B177:D178"/>
    <mergeCell ref="G177:I178"/>
    <mergeCell ref="L177:N17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21875" customWidth="1"/>
  </cols>
  <sheetData>
    <row r="1" spans="2:6" ht="30" x14ac:dyDescent="0.5">
      <c r="B1" s="160" t="s">
        <v>151</v>
      </c>
    </row>
    <row r="3" spans="2:6" x14ac:dyDescent="0.3">
      <c r="B3" s="161" t="s">
        <v>152</v>
      </c>
      <c r="C3" s="162">
        <v>45682</v>
      </c>
      <c r="D3" s="161" t="s">
        <v>153</v>
      </c>
      <c r="E3" s="163">
        <v>0.02</v>
      </c>
    </row>
    <row r="4" spans="2:6" x14ac:dyDescent="0.3">
      <c r="B4" s="161" t="s">
        <v>154</v>
      </c>
      <c r="C4" s="164" t="s">
        <v>15</v>
      </c>
      <c r="D4" s="161" t="s">
        <v>155</v>
      </c>
      <c r="E4" s="165">
        <f>C6*E3</f>
        <v>2</v>
      </c>
      <c r="F4" s="166"/>
    </row>
    <row r="5" spans="2:6" x14ac:dyDescent="0.3">
      <c r="B5" s="161" t="s">
        <v>189</v>
      </c>
      <c r="C5" s="173">
        <v>63</v>
      </c>
      <c r="D5" s="161" t="s">
        <v>157</v>
      </c>
      <c r="E5" s="167">
        <f>C6/C7</f>
        <v>50</v>
      </c>
      <c r="F5" s="168"/>
    </row>
    <row r="6" spans="2:6" x14ac:dyDescent="0.3">
      <c r="B6" s="161" t="s">
        <v>156</v>
      </c>
      <c r="C6" s="174">
        <v>100</v>
      </c>
      <c r="D6" s="161" t="s">
        <v>159</v>
      </c>
      <c r="E6" s="170">
        <f>E4+E5</f>
        <v>52</v>
      </c>
      <c r="F6" s="171"/>
    </row>
    <row r="7" spans="2:6" x14ac:dyDescent="0.3">
      <c r="B7" s="161" t="s">
        <v>158</v>
      </c>
      <c r="C7" s="169">
        <v>2</v>
      </c>
      <c r="D7" s="161" t="s">
        <v>160</v>
      </c>
      <c r="E7" s="175">
        <f>(E6)*C7</f>
        <v>104</v>
      </c>
      <c r="F7" s="139"/>
    </row>
    <row r="8" spans="2:6" x14ac:dyDescent="0.3">
      <c r="B8" s="15"/>
      <c r="C8" s="183"/>
      <c r="D8" s="15"/>
      <c r="E8" s="184"/>
      <c r="F8" s="139"/>
    </row>
    <row r="9" spans="2:6" x14ac:dyDescent="0.3">
      <c r="B9" s="161" t="s">
        <v>208</v>
      </c>
      <c r="C9" s="185" t="s">
        <v>374</v>
      </c>
      <c r="D9" s="186"/>
      <c r="E9" s="186"/>
      <c r="F9" s="187"/>
    </row>
    <row r="11" spans="2:6" x14ac:dyDescent="0.3">
      <c r="B11" s="172" t="s">
        <v>209</v>
      </c>
      <c r="C11" s="172" t="s">
        <v>161</v>
      </c>
      <c r="D11" s="172" t="s">
        <v>162</v>
      </c>
      <c r="E11" s="172" t="s">
        <v>163</v>
      </c>
      <c r="F11" s="172" t="s">
        <v>164</v>
      </c>
    </row>
    <row r="20" spans="3:5" x14ac:dyDescent="0.3">
      <c r="C20" t="s">
        <v>190</v>
      </c>
      <c r="E20" t="s">
        <v>190</v>
      </c>
    </row>
    <row r="21" spans="3:5" x14ac:dyDescent="0.3">
      <c r="C21" t="s">
        <v>191</v>
      </c>
      <c r="E21" t="s">
        <v>192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65</v>
      </c>
      <c r="B1">
        <v>284</v>
      </c>
      <c r="C1" s="43">
        <v>45184</v>
      </c>
      <c r="E1" t="s">
        <v>66</v>
      </c>
    </row>
    <row r="2" spans="1:5" x14ac:dyDescent="0.3">
      <c r="A2" t="s">
        <v>67</v>
      </c>
      <c r="B2">
        <v>40</v>
      </c>
      <c r="C2" s="43">
        <v>45184</v>
      </c>
      <c r="E2" t="s">
        <v>66</v>
      </c>
    </row>
    <row r="4" spans="1:5" x14ac:dyDescent="0.3">
      <c r="A4" s="44" t="s">
        <v>50</v>
      </c>
      <c r="B4" s="44" t="s">
        <v>68</v>
      </c>
    </row>
    <row r="5" spans="1:5" x14ac:dyDescent="0.3">
      <c r="A5" s="43">
        <v>45184</v>
      </c>
      <c r="B5">
        <v>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21875" bestFit="1" customWidth="1"/>
    <col min="2" max="2" width="9.77734375" bestFit="1" customWidth="1"/>
    <col min="3" max="3" width="17.77734375" customWidth="1"/>
    <col min="4" max="4" width="11.6640625" bestFit="1" customWidth="1"/>
    <col min="5" max="5" width="11" style="188" bestFit="1" customWidth="1"/>
    <col min="6" max="6" width="11.109375" customWidth="1"/>
    <col min="7" max="8" width="11" style="188" bestFit="1" customWidth="1"/>
    <col min="9" max="9" width="11" style="189" bestFit="1" customWidth="1"/>
    <col min="10" max="11" width="15.44140625" style="188" customWidth="1"/>
    <col min="12" max="12" width="13.5546875" style="188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  <c r="L2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700</v>
      </c>
      <c r="H3" s="161" t="s">
        <v>196</v>
      </c>
      <c r="I3" s="179">
        <f>SUM($P$7:$P$1048576)</f>
        <v>56</v>
      </c>
      <c r="J3" s="161" t="s">
        <v>197</v>
      </c>
      <c r="K3" s="180">
        <f>G3+I3</f>
        <v>756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15" t="s">
        <v>47</v>
      </c>
      <c r="E5"/>
      <c r="G5" s="15" t="s">
        <v>49</v>
      </c>
      <c r="H5" s="16" t="s">
        <v>0</v>
      </c>
      <c r="I5" s="16"/>
      <c r="J5"/>
      <c r="K5"/>
      <c r="L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11">"000"&amp;_xlfn.SEQUENCE(COUNTA(C7:C1048576))</f>
        <v>0001</v>
      </c>
      <c r="B7" s="67" t="s">
        <v>200</v>
      </c>
      <c r="C7" s="67" t="s">
        <v>14</v>
      </c>
      <c r="D7" s="63">
        <v>44910</v>
      </c>
      <c r="E7" s="254">
        <v>100</v>
      </c>
      <c r="F7" s="67">
        <v>4</v>
      </c>
      <c r="G7" s="254">
        <v>25</v>
      </c>
      <c r="H7" s="254">
        <v>2</v>
      </c>
      <c r="I7" s="255">
        <v>27</v>
      </c>
      <c r="J7" s="254">
        <v>100</v>
      </c>
      <c r="K7" s="254">
        <v>8</v>
      </c>
      <c r="L7" s="254">
        <v>108</v>
      </c>
      <c r="N7" s="139">
        <f>SUMIFS(PAGOS!$E$3:$E$1048576,PAGOS!$A$3:$A$1048576,"&lt;&gt;INGRESO*",PAGOS!$A$3:$A$1048576,"&lt;&gt;EGRESO*",PAGOS!$D$3:$D$1048576,+MID('01'!B7,6,3)*1)</f>
        <v>100</v>
      </c>
      <c r="O7" s="139">
        <f>E7-N7</f>
        <v>0</v>
      </c>
      <c r="P7" s="139">
        <f>SUMIFS(PAGOS!$H$3:$H$1048576,PAGOS!$A$3:$A$1048576,"&lt;&gt;INGRESO*",PAGOS!$A$3:$A$1048576,"&lt;&gt;EGRESO*",PAGOS!$D$3:$D$1048576,+MID('01'!B7,6,3)*1)</f>
        <v>8</v>
      </c>
      <c r="Q7" s="139">
        <f>K7-P7</f>
        <v>0</v>
      </c>
    </row>
    <row r="8" spans="1:17" x14ac:dyDescent="0.3">
      <c r="A8" s="67" t="str">
        <v>0002</v>
      </c>
      <c r="B8" s="67" t="s">
        <v>201</v>
      </c>
      <c r="C8" s="67" t="s">
        <v>14</v>
      </c>
      <c r="D8" s="63">
        <v>45031</v>
      </c>
      <c r="E8" s="254">
        <v>100</v>
      </c>
      <c r="F8" s="67">
        <v>4</v>
      </c>
      <c r="G8" s="254">
        <v>25</v>
      </c>
      <c r="H8" s="254">
        <v>2</v>
      </c>
      <c r="I8" s="255">
        <v>27</v>
      </c>
      <c r="J8" s="254">
        <v>100</v>
      </c>
      <c r="K8" s="254">
        <v>8</v>
      </c>
      <c r="L8" s="254">
        <v>108</v>
      </c>
      <c r="N8" s="139">
        <f>SUMIFS(PAGOS!$E$3:$E$1048576,PAGOS!$A$3:$A$1048576,"&lt;&gt;INGRESO*",PAGOS!$A$3:$A$1048576,"&lt;&gt;EGRESO*",PAGOS!$D$3:$D$1048576,+MID('01'!B8,6,3)*1)</f>
        <v>100</v>
      </c>
      <c r="O8" s="139">
        <f t="shared" ref="O8:O11" si="0">E8-N8</f>
        <v>0</v>
      </c>
      <c r="P8" s="139">
        <f>SUMIFS(PAGOS!$H$3:$H$1048576,PAGOS!$A$3:$A$1048576,"&lt;&gt;INGRESO*",PAGOS!$A$3:$A$1048576,"&lt;&gt;EGRESO*",PAGOS!$D$3:$D$1048576,+MID('01'!B8,6,3)*1)</f>
        <v>8</v>
      </c>
      <c r="Q8" s="139">
        <f t="shared" ref="Q8:Q11" si="1">K8-P8</f>
        <v>0</v>
      </c>
    </row>
    <row r="9" spans="1:17" x14ac:dyDescent="0.3">
      <c r="A9" s="67" t="str">
        <v>0003</v>
      </c>
      <c r="B9" s="67" t="s">
        <v>202</v>
      </c>
      <c r="C9" s="67" t="s">
        <v>14</v>
      </c>
      <c r="D9" s="63">
        <v>45159</v>
      </c>
      <c r="E9" s="254">
        <v>100</v>
      </c>
      <c r="F9" s="67">
        <v>1</v>
      </c>
      <c r="G9" s="254">
        <v>100</v>
      </c>
      <c r="H9" s="254">
        <v>2</v>
      </c>
      <c r="I9" s="255">
        <v>102</v>
      </c>
      <c r="J9" s="254">
        <v>100</v>
      </c>
      <c r="K9" s="254">
        <v>2</v>
      </c>
      <c r="L9" s="254">
        <v>102</v>
      </c>
      <c r="N9" s="139">
        <f>SUMIFS(PAGOS!$E$3:$E$1048576,PAGOS!$A$3:$A$1048576,"&lt;&gt;INGRESO*",PAGOS!$A$3:$A$1048576,"&lt;&gt;EGRESO*",PAGOS!$D$3:$D$1048576,+MID('01'!B9,6,3)*1)</f>
        <v>100</v>
      </c>
      <c r="O9" s="139">
        <f t="shared" si="0"/>
        <v>0</v>
      </c>
      <c r="P9" s="139">
        <f>SUMIFS(PAGOS!$H$3:$H$1048576,PAGOS!$A$3:$A$1048576,"&lt;&gt;INGRESO*",PAGOS!$A$3:$A$1048576,"&lt;&gt;EGRESO*",PAGOS!$D$3:$D$1048576,+MID('01'!B9,6,3)*1)</f>
        <v>2</v>
      </c>
      <c r="Q9" s="139">
        <f t="shared" si="1"/>
        <v>0</v>
      </c>
    </row>
    <row r="10" spans="1:17" x14ac:dyDescent="0.3">
      <c r="A10" s="67" t="str">
        <v>0004</v>
      </c>
      <c r="B10" s="67" t="s">
        <v>211</v>
      </c>
      <c r="C10" s="67" t="s">
        <v>14</v>
      </c>
      <c r="D10" s="63">
        <v>45341</v>
      </c>
      <c r="E10" s="21">
        <v>100</v>
      </c>
      <c r="F10" s="67">
        <v>4</v>
      </c>
      <c r="G10" s="21">
        <v>25</v>
      </c>
      <c r="H10" s="21">
        <v>2</v>
      </c>
      <c r="I10" s="256">
        <v>27</v>
      </c>
      <c r="J10" s="21">
        <v>100</v>
      </c>
      <c r="K10" s="21">
        <v>8</v>
      </c>
      <c r="L10" s="21">
        <v>108</v>
      </c>
      <c r="N10" s="139">
        <f>SUMIFS(PAGOS!$E$3:$E$1048576,PAGOS!$A$3:$A$1048576,"&lt;&gt;INGRESO*",PAGOS!$A$3:$A$1048576,"&lt;&gt;EGRESO*",PAGOS!$D$3:$D$1048576,+MID('01'!B10,6,3)*1)</f>
        <v>100</v>
      </c>
      <c r="O10" s="139">
        <f t="shared" si="0"/>
        <v>0</v>
      </c>
      <c r="P10" s="139">
        <f>SUMIFS(PAGOS!$H$3:$H$1048576,PAGOS!$A$3:$A$1048576,"&lt;&gt;INGRESO*",PAGOS!$A$3:$A$1048576,"&lt;&gt;EGRESO*",PAGOS!$D$3:$D$1048576,+MID('01'!B10,6,3)*1)</f>
        <v>8</v>
      </c>
      <c r="Q10" s="139">
        <f t="shared" si="1"/>
        <v>0</v>
      </c>
    </row>
    <row r="11" spans="1:17" x14ac:dyDescent="0.3">
      <c r="A11" s="67" t="str">
        <v>0005</v>
      </c>
      <c r="B11" s="67" t="s">
        <v>254</v>
      </c>
      <c r="C11" s="67" t="s">
        <v>14</v>
      </c>
      <c r="D11" s="63">
        <v>45519</v>
      </c>
      <c r="E11" s="21">
        <v>300</v>
      </c>
      <c r="F11" s="67">
        <v>6</v>
      </c>
      <c r="G11" s="21">
        <v>50</v>
      </c>
      <c r="H11" s="21">
        <v>6</v>
      </c>
      <c r="I11" s="256">
        <v>56</v>
      </c>
      <c r="J11" s="21">
        <v>300</v>
      </c>
      <c r="K11" s="21">
        <v>36</v>
      </c>
      <c r="L11" s="21">
        <v>336</v>
      </c>
      <c r="N11" s="139">
        <f>SUMIFS(PAGOS!$E$3:$E$1048576,PAGOS!$A$3:$A$1048576,"&lt;&gt;INGRESO*",PAGOS!$A$3:$A$1048576,"&lt;&gt;EGRESO*",PAGOS!$D$3:$D$1048576,+MID('01'!B11,6,3)*1)</f>
        <v>250</v>
      </c>
      <c r="O11" s="139">
        <f t="shared" si="0"/>
        <v>50</v>
      </c>
      <c r="P11" s="139">
        <f>SUMIFS(PAGOS!$H$3:$H$1048576,PAGOS!$A$3:$A$1048576,"&lt;&gt;INGRESO*",PAGOS!$A$3:$A$1048576,"&lt;&gt;EGRESO*",PAGOS!$D$3:$D$1048576,+MID('01'!B11,6,3)*1)</f>
        <v>30</v>
      </c>
      <c r="Q11" s="139">
        <f t="shared" si="1"/>
        <v>6</v>
      </c>
    </row>
    <row r="16" spans="1:17" x14ac:dyDescent="0.3">
      <c r="E16"/>
      <c r="I16"/>
    </row>
    <row r="17" spans="5:9" x14ac:dyDescent="0.3">
      <c r="E17"/>
      <c r="I17"/>
    </row>
    <row r="18" spans="5:9" x14ac:dyDescent="0.3">
      <c r="E18"/>
      <c r="I18"/>
    </row>
  </sheetData>
  <sheetProtection formatCells="0" formatRows="0" insertRows="0" autoFilter="0"/>
  <pageMargins left="0.7" right="0.7" top="0.75" bottom="0.75" header="0.3" footer="0.3"/>
  <pageSetup paperSize="9" scale="86" fitToHeight="0" orientation="landscape" cellComments="atEnd" r:id="rId1"/>
  <ignoredErrors>
    <ignoredError sqref="H5" numberStoredAsText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5"/>
  <sheetViews>
    <sheetView zoomScaleNormal="100" workbookViewId="0">
      <selection activeCell="H13" sqref="H13"/>
    </sheetView>
  </sheetViews>
  <sheetFormatPr baseColWidth="10" defaultColWidth="11.5546875" defaultRowHeight="14.4" x14ac:dyDescent="0.3"/>
  <cols>
    <col min="1" max="1" width="14.21875" bestFit="1" customWidth="1"/>
    <col min="2" max="2" width="9.77734375" bestFit="1" customWidth="1"/>
    <col min="3" max="3" width="20.33203125" customWidth="1"/>
    <col min="4" max="8" width="11" bestFit="1" customWidth="1"/>
    <col min="9" max="9" width="11" style="158" bestFit="1" customWidth="1"/>
    <col min="10" max="12" width="11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600</v>
      </c>
      <c r="H3" s="161" t="s">
        <v>196</v>
      </c>
      <c r="I3" s="179">
        <f>SUM($P$7:$P$1048576)</f>
        <v>28</v>
      </c>
      <c r="J3" s="161" t="s">
        <v>197</v>
      </c>
      <c r="K3" s="180">
        <f>G3+I3</f>
        <v>628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1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8">"000"&amp;_xlfn.SEQUENCE(COUNTA(C7:C1048576))</f>
        <v>0001</v>
      </c>
      <c r="B7" s="67" t="s">
        <v>203</v>
      </c>
      <c r="C7" s="67" t="s">
        <v>15</v>
      </c>
      <c r="D7" s="63">
        <v>45184</v>
      </c>
      <c r="E7" s="191">
        <v>100</v>
      </c>
      <c r="F7" s="67">
        <v>4</v>
      </c>
      <c r="G7" s="191">
        <v>25</v>
      </c>
      <c r="H7" s="191">
        <v>2</v>
      </c>
      <c r="I7" s="192">
        <v>27</v>
      </c>
      <c r="J7" s="191">
        <v>100</v>
      </c>
      <c r="K7" s="191">
        <v>8</v>
      </c>
      <c r="L7" s="191">
        <v>108</v>
      </c>
      <c r="N7" s="139">
        <f>SUMIFS(PAGOS!$E$3:$E$1048576,PAGOS!$A$3:$A$1048576,"&lt;&gt;INGRESO*",PAGOS!$A$3:$A$1048576,"&lt;&gt;EGRESO*",PAGOS!$D$3:$D$1048576,+MID('02'!B7,6,3)*1)</f>
        <v>100</v>
      </c>
      <c r="O7" s="139">
        <f>E7-N7</f>
        <v>0</v>
      </c>
      <c r="P7" s="139">
        <f>SUMIFS(PAGOS!$H$3:$H$1048576,PAGOS!$A$3:$A$1048576,"&lt;&gt;INGRESO*",PAGOS!$A$3:$A$1048576,"&lt;&gt;EGRESO*",PAGOS!$D$3:$D$1048576,+MID('02'!B7,6,3)*1)</f>
        <v>8</v>
      </c>
      <c r="Q7" s="139">
        <f>K7-P7</f>
        <v>0</v>
      </c>
    </row>
    <row r="8" spans="1:17" x14ac:dyDescent="0.3">
      <c r="A8" s="67" t="str">
        <v>0002</v>
      </c>
      <c r="B8" s="67" t="s">
        <v>315</v>
      </c>
      <c r="C8" s="67" t="s">
        <v>15</v>
      </c>
      <c r="D8" s="63">
        <v>45611</v>
      </c>
      <c r="E8" s="191">
        <v>500</v>
      </c>
      <c r="F8" s="67">
        <v>3</v>
      </c>
      <c r="G8" s="191">
        <v>166.66666666666666</v>
      </c>
      <c r="H8" s="191">
        <v>10</v>
      </c>
      <c r="I8" s="192">
        <v>176.66666666666666</v>
      </c>
      <c r="J8" s="191">
        <v>500</v>
      </c>
      <c r="K8" s="191">
        <v>30</v>
      </c>
      <c r="L8" s="191">
        <v>530</v>
      </c>
      <c r="N8" s="139">
        <f>SUMIFS(PAGOS!$E$3:$E$1048576,PAGOS!$A$3:$A$1048576,"&lt;&gt;INGRESO*",PAGOS!$A$3:$A$1048576,"&lt;&gt;EGRESO*",PAGOS!$D$3:$D$1048576,+MID('02'!B8,6,3)*1)</f>
        <v>333.34</v>
      </c>
      <c r="O8" s="139">
        <f>E8-N8</f>
        <v>166.66000000000003</v>
      </c>
      <c r="P8" s="139">
        <f>SUMIFS(PAGOS!$H$3:$H$1048576,PAGOS!$A$3:$A$1048576,"&lt;&gt;INGRESO*",PAGOS!$A$3:$A$1048576,"&lt;&gt;EGRESO*",PAGOS!$D$3:$D$1048576,+MID('02'!B8,6,3)*1)</f>
        <v>20</v>
      </c>
      <c r="Q8" s="139">
        <f>K8-P8</f>
        <v>10</v>
      </c>
    </row>
    <row r="9" spans="1:17" x14ac:dyDescent="0.3">
      <c r="B9" s="139"/>
      <c r="C9" s="139"/>
      <c r="D9" s="139"/>
      <c r="E9" s="139"/>
      <c r="I9"/>
    </row>
    <row r="10" spans="1:17" x14ac:dyDescent="0.3">
      <c r="N10" s="139"/>
      <c r="O10" s="139"/>
      <c r="P10" s="139"/>
      <c r="Q10" s="139"/>
    </row>
    <row r="11" spans="1:17" x14ac:dyDescent="0.3">
      <c r="I11"/>
    </row>
    <row r="12" spans="1:17" x14ac:dyDescent="0.3">
      <c r="I12"/>
    </row>
    <row r="13" spans="1:17" x14ac:dyDescent="0.3">
      <c r="I13"/>
    </row>
    <row r="14" spans="1:17" x14ac:dyDescent="0.3">
      <c r="I14"/>
    </row>
    <row r="15" spans="1:17" x14ac:dyDescent="0.3">
      <c r="I15"/>
    </row>
  </sheetData>
  <pageMargins left="0.7" right="0.7" top="0.75" bottom="0.75" header="0.3" footer="0.3"/>
  <pageSetup paperSize="9" scale="91" fitToHeight="0" orientation="landscape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25"/>
  <sheetViews>
    <sheetView zoomScaleNormal="100" workbookViewId="0">
      <selection activeCell="H10" sqref="H10"/>
    </sheetView>
  </sheetViews>
  <sheetFormatPr baseColWidth="10" defaultColWidth="11.5546875" defaultRowHeight="14.4" x14ac:dyDescent="0.3"/>
  <cols>
    <col min="1" max="1" width="14.21875" bestFit="1" customWidth="1"/>
    <col min="2" max="2" width="9.77734375" bestFit="1" customWidth="1"/>
    <col min="3" max="3" width="16.21875" customWidth="1"/>
    <col min="4" max="8" width="11.6640625" bestFit="1" customWidth="1"/>
    <col min="9" max="9" width="8.33203125" style="158" customWidth="1"/>
    <col min="10" max="10" width="11.2187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2000</v>
      </c>
      <c r="H3" s="161" t="s">
        <v>196</v>
      </c>
      <c r="I3" s="179">
        <f>SUM($P$7:$P$1048576)</f>
        <v>270</v>
      </c>
      <c r="J3" s="161" t="s">
        <v>197</v>
      </c>
      <c r="K3" s="180">
        <f>G3+I3</f>
        <v>2270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2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11">"000"&amp;_xlfn.SEQUENCE(COUNTA(C7:C1048576))</f>
        <v>0001</v>
      </c>
      <c r="B7" s="67" t="s">
        <v>204</v>
      </c>
      <c r="C7" s="67" t="s">
        <v>16</v>
      </c>
      <c r="D7" s="63">
        <v>45153</v>
      </c>
      <c r="E7" s="191">
        <v>100</v>
      </c>
      <c r="F7" s="67">
        <v>2</v>
      </c>
      <c r="G7" s="191">
        <v>50</v>
      </c>
      <c r="H7" s="191">
        <v>2</v>
      </c>
      <c r="I7" s="192">
        <v>52</v>
      </c>
      <c r="J7" s="191">
        <v>100</v>
      </c>
      <c r="K7" s="191">
        <v>4</v>
      </c>
      <c r="L7" s="191">
        <v>104</v>
      </c>
      <c r="N7" s="139">
        <f>SUMIFS(PAGOS!$E$3:$E$1048576,PAGOS!$A$3:$A$1048576,"&lt;&gt;INGRESO*",PAGOS!$A$3:$A$1048576,"&lt;&gt;EGRESO*",PAGOS!$D$3:$D$1048576,+MID('03'!B7,6,3)*1)</f>
        <v>100</v>
      </c>
      <c r="O7" s="139">
        <f>E7-N7</f>
        <v>0</v>
      </c>
      <c r="P7" s="139">
        <f>SUMIFS(PAGOS!$H$3:$H$1048576,PAGOS!$A$3:$A$1048576,"&lt;&gt;INGRESO*",PAGOS!$A$3:$A$1048576,"&lt;&gt;EGRESO*",PAGOS!$D$3:$D$1048576,+MID('03'!B7,6,3)*1)</f>
        <v>4</v>
      </c>
      <c r="Q7" s="139">
        <f>K7-P7</f>
        <v>0</v>
      </c>
    </row>
    <row r="8" spans="1:17" x14ac:dyDescent="0.3">
      <c r="A8" s="67" t="str">
        <v>0002</v>
      </c>
      <c r="B8" s="67" t="s">
        <v>205</v>
      </c>
      <c r="C8" s="67" t="s">
        <v>16</v>
      </c>
      <c r="D8" s="63">
        <v>44972</v>
      </c>
      <c r="E8" s="191">
        <v>300</v>
      </c>
      <c r="F8" s="67">
        <v>3</v>
      </c>
      <c r="G8" s="191">
        <v>100</v>
      </c>
      <c r="H8" s="191">
        <v>6</v>
      </c>
      <c r="I8" s="192">
        <v>106</v>
      </c>
      <c r="J8" s="191">
        <v>300</v>
      </c>
      <c r="K8" s="191">
        <v>18</v>
      </c>
      <c r="L8" s="191">
        <v>318</v>
      </c>
      <c r="N8" s="139">
        <f>SUMIFS(PAGOS!$E$3:$E$1048576,PAGOS!$A$3:$A$1048576,"&lt;&gt;INGRESO*",PAGOS!$A$3:$A$1048576,"&lt;&gt;EGRESO*",PAGOS!$D$3:$D$1048576,+MID('03'!B8,6,3)*1)</f>
        <v>300</v>
      </c>
      <c r="O8" s="139">
        <f t="shared" ref="O8:O11" si="0">E8-N8</f>
        <v>0</v>
      </c>
      <c r="P8" s="139">
        <f>SUMIFS(PAGOS!$H$3:$H$1048576,PAGOS!$A$3:$A$1048576,"&lt;&gt;INGRESO*",PAGOS!$A$3:$A$1048576,"&lt;&gt;EGRESO*",PAGOS!$D$3:$D$1048576,+MID('03'!B8,6,3)*1)</f>
        <v>18</v>
      </c>
      <c r="Q8" s="139">
        <f t="shared" ref="Q8:Q11" si="1">K8-P8</f>
        <v>0</v>
      </c>
    </row>
    <row r="9" spans="1:17" x14ac:dyDescent="0.3">
      <c r="A9" s="67" t="str">
        <v>0003</v>
      </c>
      <c r="B9" s="67" t="s">
        <v>206</v>
      </c>
      <c r="C9" s="67" t="s">
        <v>16</v>
      </c>
      <c r="D9" s="63">
        <v>45092</v>
      </c>
      <c r="E9" s="191">
        <v>400</v>
      </c>
      <c r="F9" s="67">
        <v>4</v>
      </c>
      <c r="G9" s="191">
        <v>100</v>
      </c>
      <c r="H9" s="191">
        <v>8</v>
      </c>
      <c r="I9" s="192">
        <v>208</v>
      </c>
      <c r="J9" s="191">
        <v>400</v>
      </c>
      <c r="K9" s="191">
        <v>32</v>
      </c>
      <c r="L9" s="191">
        <v>432</v>
      </c>
      <c r="N9" s="139">
        <f>SUMIFS(PAGOS!$E$3:$E$1048576,PAGOS!$A$3:$A$1048576,"&lt;&gt;INGRESO*",PAGOS!$A$3:$A$1048576,"&lt;&gt;EGRESO*",PAGOS!$D$3:$D$1048576,+MID('03'!B9,6,3)*1)</f>
        <v>400</v>
      </c>
      <c r="O9" s="139">
        <f t="shared" si="0"/>
        <v>0</v>
      </c>
      <c r="P9" s="139">
        <f>SUMIFS(PAGOS!$H$3:$H$1048576,PAGOS!$A$3:$A$1048576,"&lt;&gt;INGRESO*",PAGOS!$A$3:$A$1048576,"&lt;&gt;EGRESO*",PAGOS!$D$3:$D$1048576,+MID('03'!B9,6,3)*1)</f>
        <v>32</v>
      </c>
      <c r="Q9" s="139">
        <f t="shared" si="1"/>
        <v>0</v>
      </c>
    </row>
    <row r="10" spans="1:17" x14ac:dyDescent="0.3">
      <c r="A10" s="67" t="str">
        <v>0004</v>
      </c>
      <c r="B10" s="67" t="s">
        <v>207</v>
      </c>
      <c r="C10" s="67" t="s">
        <v>16</v>
      </c>
      <c r="D10" s="63">
        <v>45245</v>
      </c>
      <c r="E10" s="191">
        <v>200</v>
      </c>
      <c r="F10" s="67">
        <v>4</v>
      </c>
      <c r="G10" s="191">
        <v>50</v>
      </c>
      <c r="H10" s="191">
        <v>4</v>
      </c>
      <c r="I10" s="192">
        <v>54</v>
      </c>
      <c r="J10" s="191">
        <v>200</v>
      </c>
      <c r="K10" s="191">
        <v>16</v>
      </c>
      <c r="L10" s="191">
        <v>216</v>
      </c>
      <c r="N10" s="139">
        <f>SUMIFS(PAGOS!$E$3:$E$1048576,PAGOS!$A$3:$A$1048576,"&lt;&gt;INGRESO*",PAGOS!$A$3:$A$1048576,"&lt;&gt;EGRESO*",PAGOS!$D$3:$D$1048576,+MID('03'!B10,6,3)*1)</f>
        <v>200</v>
      </c>
      <c r="O10" s="139">
        <f t="shared" si="0"/>
        <v>0</v>
      </c>
      <c r="P10" s="139">
        <f>SUMIFS(PAGOS!$H$3:$H$1048576,PAGOS!$A$3:$A$1048576,"&lt;&gt;INGRESO*",PAGOS!$A$3:$A$1048576,"&lt;&gt;EGRESO*",PAGOS!$D$3:$D$1048576,+MID('03'!B10,6,3)*1)</f>
        <v>16</v>
      </c>
      <c r="Q10" s="139">
        <f t="shared" si="1"/>
        <v>0</v>
      </c>
    </row>
    <row r="11" spans="1:17" x14ac:dyDescent="0.3">
      <c r="A11" s="67" t="str">
        <v>0005</v>
      </c>
      <c r="B11" s="67" t="s">
        <v>219</v>
      </c>
      <c r="C11" s="67" t="s">
        <v>16</v>
      </c>
      <c r="D11" s="63">
        <v>45366</v>
      </c>
      <c r="E11" s="206">
        <v>1000</v>
      </c>
      <c r="F11" s="67">
        <v>10</v>
      </c>
      <c r="G11" s="191">
        <v>100</v>
      </c>
      <c r="H11" s="191">
        <v>20</v>
      </c>
      <c r="I11" s="192">
        <v>120</v>
      </c>
      <c r="J11" s="191">
        <v>1000</v>
      </c>
      <c r="K11" s="191">
        <v>200</v>
      </c>
      <c r="L11" s="191">
        <v>1200</v>
      </c>
      <c r="N11" s="139">
        <f>SUMIFS(PAGOS!$E$3:$E$1048576,PAGOS!$A$3:$A$1048576,"&lt;&gt;INGRESO*",PAGOS!$A$3:$A$1048576,"&lt;&gt;EGRESO*",PAGOS!$D$3:$D$1048576,+MID('03'!B11,6,3)*1)</f>
        <v>1000</v>
      </c>
      <c r="O11" s="139">
        <f t="shared" si="0"/>
        <v>0</v>
      </c>
      <c r="P11" s="139">
        <f>SUMIFS(PAGOS!$H$3:$H$1048576,PAGOS!$A$3:$A$1048576,"&lt;&gt;INGRESO*",PAGOS!$A$3:$A$1048576,"&lt;&gt;EGRESO*",PAGOS!$D$3:$D$1048576,+MID('03'!B11,6,3)*1)</f>
        <v>200</v>
      </c>
      <c r="Q11" s="139">
        <f t="shared" si="1"/>
        <v>0</v>
      </c>
    </row>
    <row r="17" spans="9:9" x14ac:dyDescent="0.3">
      <c r="I17"/>
    </row>
    <row r="18" spans="9:9" x14ac:dyDescent="0.3">
      <c r="I18"/>
    </row>
    <row r="24" spans="9:9" x14ac:dyDescent="0.3">
      <c r="I24"/>
    </row>
    <row r="25" spans="9:9" x14ac:dyDescent="0.3">
      <c r="I25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9"/>
  <sheetViews>
    <sheetView zoomScaleNormal="100" workbookViewId="0"/>
  </sheetViews>
  <sheetFormatPr baseColWidth="10" defaultColWidth="11.5546875" defaultRowHeight="14.4" x14ac:dyDescent="0.3"/>
  <cols>
    <col min="1" max="1" width="14.21875" bestFit="1" customWidth="1"/>
    <col min="2" max="2" width="12" style="20" bestFit="1" customWidth="1"/>
    <col min="3" max="3" width="19.88671875" customWidth="1"/>
    <col min="4" max="4" width="10.5546875" bestFit="1" customWidth="1"/>
    <col min="5" max="5" width="11" customWidth="1"/>
    <col min="6" max="6" width="9.21875" bestFit="1" customWidth="1"/>
    <col min="7" max="7" width="9.77734375" bestFit="1" customWidth="1"/>
    <col min="8" max="8" width="7.88671875" bestFit="1" customWidth="1"/>
    <col min="9" max="9" width="8.88671875" style="158" customWidth="1"/>
    <col min="10" max="10" width="13.6640625" bestFit="1" customWidth="1"/>
    <col min="11" max="11" width="11.109375" bestFit="1" customWidth="1"/>
    <col min="12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1550</v>
      </c>
      <c r="H3" s="161" t="s">
        <v>196</v>
      </c>
      <c r="I3" s="179">
        <f>SUM($P$7:$P$1048576)</f>
        <v>89</v>
      </c>
      <c r="J3" s="161" t="s">
        <v>197</v>
      </c>
      <c r="K3" s="180">
        <f>G3+I3</f>
        <v>1639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3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2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12">"000"&amp;_xlfn.SEQUENCE(COUNTA(C7:C1048576))</f>
        <v>0001</v>
      </c>
      <c r="B7" s="190">
        <v>3</v>
      </c>
      <c r="C7" s="67" t="s">
        <v>17</v>
      </c>
      <c r="D7" s="63">
        <v>44849</v>
      </c>
      <c r="E7" s="191">
        <v>200</v>
      </c>
      <c r="F7" s="67">
        <v>1</v>
      </c>
      <c r="G7" s="191">
        <v>200</v>
      </c>
      <c r="H7" s="191">
        <v>4</v>
      </c>
      <c r="I7" s="192">
        <v>204</v>
      </c>
      <c r="J7" s="191">
        <v>200</v>
      </c>
      <c r="K7" s="191">
        <v>4</v>
      </c>
      <c r="L7" s="191">
        <v>204</v>
      </c>
      <c r="N7" s="139">
        <f>SUMIFS(PAGOS!$E$3:$E$1048576,PAGOS!$A$3:$A$1048576,"&lt;&gt;INGRESO*",PAGOS!$A$3:$A$1048576,"&lt;&gt;EGRESO*",PAGOS!$D$3:$D$1048576,B7)</f>
        <v>200</v>
      </c>
      <c r="O7" s="139">
        <f>E7-N7</f>
        <v>0</v>
      </c>
      <c r="P7" s="139">
        <f>SUMIFS(PAGOS!$H$3:$H$1048576,PAGOS!$A$3:$A$1048576,"&lt;&gt;INGRESO*",PAGOS!$A$3:$A$1048576,"&lt;&gt;EGRESO*",PAGOS!$D$3:$D$1048576,B7)</f>
        <v>4</v>
      </c>
      <c r="Q7" s="139">
        <f>K7-P7</f>
        <v>0</v>
      </c>
    </row>
    <row r="8" spans="1:17" x14ac:dyDescent="0.3">
      <c r="A8" s="67" t="str">
        <v>0002</v>
      </c>
      <c r="B8" s="190">
        <v>13</v>
      </c>
      <c r="C8" s="67" t="s">
        <v>17</v>
      </c>
      <c r="D8" s="63">
        <v>45000</v>
      </c>
      <c r="E8" s="191">
        <v>400</v>
      </c>
      <c r="F8" s="67">
        <v>4</v>
      </c>
      <c r="G8" s="191">
        <v>100</v>
      </c>
      <c r="H8" s="191">
        <v>8</v>
      </c>
      <c r="I8" s="192">
        <v>108</v>
      </c>
      <c r="J8" s="191">
        <v>400</v>
      </c>
      <c r="K8" s="191">
        <v>32</v>
      </c>
      <c r="L8" s="191">
        <v>432</v>
      </c>
      <c r="N8" s="139">
        <f>SUMIFS(PAGOS!$E$3:$E$1048576,PAGOS!$A$3:$A$1048576,"&lt;&gt;INGRESO*",PAGOS!$A$3:$A$1048576,"&lt;&gt;EGRESO*",PAGOS!$D$3:$D$1048576,B8)</f>
        <v>400</v>
      </c>
      <c r="O8" s="139">
        <f t="shared" ref="O8:O12" si="0">E8-N8</f>
        <v>0</v>
      </c>
      <c r="P8" s="139">
        <f>SUMIFS(PAGOS!$H$3:$H$1048576,PAGOS!$A$3:$A$1048576,"&lt;&gt;INGRESO*",PAGOS!$A$3:$A$1048576,"&lt;&gt;EGRESO*",PAGOS!$D$3:$D$1048576,B8)</f>
        <v>32</v>
      </c>
      <c r="Q8" s="139">
        <f t="shared" ref="Q8:Q12" si="1">K8-P8</f>
        <v>0</v>
      </c>
    </row>
    <row r="9" spans="1:17" x14ac:dyDescent="0.3">
      <c r="A9" s="67" t="str">
        <v>0003</v>
      </c>
      <c r="B9" s="190">
        <v>23</v>
      </c>
      <c r="C9" s="67" t="s">
        <v>17</v>
      </c>
      <c r="D9" s="63">
        <v>45129</v>
      </c>
      <c r="E9" s="191">
        <v>200</v>
      </c>
      <c r="F9" s="67">
        <v>1</v>
      </c>
      <c r="G9" s="191">
        <v>200</v>
      </c>
      <c r="H9" s="191">
        <v>4</v>
      </c>
      <c r="I9" s="192">
        <v>204</v>
      </c>
      <c r="J9" s="191">
        <v>200</v>
      </c>
      <c r="K9" s="191">
        <v>4</v>
      </c>
      <c r="L9" s="191">
        <v>204</v>
      </c>
      <c r="N9" s="139">
        <f>SUMIFS(PAGOS!$E$3:$E$1048576,PAGOS!$A$3:$A$1048576,"&lt;&gt;INGRESO*",PAGOS!$A$3:$A$1048576,"&lt;&gt;EGRESO*",PAGOS!$D$3:$D$1048576,B9)</f>
        <v>200</v>
      </c>
      <c r="O9" s="139">
        <f t="shared" si="0"/>
        <v>0</v>
      </c>
      <c r="P9" s="139">
        <f>SUMIFS(PAGOS!$H$3:$H$1048576,PAGOS!$A$3:$A$1048576,"&lt;&gt;INGRESO*",PAGOS!$A$3:$A$1048576,"&lt;&gt;EGRESO*",PAGOS!$D$3:$D$1048576,B9)</f>
        <v>4</v>
      </c>
      <c r="Q9" s="139">
        <f t="shared" si="1"/>
        <v>0</v>
      </c>
    </row>
    <row r="10" spans="1:17" x14ac:dyDescent="0.3">
      <c r="A10" s="67" t="str">
        <v>0004</v>
      </c>
      <c r="B10" s="190">
        <v>26</v>
      </c>
      <c r="C10" s="67" t="s">
        <v>17</v>
      </c>
      <c r="D10" s="63">
        <v>45184</v>
      </c>
      <c r="E10" s="191">
        <v>100</v>
      </c>
      <c r="F10" s="67">
        <v>1</v>
      </c>
      <c r="G10" s="191">
        <v>100</v>
      </c>
      <c r="H10" s="191">
        <v>2</v>
      </c>
      <c r="I10" s="192">
        <v>102</v>
      </c>
      <c r="J10" s="191">
        <v>100</v>
      </c>
      <c r="K10" s="191">
        <v>2</v>
      </c>
      <c r="L10" s="191">
        <v>102</v>
      </c>
      <c r="N10" s="139">
        <f>SUMIFS(PAGOS!$E$3:$E$1048576,PAGOS!$A$3:$A$1048576,"&lt;&gt;INGRESO*",PAGOS!$A$3:$A$1048576,"&lt;&gt;EGRESO*",PAGOS!$D$3:$D$1048576,B10)</f>
        <v>100</v>
      </c>
      <c r="O10" s="139">
        <f t="shared" si="0"/>
        <v>0</v>
      </c>
      <c r="P10" s="139">
        <f>SUMIFS(PAGOS!$H$3:$H$1048576,PAGOS!$A$3:$A$1048576,"&lt;&gt;INGRESO*",PAGOS!$A$3:$A$1048576,"&lt;&gt;EGRESO*",PAGOS!$D$3:$D$1048576,B10)</f>
        <v>2</v>
      </c>
      <c r="Q10" s="139">
        <f t="shared" si="1"/>
        <v>0</v>
      </c>
    </row>
    <row r="11" spans="1:17" x14ac:dyDescent="0.3">
      <c r="A11" s="67" t="str">
        <v>0005</v>
      </c>
      <c r="B11" s="61" t="s">
        <v>234</v>
      </c>
      <c r="C11" s="67" t="s">
        <v>17</v>
      </c>
      <c r="D11" s="63">
        <v>45427</v>
      </c>
      <c r="E11" s="206">
        <v>400</v>
      </c>
      <c r="F11" s="67">
        <v>4</v>
      </c>
      <c r="G11" s="257">
        <v>100</v>
      </c>
      <c r="H11" s="257">
        <v>8</v>
      </c>
      <c r="I11" s="258">
        <v>108</v>
      </c>
      <c r="J11" s="257">
        <v>400</v>
      </c>
      <c r="K11" s="257">
        <v>32</v>
      </c>
      <c r="L11" s="206">
        <v>432</v>
      </c>
      <c r="N11" s="139">
        <f>SUMIFS(PAGOS!$E$3:$E$1048576,PAGOS!$A$3:$A$1048576,"&lt;&gt;INGRESO*",PAGOS!$A$3:$A$1048576,"&lt;&gt;EGRESO*",PAGOS!$D$3:$D$1048576,+MID('04'!B11,6,3)*1)</f>
        <v>400</v>
      </c>
      <c r="O11" s="139">
        <f t="shared" si="0"/>
        <v>0</v>
      </c>
      <c r="P11" s="139">
        <f>SUMIFS(PAGOS!$H$3:$H$1048576,PAGOS!$A$3:$A$1048576,"&lt;&gt;INGRESO*",PAGOS!$A$3:$A$1048576,"&lt;&gt;EGRESO*",PAGOS!$D$3:$D$1048576,+MID('04'!B11,6,3)*1)</f>
        <v>32</v>
      </c>
      <c r="Q11" s="139">
        <f t="shared" si="1"/>
        <v>0</v>
      </c>
    </row>
    <row r="12" spans="1:17" x14ac:dyDescent="0.3">
      <c r="A12" s="67" t="str">
        <v>0006</v>
      </c>
      <c r="B12" s="61" t="s">
        <v>272</v>
      </c>
      <c r="C12" s="67" t="s">
        <v>17</v>
      </c>
      <c r="D12" s="63">
        <v>45580</v>
      </c>
      <c r="E12" s="206">
        <v>250</v>
      </c>
      <c r="F12" s="67">
        <v>4</v>
      </c>
      <c r="G12" s="191">
        <v>62.5</v>
      </c>
      <c r="H12" s="191">
        <v>5</v>
      </c>
      <c r="I12" s="192">
        <v>67.5</v>
      </c>
      <c r="J12" s="191">
        <v>250</v>
      </c>
      <c r="K12" s="191">
        <v>20</v>
      </c>
      <c r="L12" s="206">
        <v>270</v>
      </c>
      <c r="N12" s="139">
        <f>SUMIFS(PAGOS!$E$3:$E$1048576,PAGOS!$A$3:$A$1048576,"&lt;&gt;INGRESO*",PAGOS!$A$3:$A$1048576,"&lt;&gt;EGRESO*",PAGOS!$D$3:$D$1048576,+MID('04'!B12,6,3)*1)</f>
        <v>187.5</v>
      </c>
      <c r="O12" s="139">
        <f t="shared" si="0"/>
        <v>62.5</v>
      </c>
      <c r="P12" s="139">
        <f>SUMIFS(PAGOS!$H$3:$H$1048576,PAGOS!$A$3:$A$1048576,"&lt;&gt;INGRESO*",PAGOS!$A$3:$A$1048576,"&lt;&gt;EGRESO*",PAGOS!$D$3:$D$1048576,+MID('04'!B12,6,3)*1)</f>
        <v>15</v>
      </c>
      <c r="Q12" s="139">
        <f t="shared" si="1"/>
        <v>5</v>
      </c>
    </row>
    <row r="18" spans="9:9" x14ac:dyDescent="0.3">
      <c r="I18"/>
    </row>
    <row r="19" spans="9:9" x14ac:dyDescent="0.3">
      <c r="I19"/>
    </row>
  </sheetData>
  <pageMargins left="0.7" right="0.7" top="0.75" bottom="0.75" header="0.3" footer="0.3"/>
  <pageSetup scale="87" fitToHeight="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/>
  </sheetViews>
  <sheetFormatPr baseColWidth="10" defaultColWidth="11.5546875" defaultRowHeight="14.4" x14ac:dyDescent="0.3"/>
  <cols>
    <col min="1" max="1" width="14.21875" bestFit="1" customWidth="1"/>
    <col min="2" max="2" width="12" style="20" bestFit="1" customWidth="1"/>
    <col min="3" max="3" width="18.77734375" customWidth="1"/>
    <col min="4" max="5" width="11.109375" bestFit="1" customWidth="1"/>
    <col min="6" max="6" width="9.33203125" bestFit="1" customWidth="1"/>
    <col min="7" max="7" width="8.44140625" bestFit="1" customWidth="1"/>
    <col min="8" max="8" width="7.88671875" bestFit="1" customWidth="1"/>
    <col min="9" max="9" width="9.109375" style="158" customWidth="1"/>
    <col min="10" max="10" width="8.44140625" bestFit="1" customWidth="1"/>
    <col min="11" max="12" width="11.21875" bestFit="1" customWidth="1"/>
    <col min="14" max="17" width="11.10937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950</v>
      </c>
      <c r="H3" s="161" t="s">
        <v>196</v>
      </c>
      <c r="I3" s="179">
        <f>SUM($P$7:$P$1048576)</f>
        <v>45</v>
      </c>
      <c r="J3" s="161" t="s">
        <v>197</v>
      </c>
      <c r="K3" s="180">
        <f>G3+I3</f>
        <v>995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4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2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10">"000"&amp;_xlfn.SEQUENCE(COUNTA(C7:C1048576))</f>
        <v>0001</v>
      </c>
      <c r="B7" s="190">
        <v>17</v>
      </c>
      <c r="C7" s="67" t="s">
        <v>18</v>
      </c>
      <c r="D7" s="63">
        <v>45061</v>
      </c>
      <c r="E7" s="191">
        <v>200</v>
      </c>
      <c r="F7" s="67">
        <v>2</v>
      </c>
      <c r="G7" s="191">
        <v>100</v>
      </c>
      <c r="H7" s="191">
        <v>4</v>
      </c>
      <c r="I7" s="192">
        <v>104</v>
      </c>
      <c r="J7" s="191">
        <v>200</v>
      </c>
      <c r="K7" s="191">
        <v>8</v>
      </c>
      <c r="L7" s="191">
        <v>208</v>
      </c>
      <c r="N7" s="139">
        <f>SUMIFS(PAGOS!$E$3:$E$1048576,PAGOS!$A$3:$A$1048576,"&lt;&gt;INGRESO*",PAGOS!$A$3:$A$1048576,"&lt;&gt;EGRESO*",PAGOS!$D$3:$D$1048576,B7)</f>
        <v>200</v>
      </c>
      <c r="O7" s="139">
        <f>E7-N7</f>
        <v>0</v>
      </c>
      <c r="P7" s="139">
        <f>SUMIFS(PAGOS!$H$3:$H$1048576,PAGOS!$A$3:$A$1048576,"&lt;&gt;INGRESO*",PAGOS!$A$3:$A$1048576,"&lt;&gt;EGRESO*",PAGOS!$D$3:$D$1048576,B7)</f>
        <v>8</v>
      </c>
      <c r="Q7" s="139">
        <f>K7-P7</f>
        <v>0</v>
      </c>
    </row>
    <row r="8" spans="1:17" x14ac:dyDescent="0.3">
      <c r="A8" s="67" t="str">
        <v>0002</v>
      </c>
      <c r="B8" s="190">
        <v>24</v>
      </c>
      <c r="C8" s="67" t="s">
        <v>18</v>
      </c>
      <c r="D8" s="63">
        <v>45153</v>
      </c>
      <c r="E8" s="191">
        <v>200</v>
      </c>
      <c r="F8" s="67">
        <v>1</v>
      </c>
      <c r="G8" s="191">
        <v>200</v>
      </c>
      <c r="H8" s="191">
        <v>4</v>
      </c>
      <c r="I8" s="192">
        <v>204</v>
      </c>
      <c r="J8" s="191">
        <v>200</v>
      </c>
      <c r="K8" s="191">
        <v>4</v>
      </c>
      <c r="L8" s="191">
        <v>204</v>
      </c>
      <c r="N8" s="139">
        <f>SUMIFS(PAGOS!$E$3:$E$1048576,PAGOS!$A$3:$A$1048576,"&lt;&gt;INGRESO*",PAGOS!$A$3:$A$1048576,"&lt;&gt;EGRESO*",PAGOS!$D$3:$D$1048576,B8)</f>
        <v>200</v>
      </c>
      <c r="O8" s="139">
        <f t="shared" ref="O8:O10" si="0">E8-N8</f>
        <v>0</v>
      </c>
      <c r="P8" s="139">
        <f>SUMIFS(PAGOS!$H$3:$H$1048576,PAGOS!$A$3:$A$1048576,"&lt;&gt;INGRESO*",PAGOS!$A$3:$A$1048576,"&lt;&gt;EGRESO*",PAGOS!$D$3:$D$1048576,B8)</f>
        <v>4</v>
      </c>
      <c r="Q8" s="139">
        <f t="shared" ref="Q8:Q10" si="1">K8-P8</f>
        <v>0</v>
      </c>
    </row>
    <row r="9" spans="1:17" x14ac:dyDescent="0.3">
      <c r="A9" s="67" t="str">
        <v>0003</v>
      </c>
      <c r="B9" s="61" t="s">
        <v>242</v>
      </c>
      <c r="C9" s="67" t="s">
        <v>18</v>
      </c>
      <c r="D9" s="63">
        <v>45458</v>
      </c>
      <c r="E9" s="206">
        <v>300</v>
      </c>
      <c r="F9" s="67">
        <v>3</v>
      </c>
      <c r="G9" s="191">
        <v>100</v>
      </c>
      <c r="H9" s="191">
        <v>6</v>
      </c>
      <c r="I9" s="192">
        <v>106</v>
      </c>
      <c r="J9" s="191">
        <v>300</v>
      </c>
      <c r="K9" s="191">
        <v>18</v>
      </c>
      <c r="L9" s="206">
        <v>318</v>
      </c>
      <c r="N9" s="139">
        <f>SUMIFS(PAGOS!$E$3:$E$1048576,PAGOS!$A$3:$A$1048576,"&lt;&gt;INGRESO*",PAGOS!$A$3:$A$1048576,"&lt;&gt;EGRESO*",PAGOS!$D$3:$D$1048576,+MID('05'!B9,6,3)*1)</f>
        <v>300</v>
      </c>
      <c r="O9" s="139">
        <f t="shared" si="0"/>
        <v>0</v>
      </c>
      <c r="P9" s="139">
        <f>SUMIFS(PAGOS!$H$3:$H$1048576,PAGOS!$A$3:$A$1048576,"&lt;&gt;INGRESO*",PAGOS!$A$3:$A$1048576,"&lt;&gt;EGRESO*",PAGOS!$D$3:$D$1048576,+MID('05'!B9,6,3)*1)</f>
        <v>18</v>
      </c>
      <c r="Q9" s="139">
        <f t="shared" si="1"/>
        <v>0</v>
      </c>
    </row>
    <row r="10" spans="1:17" x14ac:dyDescent="0.3">
      <c r="A10" s="67" t="str">
        <v>0004</v>
      </c>
      <c r="B10" s="61" t="s">
        <v>273</v>
      </c>
      <c r="C10" s="67" t="s">
        <v>18</v>
      </c>
      <c r="D10" s="63">
        <v>45580</v>
      </c>
      <c r="E10" s="206">
        <v>250</v>
      </c>
      <c r="F10" s="67">
        <v>4</v>
      </c>
      <c r="G10" s="191">
        <v>62.5</v>
      </c>
      <c r="H10" s="191">
        <v>5</v>
      </c>
      <c r="I10" s="192">
        <v>67.5</v>
      </c>
      <c r="J10" s="191">
        <v>250</v>
      </c>
      <c r="K10" s="191">
        <v>20</v>
      </c>
      <c r="L10" s="206">
        <v>270</v>
      </c>
      <c r="N10" s="139">
        <f>SUMIFS(PAGOS!$E$3:$E$1048576,PAGOS!$A$3:$A$1048576,"&lt;&gt;INGRESO*",PAGOS!$A$3:$A$1048576,"&lt;&gt;EGRESO*",PAGOS!$D$3:$D$1048576,+MID('05'!B10,6,3)*1)</f>
        <v>187.5</v>
      </c>
      <c r="O10" s="139">
        <f t="shared" si="0"/>
        <v>62.5</v>
      </c>
      <c r="P10" s="139">
        <f>SUMIFS(PAGOS!$H$3:$H$1048576,PAGOS!$A$3:$A$1048576,"&lt;&gt;INGRESO*",PAGOS!$A$3:$A$1048576,"&lt;&gt;EGRESO*",PAGOS!$D$3:$D$1048576,+MID('05'!B10,6,3)*1)</f>
        <v>15</v>
      </c>
      <c r="Q10" s="139">
        <f t="shared" si="1"/>
        <v>5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9"/>
  <sheetViews>
    <sheetView zoomScaleNormal="100" workbookViewId="0">
      <selection activeCell="P14" sqref="P14"/>
    </sheetView>
  </sheetViews>
  <sheetFormatPr baseColWidth="10" defaultColWidth="11.5546875" defaultRowHeight="14.4" x14ac:dyDescent="0.3"/>
  <cols>
    <col min="1" max="1" width="14.21875" bestFit="1" customWidth="1"/>
    <col min="2" max="2" width="12" style="20" bestFit="1" customWidth="1"/>
    <col min="3" max="3" width="19.44140625" customWidth="1"/>
    <col min="4" max="4" width="11.6640625" bestFit="1" customWidth="1"/>
    <col min="5" max="5" width="11.77734375" customWidth="1"/>
    <col min="6" max="8" width="11.6640625" bestFit="1" customWidth="1"/>
    <col min="9" max="9" width="8.21875" style="15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2760</v>
      </c>
      <c r="H3" s="161" t="s">
        <v>196</v>
      </c>
      <c r="I3" s="179">
        <f>SUM($P$7:$P$1048576)</f>
        <v>186.4</v>
      </c>
      <c r="J3" s="161" t="s">
        <v>197</v>
      </c>
      <c r="K3" s="180">
        <f>G3+I3</f>
        <v>2946.4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5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2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13">"000"&amp;_xlfn.SEQUENCE(COUNTA(C7:C1048576))</f>
        <v>0001</v>
      </c>
      <c r="B7" s="190">
        <v>1</v>
      </c>
      <c r="C7" s="67" t="s">
        <v>19</v>
      </c>
      <c r="D7" s="63">
        <v>44788</v>
      </c>
      <c r="E7" s="191">
        <v>60</v>
      </c>
      <c r="F7" s="67">
        <v>2</v>
      </c>
      <c r="G7" s="191">
        <v>30</v>
      </c>
      <c r="H7" s="191">
        <v>1.2</v>
      </c>
      <c r="I7" s="192">
        <v>31.2</v>
      </c>
      <c r="J7" s="191">
        <v>60</v>
      </c>
      <c r="K7" s="191">
        <v>2.4</v>
      </c>
      <c r="L7" s="191">
        <v>62.4</v>
      </c>
      <c r="N7" s="139">
        <f>SUMIFS(PAGOS!$E$3:$E$1048576,PAGOS!$A$3:$A$1048576,"&lt;&gt;INGRESO*",PAGOS!$A$3:$A$1048576,"&lt;&gt;EGRESO*",PAGOS!$D$3:$D$1048576,B7)</f>
        <v>60</v>
      </c>
      <c r="O7" s="139">
        <f>E7-N7</f>
        <v>0</v>
      </c>
      <c r="P7" s="139">
        <f>SUMIFS(PAGOS!$H$3:$H$1048576,PAGOS!$A$3:$A$1048576,"&lt;&gt;INGRESO*",PAGOS!$A$3:$A$1048576,"&lt;&gt;EGRESO*",PAGOS!$D$3:$D$1048576,B7)</f>
        <v>2.4</v>
      </c>
      <c r="Q7" s="139">
        <f>K7-P7</f>
        <v>0</v>
      </c>
    </row>
    <row r="8" spans="1:17" x14ac:dyDescent="0.3">
      <c r="A8" s="67" t="str">
        <v>0002</v>
      </c>
      <c r="B8" s="190">
        <v>10</v>
      </c>
      <c r="C8" s="67" t="s">
        <v>19</v>
      </c>
      <c r="D8" s="63">
        <v>44941</v>
      </c>
      <c r="E8" s="191">
        <v>100</v>
      </c>
      <c r="F8" s="67">
        <v>4</v>
      </c>
      <c r="G8" s="191">
        <v>25</v>
      </c>
      <c r="H8" s="191">
        <v>2</v>
      </c>
      <c r="I8" s="192">
        <v>27</v>
      </c>
      <c r="J8" s="191">
        <v>100</v>
      </c>
      <c r="K8" s="191">
        <v>8</v>
      </c>
      <c r="L8" s="191">
        <v>108</v>
      </c>
      <c r="N8" s="139">
        <f>SUMIFS(PAGOS!$E$3:$E$1048576,PAGOS!$A$3:$A$1048576,"&lt;&gt;INGRESO*",PAGOS!$A$3:$A$1048576,"&lt;&gt;EGRESO*",PAGOS!$D$3:$D$1048576,B8)</f>
        <v>100</v>
      </c>
      <c r="O8" s="139">
        <f t="shared" ref="O8:O12" si="0">E8-N8</f>
        <v>0</v>
      </c>
      <c r="P8" s="139">
        <f>SUMIFS(PAGOS!$H$3:$H$1048576,PAGOS!$A$3:$A$1048576,"&lt;&gt;INGRESO*",PAGOS!$A$3:$A$1048576,"&lt;&gt;EGRESO*",PAGOS!$D$3:$D$1048576,B8)</f>
        <v>8</v>
      </c>
      <c r="Q8" s="139">
        <f t="shared" ref="Q8:Q12" si="1">K8-P8</f>
        <v>0</v>
      </c>
    </row>
    <row r="9" spans="1:17" x14ac:dyDescent="0.3">
      <c r="A9" s="67" t="str">
        <v>0003</v>
      </c>
      <c r="B9" s="190">
        <v>18</v>
      </c>
      <c r="C9" s="67" t="s">
        <v>19</v>
      </c>
      <c r="D9" s="63">
        <v>45061</v>
      </c>
      <c r="E9" s="191">
        <v>100</v>
      </c>
      <c r="F9" s="67">
        <v>4</v>
      </c>
      <c r="G9" s="191">
        <v>25</v>
      </c>
      <c r="H9" s="191">
        <v>2</v>
      </c>
      <c r="I9" s="192">
        <v>27</v>
      </c>
      <c r="J9" s="191">
        <v>100</v>
      </c>
      <c r="K9" s="191">
        <v>8</v>
      </c>
      <c r="L9" s="191">
        <v>108</v>
      </c>
      <c r="N9" s="139">
        <f>SUMIFS(PAGOS!$E$3:$E$1048576,PAGOS!$A$3:$A$1048576,"&lt;&gt;INGRESO*",PAGOS!$A$3:$A$1048576,"&lt;&gt;EGRESO*",PAGOS!$D$3:$D$1048576,B9)</f>
        <v>100</v>
      </c>
      <c r="O9" s="139">
        <f t="shared" si="0"/>
        <v>0</v>
      </c>
      <c r="P9" s="139">
        <f>SUMIFS(PAGOS!$H$3:$H$1048576,PAGOS!$A$3:$A$1048576,"&lt;&gt;INGRESO*",PAGOS!$A$3:$A$1048576,"&lt;&gt;EGRESO*",PAGOS!$D$3:$D$1048576,B9)</f>
        <v>8</v>
      </c>
      <c r="Q9" s="139">
        <f t="shared" si="1"/>
        <v>0</v>
      </c>
    </row>
    <row r="10" spans="1:17" x14ac:dyDescent="0.3">
      <c r="A10" s="67" t="str">
        <v>0004</v>
      </c>
      <c r="B10" s="190">
        <v>28</v>
      </c>
      <c r="C10" s="67" t="s">
        <v>19</v>
      </c>
      <c r="D10" s="63">
        <v>45214</v>
      </c>
      <c r="E10" s="191">
        <v>600</v>
      </c>
      <c r="F10" s="67">
        <v>4</v>
      </c>
      <c r="G10" s="191">
        <v>150</v>
      </c>
      <c r="H10" s="191">
        <v>12</v>
      </c>
      <c r="I10" s="192">
        <v>162</v>
      </c>
      <c r="J10" s="191">
        <v>600</v>
      </c>
      <c r="K10" s="191">
        <v>48</v>
      </c>
      <c r="L10" s="191">
        <v>648</v>
      </c>
      <c r="N10" s="139">
        <f>SUMIFS(PAGOS!$E$3:$E$1048576,PAGOS!$A$3:$A$1048576,"&lt;&gt;INGRESO*",PAGOS!$A$3:$A$1048576,"&lt;&gt;EGRESO*",PAGOS!$D$3:$D$1048576,B10)</f>
        <v>600</v>
      </c>
      <c r="O10" s="139">
        <f t="shared" si="0"/>
        <v>0</v>
      </c>
      <c r="P10" s="139">
        <f>SUMIFS(PAGOS!$H$3:$H$1048576,PAGOS!$A$3:$A$1048576,"&lt;&gt;INGRESO*",PAGOS!$A$3:$A$1048576,"&lt;&gt;EGRESO*",PAGOS!$D$3:$D$1048576,B10)</f>
        <v>48</v>
      </c>
      <c r="Q10" s="139">
        <f t="shared" si="1"/>
        <v>0</v>
      </c>
    </row>
    <row r="11" spans="1:17" x14ac:dyDescent="0.3">
      <c r="A11" s="67" t="str">
        <v>0005</v>
      </c>
      <c r="B11" s="190">
        <v>35</v>
      </c>
      <c r="C11" s="67" t="s">
        <v>19</v>
      </c>
      <c r="D11" s="63">
        <v>45337</v>
      </c>
      <c r="E11" s="191">
        <v>600</v>
      </c>
      <c r="F11" s="67">
        <v>5</v>
      </c>
      <c r="G11" s="191">
        <v>120</v>
      </c>
      <c r="H11" s="191">
        <v>12</v>
      </c>
      <c r="I11" s="192">
        <v>132</v>
      </c>
      <c r="J11" s="191">
        <v>600</v>
      </c>
      <c r="K11" s="191">
        <v>60</v>
      </c>
      <c r="L11" s="191">
        <v>660</v>
      </c>
      <c r="N11" s="139">
        <f>SUMIFS(PAGOS!$E$3:$E$1048576,PAGOS!$A$3:$A$1048576,"&lt;&gt;INGRESO*",PAGOS!$A$3:$A$1048576,"&lt;&gt;EGRESO*",PAGOS!$D$3:$D$1048576,B11)</f>
        <v>600</v>
      </c>
      <c r="O11" s="139">
        <f t="shared" si="0"/>
        <v>0</v>
      </c>
      <c r="P11" s="139">
        <f>SUMIFS(PAGOS!$H$3:$H$1048576,PAGOS!$A$3:$A$1048576,"&lt;&gt;INGRESO*",PAGOS!$A$3:$A$1048576,"&lt;&gt;EGRESO*",PAGOS!$D$3:$D$1048576,B11)</f>
        <v>60</v>
      </c>
      <c r="Q11" s="139">
        <f t="shared" si="1"/>
        <v>0</v>
      </c>
    </row>
    <row r="12" spans="1:17" x14ac:dyDescent="0.3">
      <c r="A12" s="67" t="str">
        <v>0006</v>
      </c>
      <c r="B12" s="61" t="s">
        <v>252</v>
      </c>
      <c r="C12" s="67" t="s">
        <v>19</v>
      </c>
      <c r="D12" s="63">
        <v>45519</v>
      </c>
      <c r="E12" s="206">
        <v>600</v>
      </c>
      <c r="F12" s="67">
        <v>6</v>
      </c>
      <c r="G12" s="191">
        <v>100</v>
      </c>
      <c r="H12" s="191">
        <v>12</v>
      </c>
      <c r="I12" s="192">
        <v>112</v>
      </c>
      <c r="J12" s="191">
        <v>600</v>
      </c>
      <c r="K12" s="191">
        <v>72</v>
      </c>
      <c r="L12" s="206">
        <v>672</v>
      </c>
      <c r="N12" s="139">
        <f>SUMIFS(PAGOS!$E$3:$E$1048576,PAGOS!$A$3:$A$1048576,"&lt;&gt;INGRESO*",PAGOS!$A$3:$A$1048576,"&lt;&gt;EGRESO*",PAGOS!$D$3:$D$1048576,+MID('06'!B12,6,3)*1)</f>
        <v>600</v>
      </c>
      <c r="O12" s="139">
        <f t="shared" si="0"/>
        <v>0</v>
      </c>
      <c r="P12" s="139">
        <f>SUMIFS(PAGOS!$H$3:$H$1048576,PAGOS!$A$3:$A$1048576,"&lt;&gt;INGRESO*",PAGOS!$A$3:$A$1048576,"&lt;&gt;EGRESO*",PAGOS!$D$3:$D$1048576,+MID('06'!B12,6,3)*1)</f>
        <v>60</v>
      </c>
      <c r="Q12" s="139">
        <f t="shared" si="1"/>
        <v>12</v>
      </c>
    </row>
    <row r="13" spans="1:17" x14ac:dyDescent="0.3">
      <c r="A13" s="67" t="str">
        <v>0007</v>
      </c>
      <c r="B13" s="61" t="s">
        <v>361</v>
      </c>
      <c r="C13" s="67" t="s">
        <v>19</v>
      </c>
      <c r="D13" s="63">
        <v>45672</v>
      </c>
      <c r="E13" s="206">
        <v>700</v>
      </c>
      <c r="F13" s="67">
        <v>7</v>
      </c>
      <c r="G13" s="191">
        <v>100</v>
      </c>
      <c r="H13" s="191">
        <v>14</v>
      </c>
      <c r="I13" s="192">
        <v>114</v>
      </c>
      <c r="J13" s="191">
        <v>700</v>
      </c>
      <c r="K13" s="191">
        <v>98</v>
      </c>
      <c r="L13" s="191">
        <v>798</v>
      </c>
      <c r="N13" s="139">
        <f>SUMIFS(PAGOS!$E$3:$E$1048576,PAGOS!$A$3:$A$1048576,"&lt;&gt;INGRESO*",PAGOS!$A$3:$A$1048576,"&lt;&gt;EGRESO*",PAGOS!$D$3:$D$1048576,+MID('06'!B13,6,3)*1)</f>
        <v>0</v>
      </c>
      <c r="O13" s="139">
        <f t="shared" ref="O13" si="2">E13-N13</f>
        <v>700</v>
      </c>
      <c r="P13" s="139">
        <f>SUMIFS(PAGOS!$H$3:$H$1048576,PAGOS!$A$3:$A$1048576,"&lt;&gt;INGRESO*",PAGOS!$A$3:$A$1048576,"&lt;&gt;EGRESO*",PAGOS!$D$3:$D$1048576,+MID('06'!B13,6,3)*1)</f>
        <v>0</v>
      </c>
      <c r="Q13" s="139">
        <f t="shared" ref="Q13" si="3">K13-P13</f>
        <v>98</v>
      </c>
    </row>
    <row r="18" spans="9:9" x14ac:dyDescent="0.3">
      <c r="I18"/>
    </row>
    <row r="19" spans="9:9" x14ac:dyDescent="0.3">
      <c r="I19"/>
    </row>
  </sheetData>
  <pageMargins left="0.7" right="0.7" top="0.75" bottom="0.75" header="0.3" footer="0.3"/>
  <pageSetup scale="82" fitToHeight="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/>
  </sheetViews>
  <sheetFormatPr baseColWidth="10" defaultColWidth="11.5546875" defaultRowHeight="14.4" x14ac:dyDescent="0.3"/>
  <cols>
    <col min="1" max="1" width="14.21875" bestFit="1" customWidth="1"/>
    <col min="2" max="2" width="11.5546875" style="2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77734375" bestFit="1" customWidth="1"/>
    <col min="9" max="9" width="8.44140625" style="158" customWidth="1"/>
    <col min="10" max="10" width="13.2187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400</v>
      </c>
      <c r="H3" s="161" t="s">
        <v>196</v>
      </c>
      <c r="I3" s="179">
        <f>SUM($P$7:$P$1048576)</f>
        <v>26</v>
      </c>
      <c r="J3" s="161" t="s">
        <v>197</v>
      </c>
      <c r="K3" s="180">
        <f>G3+I3</f>
        <v>426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6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2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9">"000"&amp;_xlfn.SEQUENCE(COUNTA(C7:C1048576))</f>
        <v>0001</v>
      </c>
      <c r="B7" s="190">
        <v>12</v>
      </c>
      <c r="C7" s="67" t="s">
        <v>20</v>
      </c>
      <c r="D7" s="63">
        <v>44972</v>
      </c>
      <c r="E7" s="191">
        <v>100</v>
      </c>
      <c r="F7" s="67">
        <v>4</v>
      </c>
      <c r="G7" s="191">
        <v>25</v>
      </c>
      <c r="H7" s="191">
        <v>2</v>
      </c>
      <c r="I7" s="192">
        <v>27</v>
      </c>
      <c r="J7" s="191">
        <v>100</v>
      </c>
      <c r="K7" s="191">
        <v>8</v>
      </c>
      <c r="L7" s="191">
        <v>108</v>
      </c>
      <c r="N7" s="139">
        <f>SUMIFS(PAGOS!$E$3:$E$1048576,PAGOS!$A$3:$A$1048576,"&lt;&gt;INGRESO*",PAGOS!$A$3:$A$1048576,"&lt;&gt;EGRESO*",PAGOS!$D$3:$D$1048576,B7)</f>
        <v>100</v>
      </c>
      <c r="O7" s="139">
        <f>E7-N7</f>
        <v>0</v>
      </c>
      <c r="P7" s="139">
        <f>SUMIFS(PAGOS!$H$3:$H$1048576,PAGOS!$A$3:$A$1048576,"&lt;&gt;INGRESO*",PAGOS!$A$3:$A$1048576,"&lt;&gt;EGRESO*",PAGOS!$D$3:$D$1048576,B7)</f>
        <v>8</v>
      </c>
      <c r="Q7" s="139">
        <f>K7-P7</f>
        <v>0</v>
      </c>
    </row>
    <row r="8" spans="1:17" x14ac:dyDescent="0.3">
      <c r="A8" s="67" t="str">
        <v>0002</v>
      </c>
      <c r="B8" s="61" t="s">
        <v>223</v>
      </c>
      <c r="C8" s="67" t="s">
        <v>20</v>
      </c>
      <c r="D8" s="63">
        <v>45366</v>
      </c>
      <c r="E8" s="206">
        <v>100</v>
      </c>
      <c r="F8" s="67">
        <v>5</v>
      </c>
      <c r="G8" s="191">
        <v>20</v>
      </c>
      <c r="H8" s="191">
        <v>2</v>
      </c>
      <c r="I8" s="192">
        <v>22</v>
      </c>
      <c r="J8" s="191">
        <v>100</v>
      </c>
      <c r="K8" s="191">
        <v>10</v>
      </c>
      <c r="L8" s="191">
        <v>110</v>
      </c>
      <c r="N8" s="139">
        <f>SUMIFS(PAGOS!$E$3:$E$1048576,PAGOS!$A$3:$A$1048576,"&lt;&gt;INGRESO*",PAGOS!$A$3:$A$1048576,"&lt;&gt;EGRESO*",PAGOS!$D$3:$D$1048576,+MID('07'!B8,6,3)*1)</f>
        <v>100</v>
      </c>
      <c r="O8" s="139">
        <f>E8-N8</f>
        <v>0</v>
      </c>
      <c r="P8" s="139">
        <f>SUMIFS(PAGOS!$H$3:$H$1048576,PAGOS!$A$3:$A$1048576,"&lt;&gt;INGRESO*",PAGOS!$A$3:$A$1048576,"&lt;&gt;EGRESO*",PAGOS!$D$3:$D$1048576,+MID('07'!B8,6,3)*1)</f>
        <v>10</v>
      </c>
      <c r="Q8" s="139">
        <f>K8-P8</f>
        <v>0</v>
      </c>
    </row>
    <row r="9" spans="1:17" x14ac:dyDescent="0.3">
      <c r="A9" s="67" t="str">
        <v>0003</v>
      </c>
      <c r="B9" s="61" t="s">
        <v>321</v>
      </c>
      <c r="C9" s="67" t="s">
        <v>20</v>
      </c>
      <c r="D9" s="63">
        <v>45611</v>
      </c>
      <c r="E9" s="206">
        <v>200</v>
      </c>
      <c r="F9" s="67">
        <v>5</v>
      </c>
      <c r="G9" s="191">
        <v>40</v>
      </c>
      <c r="H9" s="191">
        <v>4</v>
      </c>
      <c r="I9" s="192">
        <v>44</v>
      </c>
      <c r="J9" s="191">
        <v>200</v>
      </c>
      <c r="K9" s="191">
        <v>20</v>
      </c>
      <c r="L9" s="191">
        <v>220</v>
      </c>
      <c r="N9" s="139">
        <f>SUMIFS(PAGOS!$E$3:$E$1048576,PAGOS!$A$3:$A$1048576,"&lt;&gt;INGRESO*",PAGOS!$A$3:$A$1048576,"&lt;&gt;EGRESO*",PAGOS!$D$3:$D$1048576,+MID('07'!B9,6,3)*1)</f>
        <v>80</v>
      </c>
      <c r="O9" s="139">
        <f>E9-N9</f>
        <v>120</v>
      </c>
      <c r="P9" s="139">
        <f>SUMIFS(PAGOS!$H$3:$H$1048576,PAGOS!$A$3:$A$1048576,"&lt;&gt;INGRESO*",PAGOS!$A$3:$A$1048576,"&lt;&gt;EGRESO*",PAGOS!$D$3:$D$1048576,+MID('07'!B9,6,3)*1)</f>
        <v>8</v>
      </c>
      <c r="Q9" s="139">
        <f>K9-P9</f>
        <v>12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/>
  </sheetViews>
  <sheetFormatPr baseColWidth="10" defaultColWidth="11.5546875" defaultRowHeight="14.4" x14ac:dyDescent="0.3"/>
  <cols>
    <col min="1" max="1" width="14.21875" bestFit="1" customWidth="1"/>
    <col min="2" max="2" width="12" style="20" bestFit="1" customWidth="1"/>
    <col min="3" max="3" width="17.6640625" customWidth="1"/>
    <col min="4" max="4" width="10.5546875" bestFit="1" customWidth="1"/>
    <col min="5" max="5" width="10.5546875" customWidth="1"/>
    <col min="6" max="6" width="9.21875" bestFit="1" customWidth="1"/>
    <col min="7" max="7" width="9.33203125" bestFit="1" customWidth="1"/>
    <col min="8" max="8" width="7.77734375" bestFit="1" customWidth="1"/>
    <col min="9" max="9" width="9.88671875" style="158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1100</v>
      </c>
      <c r="H3" s="161" t="s">
        <v>196</v>
      </c>
      <c r="I3" s="179">
        <f>SUM($P$7:$P$1048576)</f>
        <v>38</v>
      </c>
      <c r="J3" s="161" t="s">
        <v>197</v>
      </c>
      <c r="K3" s="180">
        <f>G3+I3</f>
        <v>1138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7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2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9">"000"&amp;_xlfn.SEQUENCE(COUNTA(C7:C1048576))</f>
        <v>0001</v>
      </c>
      <c r="B7" s="190">
        <v>5</v>
      </c>
      <c r="C7" s="67" t="s">
        <v>21</v>
      </c>
      <c r="D7" s="63">
        <v>44910</v>
      </c>
      <c r="E7" s="191">
        <v>200</v>
      </c>
      <c r="F7" s="67">
        <v>1</v>
      </c>
      <c r="G7" s="191">
        <v>200</v>
      </c>
      <c r="H7" s="191">
        <v>4</v>
      </c>
      <c r="I7" s="192">
        <v>204</v>
      </c>
      <c r="J7" s="191">
        <v>200</v>
      </c>
      <c r="K7" s="191">
        <v>4</v>
      </c>
      <c r="L7" s="191">
        <v>204</v>
      </c>
      <c r="N7" s="139">
        <f>SUMIFS(PAGOS!$E$3:$E$1048576,PAGOS!$A$3:$A$1048576,"&lt;&gt;INGRESO*",PAGOS!$A$3:$A$1048576,"&lt;&gt;EGRESO*",PAGOS!$D$3:$D$1048576,B7)</f>
        <v>200</v>
      </c>
      <c r="O7" s="139">
        <f>E7-N7</f>
        <v>0</v>
      </c>
      <c r="P7" s="139">
        <f>SUMIFS(PAGOS!$H$3:$H$1048576,PAGOS!$A$3:$A$1048576,"&lt;&gt;INGRESO*",PAGOS!$A$3:$A$1048576,"&lt;&gt;EGRESO*",PAGOS!$D$3:$D$1048576,B7)</f>
        <v>4</v>
      </c>
      <c r="Q7" s="139">
        <f>K7-P7</f>
        <v>0</v>
      </c>
    </row>
    <row r="8" spans="1:17" x14ac:dyDescent="0.3">
      <c r="A8" s="67" t="str">
        <v>0002</v>
      </c>
      <c r="B8" s="61" t="s">
        <v>267</v>
      </c>
      <c r="C8" s="67" t="s">
        <v>21</v>
      </c>
      <c r="D8" s="63">
        <v>45549</v>
      </c>
      <c r="E8" s="206">
        <v>400</v>
      </c>
      <c r="F8" s="67">
        <v>4</v>
      </c>
      <c r="G8" s="191">
        <v>100</v>
      </c>
      <c r="H8" s="191">
        <v>8</v>
      </c>
      <c r="I8" s="192">
        <v>108</v>
      </c>
      <c r="J8" s="191">
        <v>400</v>
      </c>
      <c r="K8" s="191">
        <v>32</v>
      </c>
      <c r="L8" s="206">
        <v>432</v>
      </c>
      <c r="N8" s="139">
        <f>SUMIFS(PAGOS!$E$3:$E$1048576,PAGOS!$A$3:$A$1048576,"&lt;&gt;INGRESO*",PAGOS!$A$3:$A$1048576,"&lt;&gt;EGRESO*",PAGOS!$D$3:$D$1048576,+MID('08'!B8,6,3)*1)</f>
        <v>400</v>
      </c>
      <c r="O8" s="139">
        <f>E8-N8</f>
        <v>0</v>
      </c>
      <c r="P8" s="139">
        <f>SUMIFS(PAGOS!$H$3:$H$1048576,PAGOS!$A$3:$A$1048576,"&lt;&gt;INGRESO*",PAGOS!$A$3:$A$1048576,"&lt;&gt;EGRESO*",PAGOS!$D$3:$D$1048576,+MID('08'!B8,6,3)*1)</f>
        <v>24</v>
      </c>
      <c r="Q8" s="139">
        <f>K8-P8</f>
        <v>8</v>
      </c>
    </row>
    <row r="9" spans="1:17" x14ac:dyDescent="0.3">
      <c r="A9" s="67" t="str">
        <v>0003</v>
      </c>
      <c r="B9" s="61" t="s">
        <v>342</v>
      </c>
      <c r="C9" s="67" t="s">
        <v>21</v>
      </c>
      <c r="D9" s="63">
        <v>45641</v>
      </c>
      <c r="E9" s="206">
        <v>500</v>
      </c>
      <c r="F9" s="67">
        <v>5</v>
      </c>
      <c r="G9" s="191">
        <v>100</v>
      </c>
      <c r="H9" s="191">
        <v>10</v>
      </c>
      <c r="I9" s="192">
        <v>110</v>
      </c>
      <c r="J9" s="191">
        <v>500</v>
      </c>
      <c r="K9" s="191">
        <v>50</v>
      </c>
      <c r="L9" s="191">
        <v>550</v>
      </c>
      <c r="N9" s="139">
        <f>SUMIFS(PAGOS!$E$3:$E$1048576,PAGOS!$A$3:$A$1048576,"&lt;&gt;INGRESO*",PAGOS!$A$3:$A$1048576,"&lt;&gt;EGRESO*",PAGOS!$D$3:$D$1048576,+MID('08'!B9,6,3)*1)</f>
        <v>100</v>
      </c>
      <c r="O9" s="139">
        <f>E9-N9</f>
        <v>400</v>
      </c>
      <c r="P9" s="139">
        <f>SUMIFS(PAGOS!$H$3:$H$1048576,PAGOS!$A$3:$A$1048576,"&lt;&gt;INGRESO*",PAGOS!$A$3:$A$1048576,"&lt;&gt;EGRESO*",PAGOS!$D$3:$D$1048576,+MID('08'!B9,6,3)*1)</f>
        <v>10</v>
      </c>
      <c r="Q9" s="139">
        <f>K9-P9</f>
        <v>40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8"/>
  <sheetViews>
    <sheetView zoomScaleNormal="100" workbookViewId="0"/>
  </sheetViews>
  <sheetFormatPr baseColWidth="10" defaultColWidth="11.5546875" defaultRowHeight="14.4" x14ac:dyDescent="0.3"/>
  <cols>
    <col min="1" max="1" width="14.21875" bestFit="1" customWidth="1"/>
    <col min="2" max="2" width="12" style="20" bestFit="1" customWidth="1"/>
    <col min="3" max="3" width="18.33203125" customWidth="1"/>
    <col min="4" max="4" width="10.5546875" bestFit="1" customWidth="1"/>
    <col min="5" max="5" width="11.21875" customWidth="1"/>
    <col min="6" max="6" width="9.21875" bestFit="1" customWidth="1"/>
    <col min="7" max="7" width="11.88671875" bestFit="1" customWidth="1"/>
    <col min="8" max="8" width="7.77734375" bestFit="1" customWidth="1"/>
    <col min="9" max="9" width="7.77734375" style="158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2300</v>
      </c>
      <c r="H3" s="161" t="s">
        <v>196</v>
      </c>
      <c r="I3" s="179">
        <f>SUM($P$7:$P$1048576)</f>
        <v>192</v>
      </c>
      <c r="J3" s="161" t="s">
        <v>197</v>
      </c>
      <c r="K3" s="180">
        <f>G3+I3</f>
        <v>2492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8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2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11">"000"&amp;_xlfn.SEQUENCE(COUNTA(C7:C1048576))</f>
        <v>0001</v>
      </c>
      <c r="B7" s="190">
        <v>7</v>
      </c>
      <c r="C7" s="67" t="s">
        <v>22</v>
      </c>
      <c r="D7" s="63">
        <v>44910</v>
      </c>
      <c r="E7" s="191">
        <v>100</v>
      </c>
      <c r="F7" s="67">
        <v>4</v>
      </c>
      <c r="G7" s="191">
        <v>25</v>
      </c>
      <c r="H7" s="191">
        <v>2</v>
      </c>
      <c r="I7" s="192">
        <v>27</v>
      </c>
      <c r="J7" s="191">
        <v>100</v>
      </c>
      <c r="K7" s="191">
        <v>8</v>
      </c>
      <c r="L7" s="191">
        <v>108</v>
      </c>
      <c r="N7" s="139">
        <f>SUMIFS(PAGOS!$E$3:$E$1048576,PAGOS!$A$3:$A$1048576,"&lt;&gt;INGRESO*",PAGOS!$A$3:$A$1048576,"&lt;&gt;EGRESO*",PAGOS!$D$3:$D$1048576,B7)</f>
        <v>100</v>
      </c>
      <c r="O7" s="139">
        <f>E7-N7</f>
        <v>0</v>
      </c>
      <c r="P7" s="139">
        <f>SUMIFS(PAGOS!$H$3:$H$1048576,PAGOS!$A$3:$A$1048576,"&lt;&gt;INGRESO*",PAGOS!$A$3:$A$1048576,"&lt;&gt;EGRESO*",PAGOS!$D$3:$D$1048576,B7)</f>
        <v>8</v>
      </c>
      <c r="Q7" s="139">
        <f>K7-P7</f>
        <v>0</v>
      </c>
    </row>
    <row r="8" spans="1:17" x14ac:dyDescent="0.3">
      <c r="A8" s="67" t="str">
        <v>0002</v>
      </c>
      <c r="B8" s="190">
        <v>15</v>
      </c>
      <c r="C8" s="67" t="s">
        <v>22</v>
      </c>
      <c r="D8" s="63">
        <v>45031</v>
      </c>
      <c r="E8" s="191">
        <v>200</v>
      </c>
      <c r="F8" s="67">
        <v>4</v>
      </c>
      <c r="G8" s="191">
        <v>50</v>
      </c>
      <c r="H8" s="191">
        <v>4</v>
      </c>
      <c r="I8" s="192">
        <v>54</v>
      </c>
      <c r="J8" s="191">
        <v>200</v>
      </c>
      <c r="K8" s="191">
        <v>16</v>
      </c>
      <c r="L8" s="191">
        <v>216</v>
      </c>
      <c r="N8" s="139">
        <f>SUMIFS(PAGOS!$E$3:$E$1048576,PAGOS!$A$3:$A$1048576,"&lt;&gt;INGRESO*",PAGOS!$A$3:$A$1048576,"&lt;&gt;EGRESO*",PAGOS!$D$3:$D$1048576,B8)</f>
        <v>200</v>
      </c>
      <c r="O8" s="139">
        <f t="shared" ref="O8:O10" si="0">E8-N8</f>
        <v>0</v>
      </c>
      <c r="P8" s="139">
        <f>SUMIFS(PAGOS!$H$3:$H$1048576,PAGOS!$A$3:$A$1048576,"&lt;&gt;INGRESO*",PAGOS!$A$3:$A$1048576,"&lt;&gt;EGRESO*",PAGOS!$D$3:$D$1048576,B8)</f>
        <v>16</v>
      </c>
      <c r="Q8" s="139">
        <f t="shared" ref="Q8:Q10" si="1">K8-P8</f>
        <v>0</v>
      </c>
    </row>
    <row r="9" spans="1:17" x14ac:dyDescent="0.3">
      <c r="A9" s="67" t="str">
        <v>0003</v>
      </c>
      <c r="B9" s="190">
        <v>30</v>
      </c>
      <c r="C9" s="67" t="s">
        <v>22</v>
      </c>
      <c r="D9" s="63">
        <v>45214</v>
      </c>
      <c r="E9" s="191">
        <v>400</v>
      </c>
      <c r="F9" s="67">
        <v>7</v>
      </c>
      <c r="G9" s="191">
        <v>57.142857142857146</v>
      </c>
      <c r="H9" s="191">
        <v>8</v>
      </c>
      <c r="I9" s="192">
        <v>65.142857142857139</v>
      </c>
      <c r="J9" s="191">
        <v>400</v>
      </c>
      <c r="K9" s="191">
        <v>56</v>
      </c>
      <c r="L9" s="191">
        <v>456</v>
      </c>
      <c r="N9" s="139">
        <f>SUMIFS(PAGOS!$E$3:$E$1048576,PAGOS!$A$3:$A$1048576,"&lt;&gt;INGRESO*",PAGOS!$A$3:$A$1048576,"&lt;&gt;EGRESO*",PAGOS!$D$3:$D$1048576,B9)</f>
        <v>399.97999999999996</v>
      </c>
      <c r="O9" s="139">
        <f t="shared" si="0"/>
        <v>2.0000000000038654E-2</v>
      </c>
      <c r="P9" s="139">
        <f>SUMIFS(PAGOS!$H$3:$H$1048576,PAGOS!$A$3:$A$1048576,"&lt;&gt;INGRESO*",PAGOS!$A$3:$A$1048576,"&lt;&gt;EGRESO*",PAGOS!$D$3:$D$1048576,B9)</f>
        <v>56</v>
      </c>
      <c r="Q9" s="139">
        <f t="shared" si="1"/>
        <v>0</v>
      </c>
    </row>
    <row r="10" spans="1:17" x14ac:dyDescent="0.3">
      <c r="A10" s="67" t="str">
        <v>0004</v>
      </c>
      <c r="B10" s="61" t="s">
        <v>229</v>
      </c>
      <c r="C10" s="67" t="s">
        <v>22</v>
      </c>
      <c r="D10" s="63">
        <v>45427</v>
      </c>
      <c r="E10" s="206">
        <v>600</v>
      </c>
      <c r="F10" s="67">
        <v>7</v>
      </c>
      <c r="G10" s="191">
        <v>85.714285714285708</v>
      </c>
      <c r="H10" s="191">
        <v>12</v>
      </c>
      <c r="I10" s="192">
        <v>97.714285714285708</v>
      </c>
      <c r="J10" s="191">
        <v>600</v>
      </c>
      <c r="K10" s="191">
        <v>84</v>
      </c>
      <c r="L10" s="206">
        <v>684</v>
      </c>
      <c r="N10" s="139">
        <f>SUMIFS(PAGOS!$E$3:$E$1048576,PAGOS!$A$3:$A$1048576,"&lt;&gt;INGRESO*",PAGOS!$A$3:$A$1048576,"&lt;&gt;EGRESO*",PAGOS!$D$3:$D$1048576,+MID('09'!B10,6,3)*1)</f>
        <v>599.90000000000009</v>
      </c>
      <c r="O10" s="139">
        <f t="shared" si="0"/>
        <v>9.9999999999909051E-2</v>
      </c>
      <c r="P10" s="139">
        <f>SUMIFS(PAGOS!$H$3:$H$1048576,PAGOS!$A$3:$A$1048576,"&lt;&gt;INGRESO*",PAGOS!$A$3:$A$1048576,"&lt;&gt;EGRESO*",PAGOS!$D$3:$D$1048576,+MID('09'!B10,6,3)*1)</f>
        <v>72</v>
      </c>
      <c r="Q10" s="139">
        <f t="shared" si="1"/>
        <v>12</v>
      </c>
    </row>
    <row r="11" spans="1:17" x14ac:dyDescent="0.3">
      <c r="A11" s="67" t="str">
        <v>0005</v>
      </c>
      <c r="B11" s="61" t="s">
        <v>317</v>
      </c>
      <c r="C11" s="67" t="s">
        <v>22</v>
      </c>
      <c r="D11" s="63">
        <v>45611</v>
      </c>
      <c r="E11" s="206">
        <v>1000</v>
      </c>
      <c r="F11" s="67">
        <v>10</v>
      </c>
      <c r="G11" s="191">
        <v>100</v>
      </c>
      <c r="H11" s="191">
        <v>20</v>
      </c>
      <c r="I11" s="192">
        <v>120</v>
      </c>
      <c r="J11" s="191">
        <v>1000</v>
      </c>
      <c r="K11" s="191">
        <v>200</v>
      </c>
      <c r="L11" s="191">
        <v>1200</v>
      </c>
      <c r="N11" s="139">
        <f>SUMIFS(PAGOS!$E$3:$E$1048576,PAGOS!$A$3:$A$1048576,"&lt;&gt;INGRESO*",PAGOS!$A$3:$A$1048576,"&lt;&gt;EGRESO*",PAGOS!$D$3:$D$1048576,+MID('09'!B11,6,3)*1)</f>
        <v>200</v>
      </c>
      <c r="O11" s="139">
        <f t="shared" ref="O11" si="2">E11-N11</f>
        <v>800</v>
      </c>
      <c r="P11" s="139">
        <f>SUMIFS(PAGOS!$H$3:$H$1048576,PAGOS!$A$3:$A$1048576,"&lt;&gt;INGRESO*",PAGOS!$A$3:$A$1048576,"&lt;&gt;EGRESO*",PAGOS!$D$3:$D$1048576,+MID('09'!B11,6,3)*1)</f>
        <v>40</v>
      </c>
      <c r="Q11" s="139">
        <f t="shared" ref="Q11" si="3">K11-P11</f>
        <v>160</v>
      </c>
    </row>
    <row r="16" spans="1:17" x14ac:dyDescent="0.3">
      <c r="I16"/>
    </row>
    <row r="17" spans="9:9" x14ac:dyDescent="0.3">
      <c r="I17"/>
    </row>
    <row r="18" spans="9:9" x14ac:dyDescent="0.3">
      <c r="I18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1"/>
  <sheetViews>
    <sheetView zoomScaleNormal="100" workbookViewId="0"/>
  </sheetViews>
  <sheetFormatPr baseColWidth="10" defaultColWidth="11.5546875" defaultRowHeight="14.4" x14ac:dyDescent="0.3"/>
  <cols>
    <col min="1" max="1" width="14.21875" bestFit="1" customWidth="1"/>
    <col min="2" max="2" width="12" style="20" bestFit="1" customWidth="1"/>
    <col min="3" max="3" width="17.77734375" customWidth="1"/>
    <col min="4" max="8" width="11.6640625" bestFit="1" customWidth="1"/>
    <col min="9" max="9" width="9.21875" style="158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3620</v>
      </c>
      <c r="H3" s="161" t="s">
        <v>196</v>
      </c>
      <c r="I3" s="179">
        <f>SUM($P$7:$P$1048576)</f>
        <v>189</v>
      </c>
      <c r="J3" s="161" t="s">
        <v>197</v>
      </c>
      <c r="K3" s="180">
        <f>G3+I3</f>
        <v>3809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9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2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14">"000"&amp;_xlfn.SEQUENCE(COUNTA(C7:C1048576))</f>
        <v>0001</v>
      </c>
      <c r="B7" s="190">
        <v>8</v>
      </c>
      <c r="C7" s="67" t="s">
        <v>23</v>
      </c>
      <c r="D7" s="63">
        <v>44910</v>
      </c>
      <c r="E7" s="191">
        <v>170</v>
      </c>
      <c r="F7" s="67">
        <v>5</v>
      </c>
      <c r="G7" s="191">
        <v>34</v>
      </c>
      <c r="H7" s="191">
        <v>3.4</v>
      </c>
      <c r="I7" s="192">
        <v>37.4</v>
      </c>
      <c r="J7" s="191">
        <v>170</v>
      </c>
      <c r="K7" s="191">
        <v>17</v>
      </c>
      <c r="L7" s="191">
        <v>187</v>
      </c>
      <c r="N7" s="139">
        <f>SUMIFS(PAGOS!$E$3:$E$1048576,PAGOS!$A$3:$A$1048576,"&lt;&gt;INGRESO*",PAGOS!$A$3:$A$1048576,"&lt;&gt;EGRESO*",PAGOS!$D$3:$D$1048576,B7)</f>
        <v>170</v>
      </c>
      <c r="O7" s="139">
        <f t="shared" ref="O7:O13" si="0">E7-N7</f>
        <v>0</v>
      </c>
      <c r="P7" s="139">
        <f>SUMIFS(PAGOS!$H$3:$H$1048576,PAGOS!$A$3:$A$1048576,"&lt;&gt;INGRESO*",PAGOS!$A$3:$A$1048576,"&lt;&gt;EGRESO*",PAGOS!$D$3:$D$1048576,B7)</f>
        <v>17</v>
      </c>
      <c r="Q7" s="139">
        <f t="shared" ref="Q7:Q13" si="1">K7-P7</f>
        <v>0</v>
      </c>
    </row>
    <row r="8" spans="1:17" x14ac:dyDescent="0.3">
      <c r="A8" s="67" t="str">
        <v>0002</v>
      </c>
      <c r="B8" s="190">
        <v>19</v>
      </c>
      <c r="C8" s="67" t="s">
        <v>23</v>
      </c>
      <c r="D8" s="63">
        <v>45092</v>
      </c>
      <c r="E8" s="191">
        <v>400</v>
      </c>
      <c r="F8" s="67">
        <v>4</v>
      </c>
      <c r="G8" s="191">
        <v>100</v>
      </c>
      <c r="H8" s="191">
        <v>8</v>
      </c>
      <c r="I8" s="192">
        <v>108</v>
      </c>
      <c r="J8" s="191">
        <v>400</v>
      </c>
      <c r="K8" s="191">
        <v>32</v>
      </c>
      <c r="L8" s="191">
        <v>432</v>
      </c>
      <c r="N8" s="139">
        <f>SUMIFS(PAGOS!$E$3:$E$1048576,PAGOS!$A$3:$A$1048576,"&lt;&gt;INGRESO*",PAGOS!$A$3:$A$1048576,"&lt;&gt;EGRESO*",PAGOS!$D$3:$D$1048576,B8)</f>
        <v>400</v>
      </c>
      <c r="O8" s="139">
        <f t="shared" si="0"/>
        <v>0</v>
      </c>
      <c r="P8" s="139">
        <f>SUMIFS(PAGOS!$H$3:$H$1048576,PAGOS!$A$3:$A$1048576,"&lt;&gt;INGRESO*",PAGOS!$A$3:$A$1048576,"&lt;&gt;EGRESO*",PAGOS!$D$3:$D$1048576,B8)</f>
        <v>32</v>
      </c>
      <c r="Q8" s="139">
        <f t="shared" si="1"/>
        <v>0</v>
      </c>
    </row>
    <row r="9" spans="1:17" x14ac:dyDescent="0.3">
      <c r="A9" s="67" t="str">
        <v>0003</v>
      </c>
      <c r="B9" s="190">
        <v>32</v>
      </c>
      <c r="C9" s="67" t="s">
        <v>23</v>
      </c>
      <c r="D9" s="63">
        <v>45245</v>
      </c>
      <c r="E9" s="191">
        <v>250</v>
      </c>
      <c r="F9" s="67">
        <v>4</v>
      </c>
      <c r="G9" s="191">
        <v>62.5</v>
      </c>
      <c r="H9" s="191">
        <v>5</v>
      </c>
      <c r="I9" s="192">
        <v>67.5</v>
      </c>
      <c r="J9" s="191">
        <v>250</v>
      </c>
      <c r="K9" s="191">
        <v>20</v>
      </c>
      <c r="L9" s="191">
        <v>270</v>
      </c>
      <c r="N9" s="139">
        <f>SUMIFS(PAGOS!$E$3:$E$1048576,PAGOS!$A$3:$A$1048576,"&lt;&gt;INGRESO*",PAGOS!$A$3:$A$1048576,"&lt;&gt;EGRESO*",PAGOS!$D$3:$D$1048576,B9)</f>
        <v>250</v>
      </c>
      <c r="O9" s="139">
        <f t="shared" si="0"/>
        <v>0</v>
      </c>
      <c r="P9" s="139">
        <f>SUMIFS(PAGOS!$H$3:$H$1048576,PAGOS!$A$3:$A$1048576,"&lt;&gt;INGRESO*",PAGOS!$A$3:$A$1048576,"&lt;&gt;EGRESO*",PAGOS!$D$3:$D$1048576,B9)</f>
        <v>10</v>
      </c>
      <c r="Q9" s="139">
        <f t="shared" si="1"/>
        <v>10</v>
      </c>
    </row>
    <row r="10" spans="1:17" x14ac:dyDescent="0.3">
      <c r="A10" s="67" t="str">
        <v>0004</v>
      </c>
      <c r="B10" s="190">
        <v>33</v>
      </c>
      <c r="C10" s="67" t="s">
        <v>23</v>
      </c>
      <c r="D10" s="63">
        <v>45306</v>
      </c>
      <c r="E10" s="191">
        <v>500</v>
      </c>
      <c r="F10" s="67">
        <v>2</v>
      </c>
      <c r="G10" s="191">
        <v>250</v>
      </c>
      <c r="H10" s="191">
        <v>10</v>
      </c>
      <c r="I10" s="192">
        <v>260</v>
      </c>
      <c r="J10" s="191">
        <v>500</v>
      </c>
      <c r="K10" s="191">
        <v>20</v>
      </c>
      <c r="L10" s="191">
        <v>520</v>
      </c>
      <c r="N10" s="139">
        <f>SUMIFS(PAGOS!$E$3:$E$1048576,PAGOS!$A$3:$A$1048576,"&lt;&gt;INGRESO*",PAGOS!$A$3:$A$1048576,"&lt;&gt;EGRESO*",PAGOS!$D$3:$D$1048576,B10)</f>
        <v>500</v>
      </c>
      <c r="O10" s="139">
        <f t="shared" si="0"/>
        <v>0</v>
      </c>
      <c r="P10" s="139">
        <f>SUMIFS(PAGOS!$H$3:$H$1048576,PAGOS!$A$3:$A$1048576,"&lt;&gt;INGRESO*",PAGOS!$A$3:$A$1048576,"&lt;&gt;EGRESO*",PAGOS!$D$3:$D$1048576,B10)</f>
        <v>20</v>
      </c>
      <c r="Q10" s="139">
        <f t="shared" si="1"/>
        <v>0</v>
      </c>
    </row>
    <row r="11" spans="1:17" x14ac:dyDescent="0.3">
      <c r="A11" s="67" t="str">
        <v>0005</v>
      </c>
      <c r="B11" s="61" t="s">
        <v>222</v>
      </c>
      <c r="C11" s="67" t="s">
        <v>23</v>
      </c>
      <c r="D11" s="63">
        <v>45366</v>
      </c>
      <c r="E11" s="206">
        <v>400</v>
      </c>
      <c r="F11" s="67">
        <v>4</v>
      </c>
      <c r="G11" s="191">
        <v>100</v>
      </c>
      <c r="H11" s="191">
        <v>8</v>
      </c>
      <c r="I11" s="192">
        <v>108</v>
      </c>
      <c r="J11" s="191">
        <v>400</v>
      </c>
      <c r="K11" s="191">
        <v>32</v>
      </c>
      <c r="L11" s="206">
        <v>432</v>
      </c>
      <c r="N11" s="139">
        <f>SUMIFS(PAGOS!$E$3:$E$1048576,PAGOS!$A$3:$A$1048576,"&lt;&gt;INGRESO*",PAGOS!$A$3:$A$1048576,"&lt;&gt;EGRESO*",PAGOS!$D$3:$D$1048576,+MID('10'!B11,6,3)*1)</f>
        <v>400</v>
      </c>
      <c r="O11" s="139">
        <f t="shared" si="0"/>
        <v>0</v>
      </c>
      <c r="P11" s="139">
        <f>SUMIFS(PAGOS!$H$3:$H$1048576,PAGOS!$A$3:$A$1048576,"&lt;&gt;INGRESO*",PAGOS!$A$3:$A$1048576,"&lt;&gt;EGRESO*",PAGOS!$D$3:$D$1048576,+MID('10'!B11,6,3)*1)</f>
        <v>24</v>
      </c>
      <c r="Q11" s="139">
        <f t="shared" si="1"/>
        <v>8</v>
      </c>
    </row>
    <row r="12" spans="1:17" x14ac:dyDescent="0.3">
      <c r="A12" s="67" t="str">
        <v>0006</v>
      </c>
      <c r="B12" s="61" t="s">
        <v>236</v>
      </c>
      <c r="C12" s="67" t="s">
        <v>23</v>
      </c>
      <c r="D12" s="63">
        <v>45458</v>
      </c>
      <c r="E12" s="206">
        <v>700</v>
      </c>
      <c r="F12" s="67">
        <v>5</v>
      </c>
      <c r="G12" s="191">
        <v>140</v>
      </c>
      <c r="H12" s="191">
        <v>14</v>
      </c>
      <c r="I12" s="192">
        <v>154</v>
      </c>
      <c r="J12" s="191">
        <v>700</v>
      </c>
      <c r="K12" s="191">
        <v>70</v>
      </c>
      <c r="L12" s="206">
        <v>770</v>
      </c>
      <c r="N12" s="139">
        <f>SUMIFS(PAGOS!$E$3:$E$1048576,PAGOS!$A$3:$A$1048576,"&lt;&gt;INGRESO*",PAGOS!$A$3:$A$1048576,"&lt;&gt;EGRESO*",PAGOS!$D$3:$D$1048576,+MID('10'!B12,6,3)*1)</f>
        <v>700</v>
      </c>
      <c r="O12" s="139">
        <f t="shared" si="0"/>
        <v>0</v>
      </c>
      <c r="P12" s="139">
        <f>SUMIFS(PAGOS!$H$3:$H$1048576,PAGOS!$A$3:$A$1048576,"&lt;&gt;INGRESO*",PAGOS!$A$3:$A$1048576,"&lt;&gt;EGRESO*",PAGOS!$D$3:$D$1048576,+MID('10'!B12,6,3)*1)</f>
        <v>56</v>
      </c>
      <c r="Q12" s="139">
        <f t="shared" si="1"/>
        <v>14</v>
      </c>
    </row>
    <row r="13" spans="1:17" x14ac:dyDescent="0.3">
      <c r="A13" s="67" t="str">
        <v>0007</v>
      </c>
      <c r="B13" s="61" t="s">
        <v>276</v>
      </c>
      <c r="C13" s="67" t="s">
        <v>23</v>
      </c>
      <c r="D13" s="63">
        <v>45580</v>
      </c>
      <c r="E13" s="206">
        <v>500</v>
      </c>
      <c r="F13" s="67">
        <v>4</v>
      </c>
      <c r="G13" s="191">
        <v>125</v>
      </c>
      <c r="H13" s="191">
        <v>10</v>
      </c>
      <c r="I13" s="192">
        <v>135</v>
      </c>
      <c r="J13" s="191">
        <v>500</v>
      </c>
      <c r="K13" s="191">
        <v>40</v>
      </c>
      <c r="L13" s="206">
        <v>540</v>
      </c>
      <c r="N13" s="139">
        <f>SUMIFS(PAGOS!$E$3:$E$1048576,PAGOS!$A$3:$A$1048576,"&lt;&gt;INGRESO*",PAGOS!$A$3:$A$1048576,"&lt;&gt;EGRESO*",PAGOS!$D$3:$D$1048576,+MID('10'!B13,6,3)*1)</f>
        <v>500</v>
      </c>
      <c r="O13" s="139">
        <f t="shared" si="0"/>
        <v>0</v>
      </c>
      <c r="P13" s="139">
        <f>SUMIFS(PAGOS!$H$3:$H$1048576,PAGOS!$A$3:$A$1048576,"&lt;&gt;INGRESO*",PAGOS!$A$3:$A$1048576,"&lt;&gt;EGRESO*",PAGOS!$D$3:$D$1048576,+MID('10'!B13,6,3)*1)</f>
        <v>30</v>
      </c>
      <c r="Q13" s="139">
        <f t="shared" si="1"/>
        <v>10</v>
      </c>
    </row>
    <row r="14" spans="1:17" x14ac:dyDescent="0.3">
      <c r="A14" s="67" t="str">
        <v>0008</v>
      </c>
      <c r="B14" s="61" t="s">
        <v>365</v>
      </c>
      <c r="C14" s="67" t="s">
        <v>23</v>
      </c>
      <c r="D14" s="63">
        <v>45672</v>
      </c>
      <c r="E14" s="206">
        <v>700</v>
      </c>
      <c r="F14" s="67">
        <v>7</v>
      </c>
      <c r="G14" s="191">
        <v>100</v>
      </c>
      <c r="H14" s="191">
        <v>14</v>
      </c>
      <c r="I14" s="192">
        <v>114</v>
      </c>
      <c r="J14" s="191">
        <v>700</v>
      </c>
      <c r="K14" s="191">
        <v>98</v>
      </c>
      <c r="L14" s="191">
        <v>798</v>
      </c>
      <c r="N14" s="139">
        <f>SUMIFS(PAGOS!$E$3:$E$1048576,PAGOS!$A$3:$A$1048576,"&lt;&gt;INGRESO*",PAGOS!$A$3:$A$1048576,"&lt;&gt;EGRESO*",PAGOS!$D$3:$D$1048576,+MID('10'!B14,6,3)*1)</f>
        <v>0</v>
      </c>
      <c r="O14" s="139">
        <f t="shared" ref="O14" si="2">E14-N14</f>
        <v>700</v>
      </c>
      <c r="P14" s="139">
        <f>SUMIFS(PAGOS!$H$3:$H$1048576,PAGOS!$A$3:$A$1048576,"&lt;&gt;INGRESO*",PAGOS!$A$3:$A$1048576,"&lt;&gt;EGRESO*",PAGOS!$D$3:$D$1048576,+MID('10'!B14,6,3)*1)</f>
        <v>0</v>
      </c>
      <c r="Q14" s="139">
        <f t="shared" ref="Q14" si="3">K14-P14</f>
        <v>98</v>
      </c>
    </row>
    <row r="16" spans="1:17" x14ac:dyDescent="0.3">
      <c r="I16"/>
    </row>
    <row r="17" spans="9:9" x14ac:dyDescent="0.3">
      <c r="I17"/>
    </row>
    <row r="19" spans="9:9" x14ac:dyDescent="0.3">
      <c r="I19"/>
    </row>
    <row r="20" spans="9:9" x14ac:dyDescent="0.3">
      <c r="I20"/>
    </row>
    <row r="21" spans="9:9" x14ac:dyDescent="0.3">
      <c r="I21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21875" bestFit="1" customWidth="1"/>
    <col min="2" max="2" width="12" style="20" bestFit="1" customWidth="1"/>
    <col min="3" max="3" width="22.5546875" customWidth="1"/>
    <col min="4" max="4" width="11.109375" bestFit="1" customWidth="1"/>
    <col min="5" max="5" width="11.21875" customWidth="1"/>
    <col min="6" max="6" width="9.33203125" bestFit="1" customWidth="1"/>
    <col min="7" max="7" width="12" bestFit="1" customWidth="1"/>
    <col min="8" max="8" width="7.88671875" bestFit="1" customWidth="1"/>
    <col min="9" max="9" width="8.6640625" style="158" customWidth="1"/>
    <col min="10" max="10" width="13.6640625" bestFit="1" customWidth="1"/>
    <col min="11" max="12" width="11.109375" bestFit="1" customWidth="1"/>
    <col min="14" max="16" width="11.109375" bestFit="1" customWidth="1"/>
    <col min="17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1150</v>
      </c>
      <c r="H3" s="161" t="s">
        <v>196</v>
      </c>
      <c r="I3" s="179">
        <f>SUM($P$7:$P$1048576)</f>
        <v>155</v>
      </c>
      <c r="J3" s="161" t="s">
        <v>197</v>
      </c>
      <c r="K3" s="180">
        <f>G3+I3</f>
        <v>1305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10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2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10">"000"&amp;_xlfn.SEQUENCE(COUNTA(C7:C1048576))</f>
        <v>0001</v>
      </c>
      <c r="B7" s="190">
        <v>9</v>
      </c>
      <c r="C7" s="67" t="s">
        <v>24</v>
      </c>
      <c r="D7" s="63">
        <v>44941</v>
      </c>
      <c r="E7" s="191">
        <v>250</v>
      </c>
      <c r="F7" s="67">
        <v>3</v>
      </c>
      <c r="G7" s="191">
        <v>83.333333333333329</v>
      </c>
      <c r="H7" s="191">
        <v>5</v>
      </c>
      <c r="I7" s="192">
        <v>88.33</v>
      </c>
      <c r="J7" s="191">
        <v>250</v>
      </c>
      <c r="K7" s="191">
        <v>15</v>
      </c>
      <c r="L7" s="191">
        <v>265</v>
      </c>
      <c r="N7" s="139">
        <f>SUMIFS(PAGOS!$E$3:$E$1048576,PAGOS!$A$3:$A$1048576,"&lt;&gt;INGRESO*",PAGOS!$A$3:$A$1048576,"&lt;&gt;EGRESO*",PAGOS!$D$3:$D$1048576,B7)</f>
        <v>249.99</v>
      </c>
      <c r="O7" s="139">
        <f>E7-N7</f>
        <v>9.9999999999909051E-3</v>
      </c>
      <c r="P7" s="139">
        <f>SUMIFS(PAGOS!$H$3:$H$1048576,PAGOS!$A$3:$A$1048576,"&lt;&gt;INGRESO*",PAGOS!$A$3:$A$1048576,"&lt;&gt;EGRESO*",PAGOS!$D$3:$D$1048576,B7)</f>
        <v>15</v>
      </c>
      <c r="Q7" s="139">
        <f>K7-P7</f>
        <v>0</v>
      </c>
    </row>
    <row r="8" spans="1:17" x14ac:dyDescent="0.3">
      <c r="A8" s="67" t="str">
        <v>0002</v>
      </c>
      <c r="B8" s="190">
        <v>20</v>
      </c>
      <c r="C8" s="67" t="s">
        <v>24</v>
      </c>
      <c r="D8" s="63">
        <v>45092</v>
      </c>
      <c r="E8" s="191">
        <v>200</v>
      </c>
      <c r="F8" s="67">
        <v>4</v>
      </c>
      <c r="G8" s="191">
        <v>50</v>
      </c>
      <c r="H8" s="191">
        <v>4</v>
      </c>
      <c r="I8" s="192">
        <v>54</v>
      </c>
      <c r="J8" s="191">
        <v>200</v>
      </c>
      <c r="K8" s="191">
        <v>16</v>
      </c>
      <c r="L8" s="191">
        <v>216</v>
      </c>
      <c r="N8" s="139">
        <f>SUMIFS(PAGOS!$E$3:$E$1048576,PAGOS!$A$3:$A$1048576,"&lt;&gt;INGRESO*",PAGOS!$A$3:$A$1048576,"&lt;&gt;EGRESO*",PAGOS!$D$3:$D$1048576,B8)</f>
        <v>200</v>
      </c>
      <c r="O8" s="139">
        <f t="shared" ref="O8:O10" si="0">E8-N8</f>
        <v>0</v>
      </c>
      <c r="P8" s="139">
        <f>SUMIFS(PAGOS!$H$3:$H$1048576,PAGOS!$A$3:$A$1048576,"&lt;&gt;INGRESO*",PAGOS!$A$3:$A$1048576,"&lt;&gt;EGRESO*",PAGOS!$D$3:$D$1048576,B8)</f>
        <v>16</v>
      </c>
      <c r="Q8" s="139">
        <f t="shared" ref="Q8:Q10" si="1">K8-P8</f>
        <v>0</v>
      </c>
    </row>
    <row r="9" spans="1:17" x14ac:dyDescent="0.3">
      <c r="A9" s="67" t="str">
        <v>0003</v>
      </c>
      <c r="B9" s="190">
        <v>34</v>
      </c>
      <c r="C9" s="67" t="s">
        <v>24</v>
      </c>
      <c r="D9" s="63">
        <v>45311</v>
      </c>
      <c r="E9" s="191">
        <v>100</v>
      </c>
      <c r="F9" s="67">
        <v>5</v>
      </c>
      <c r="G9" s="191">
        <v>20</v>
      </c>
      <c r="H9" s="191">
        <v>2</v>
      </c>
      <c r="I9" s="192">
        <v>22</v>
      </c>
      <c r="J9" s="191">
        <v>100</v>
      </c>
      <c r="K9" s="191">
        <v>10</v>
      </c>
      <c r="L9" s="191">
        <v>110</v>
      </c>
      <c r="N9" s="139">
        <f>SUMIFS(PAGOS!$E$3:$E$1048576,PAGOS!$A$3:$A$1048576,"&lt;&gt;INGRESO*",PAGOS!$A$3:$A$1048576,"&lt;&gt;EGRESO*",PAGOS!$D$3:$D$1048576,B9)</f>
        <v>100</v>
      </c>
      <c r="O9" s="139">
        <f t="shared" si="0"/>
        <v>0</v>
      </c>
      <c r="P9" s="139">
        <f>SUMIFS(PAGOS!$H$3:$H$1048576,PAGOS!$A$3:$A$1048576,"&lt;&gt;INGRESO*",PAGOS!$A$3:$A$1048576,"&lt;&gt;EGRESO*",PAGOS!$D$3:$D$1048576,B9)</f>
        <v>4</v>
      </c>
      <c r="Q9" s="139">
        <f t="shared" si="1"/>
        <v>6</v>
      </c>
    </row>
    <row r="10" spans="1:17" x14ac:dyDescent="0.3">
      <c r="A10" s="67" t="str">
        <v>0004</v>
      </c>
      <c r="B10" s="61" t="s">
        <v>220</v>
      </c>
      <c r="C10" s="67" t="s">
        <v>24</v>
      </c>
      <c r="D10" s="63">
        <v>45366</v>
      </c>
      <c r="E10" s="206">
        <v>600</v>
      </c>
      <c r="F10" s="67">
        <v>12</v>
      </c>
      <c r="G10" s="191">
        <v>50</v>
      </c>
      <c r="H10" s="191">
        <v>12</v>
      </c>
      <c r="I10" s="192">
        <v>62</v>
      </c>
      <c r="J10" s="191">
        <v>600</v>
      </c>
      <c r="K10" s="191">
        <v>144</v>
      </c>
      <c r="L10" s="191">
        <v>744</v>
      </c>
      <c r="N10" s="139">
        <f>SUMIFS(PAGOS!$E$3:$E$1048576,PAGOS!$A$3:$A$1048576,"&lt;&gt;INGRESO*",PAGOS!$A$3:$A$1048576,"&lt;&gt;EGRESO*",PAGOS!$D$3:$D$1048576,+MID('11'!B10,6,3)*1)</f>
        <v>500</v>
      </c>
      <c r="O10" s="139">
        <f t="shared" si="0"/>
        <v>100</v>
      </c>
      <c r="P10" s="139">
        <f>SUMIFS(PAGOS!$H$3:$H$1048576,PAGOS!$A$3:$A$1048576,"&lt;&gt;INGRESO*",PAGOS!$A$3:$A$1048576,"&lt;&gt;EGRESO*",PAGOS!$D$3:$D$1048576,+MID('11'!B10,6,3)*1)</f>
        <v>120</v>
      </c>
      <c r="Q10" s="139">
        <f t="shared" si="1"/>
        <v>24</v>
      </c>
    </row>
    <row r="16" spans="1:17" x14ac:dyDescent="0.3">
      <c r="I16"/>
    </row>
    <row r="17" spans="9:9" x14ac:dyDescent="0.3"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18"/>
  <sheetViews>
    <sheetView zoomScaleNormal="100" workbookViewId="0">
      <selection activeCell="L10" sqref="L10"/>
    </sheetView>
  </sheetViews>
  <sheetFormatPr baseColWidth="10" defaultColWidth="11.5546875" defaultRowHeight="14.4" x14ac:dyDescent="0.3"/>
  <cols>
    <col min="1" max="1" width="14.21875" bestFit="1" customWidth="1"/>
    <col min="2" max="2" width="12" style="20" bestFit="1" customWidth="1"/>
    <col min="3" max="3" width="21.21875" customWidth="1"/>
    <col min="4" max="4" width="10.5546875" bestFit="1" customWidth="1"/>
    <col min="5" max="5" width="10.5546875" customWidth="1"/>
    <col min="6" max="6" width="9.21875" bestFit="1" customWidth="1"/>
    <col min="7" max="7" width="9.33203125" bestFit="1" customWidth="1"/>
    <col min="8" max="8" width="7.77734375" bestFit="1" customWidth="1"/>
    <col min="9" max="9" width="7.88671875" style="158" customWidth="1"/>
    <col min="10" max="10" width="8.4414062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1280</v>
      </c>
      <c r="H3" s="161" t="s">
        <v>196</v>
      </c>
      <c r="I3" s="179">
        <f>SUM($P$7:$P$1048576)</f>
        <v>94.6</v>
      </c>
      <c r="J3" s="161" t="s">
        <v>197</v>
      </c>
      <c r="K3" s="180">
        <f>G3+I3</f>
        <v>1374.6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11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2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12">"000"&amp;_xlfn.SEQUENCE(COUNTA(C7:C1048576))</f>
        <v>0001</v>
      </c>
      <c r="B7" s="190">
        <v>4</v>
      </c>
      <c r="C7" s="67" t="s">
        <v>25</v>
      </c>
      <c r="D7" s="63">
        <v>44910</v>
      </c>
      <c r="E7" s="191">
        <v>200</v>
      </c>
      <c r="F7" s="67">
        <v>2</v>
      </c>
      <c r="G7" s="191">
        <v>100</v>
      </c>
      <c r="H7" s="191">
        <v>4</v>
      </c>
      <c r="I7" s="192">
        <v>104</v>
      </c>
      <c r="J7" s="191">
        <v>200</v>
      </c>
      <c r="K7" s="191">
        <v>8</v>
      </c>
      <c r="L7" s="191">
        <v>208</v>
      </c>
      <c r="N7" s="139">
        <f>SUMIFS(PAGOS!$E$3:$E$1048576,PAGOS!$A$3:$A$1048576,"&lt;&gt;INGRESO*",PAGOS!$A$3:$A$1048576,"&lt;&gt;EGRESO*",PAGOS!$D$3:$D$1048576,B7)</f>
        <v>200</v>
      </c>
      <c r="O7" s="139">
        <f>E7-N7</f>
        <v>0</v>
      </c>
      <c r="P7" s="139">
        <f>SUMIFS(PAGOS!$H$3:$H$1048576,PAGOS!$A$3:$A$1048576,"&lt;&gt;INGRESO*",PAGOS!$A$3:$A$1048576,"&lt;&gt;EGRESO*",PAGOS!$D$3:$D$1048576,B7)</f>
        <v>8</v>
      </c>
      <c r="Q7" s="139">
        <f>K7-P7</f>
        <v>0</v>
      </c>
    </row>
    <row r="8" spans="1:17" x14ac:dyDescent="0.3">
      <c r="A8" s="67" t="str">
        <v>0002</v>
      </c>
      <c r="B8" s="190">
        <v>29</v>
      </c>
      <c r="C8" s="67" t="s">
        <v>25</v>
      </c>
      <c r="D8" s="63">
        <v>45214</v>
      </c>
      <c r="E8" s="191">
        <v>200</v>
      </c>
      <c r="F8" s="67">
        <v>4</v>
      </c>
      <c r="G8" s="191">
        <v>50</v>
      </c>
      <c r="H8" s="191">
        <v>4</v>
      </c>
      <c r="I8" s="192">
        <v>54</v>
      </c>
      <c r="J8" s="191">
        <v>200</v>
      </c>
      <c r="K8" s="191">
        <v>16</v>
      </c>
      <c r="L8" s="191">
        <v>216</v>
      </c>
      <c r="N8" s="139">
        <f>SUMIFS(PAGOS!$E$3:$E$1048576,PAGOS!$A$3:$A$1048576,"&lt;&gt;INGRESO*",PAGOS!$A$3:$A$1048576,"&lt;&gt;EGRESO*",PAGOS!$D$3:$D$1048576,B8)</f>
        <v>200</v>
      </c>
      <c r="O8" s="139">
        <f t="shared" ref="O8:O10" si="0">E8-N8</f>
        <v>0</v>
      </c>
      <c r="P8" s="139">
        <f>SUMIFS(PAGOS!$H$3:$H$1048576,PAGOS!$A$3:$A$1048576,"&lt;&gt;INGRESO*",PAGOS!$A$3:$A$1048576,"&lt;&gt;EGRESO*",PAGOS!$D$3:$D$1048576,B8)</f>
        <v>16</v>
      </c>
      <c r="Q8" s="139">
        <f t="shared" ref="Q8:Q10" si="1">K8-P8</f>
        <v>0</v>
      </c>
    </row>
    <row r="9" spans="1:17" x14ac:dyDescent="0.3">
      <c r="A9" s="67" t="str">
        <v>0003</v>
      </c>
      <c r="B9" s="61" t="s">
        <v>225</v>
      </c>
      <c r="C9" s="67" t="s">
        <v>25</v>
      </c>
      <c r="D9" s="63">
        <v>45397</v>
      </c>
      <c r="E9" s="206">
        <v>150</v>
      </c>
      <c r="F9" s="67">
        <v>3</v>
      </c>
      <c r="G9" s="65">
        <v>50</v>
      </c>
      <c r="H9" s="65">
        <v>3</v>
      </c>
      <c r="I9" s="259">
        <v>53</v>
      </c>
      <c r="J9" s="65">
        <v>150</v>
      </c>
      <c r="K9" s="65">
        <v>9</v>
      </c>
      <c r="L9" s="206">
        <v>159</v>
      </c>
      <c r="N9" s="139">
        <f>SUMIFS(PAGOS!$E$3:$E$1048576,PAGOS!$A$3:$A$1048576,"&lt;&gt;INGRESO*",PAGOS!$A$3:$A$1048576,"&lt;&gt;EGRESO*",PAGOS!$D$3:$D$1048576,+MID('12'!B9,6,3)*1)</f>
        <v>150</v>
      </c>
      <c r="O9" s="139">
        <f t="shared" si="0"/>
        <v>0</v>
      </c>
      <c r="P9" s="139">
        <f>SUMIFS(PAGOS!$H$3:$H$1048576,PAGOS!$A$3:$A$1048576,"&lt;&gt;INGRESO*",PAGOS!$A$3:$A$1048576,"&lt;&gt;EGRESO*",PAGOS!$D$3:$D$1048576,+MID('12'!B9,6,3)*1)</f>
        <v>9</v>
      </c>
      <c r="Q9" s="139">
        <f t="shared" si="1"/>
        <v>0</v>
      </c>
    </row>
    <row r="10" spans="1:17" x14ac:dyDescent="0.3">
      <c r="A10" s="67" t="str">
        <v>0004</v>
      </c>
      <c r="B10" s="61" t="s">
        <v>249</v>
      </c>
      <c r="C10" s="67" t="s">
        <v>25</v>
      </c>
      <c r="D10" s="63">
        <v>45488</v>
      </c>
      <c r="E10" s="206">
        <v>500</v>
      </c>
      <c r="F10" s="67">
        <v>12</v>
      </c>
      <c r="G10" s="65">
        <v>41.666666666666664</v>
      </c>
      <c r="H10" s="65">
        <v>10</v>
      </c>
      <c r="I10" s="192">
        <v>51.666666666666664</v>
      </c>
      <c r="J10" s="191">
        <v>500</v>
      </c>
      <c r="K10" s="191">
        <v>120</v>
      </c>
      <c r="L10" s="206">
        <v>620</v>
      </c>
      <c r="N10" s="139">
        <f>SUMIFS(PAGOS!$E$3:$E$1048576,PAGOS!$A$3:$A$1048576,"&lt;&gt;INGRESO*",PAGOS!$A$3:$A$1048576,"&lt;&gt;EGRESO*",PAGOS!$D$3:$D$1048576,+MID('12'!B10,6,3)*1)</f>
        <v>250.02000000000004</v>
      </c>
      <c r="O10" s="139">
        <f t="shared" si="0"/>
        <v>249.97999999999996</v>
      </c>
      <c r="P10" s="139">
        <f>SUMIFS(PAGOS!$H$3:$H$1048576,PAGOS!$A$3:$A$1048576,"&lt;&gt;INGRESO*",PAGOS!$A$3:$A$1048576,"&lt;&gt;EGRESO*",PAGOS!$D$3:$D$1048576,+MID('12'!B10,6,3)*1)</f>
        <v>60</v>
      </c>
      <c r="Q10" s="139">
        <f t="shared" si="1"/>
        <v>60</v>
      </c>
    </row>
    <row r="11" spans="1:17" x14ac:dyDescent="0.3">
      <c r="A11" s="67" t="str">
        <v>0005</v>
      </c>
      <c r="B11" s="67" t="s">
        <v>348</v>
      </c>
      <c r="C11" s="67" t="s">
        <v>347</v>
      </c>
      <c r="D11" s="63">
        <v>45643</v>
      </c>
      <c r="E11" s="206">
        <v>80</v>
      </c>
      <c r="F11" s="67">
        <v>1</v>
      </c>
      <c r="G11" s="65">
        <v>80</v>
      </c>
      <c r="H11" s="65">
        <v>1.6</v>
      </c>
      <c r="I11" s="192">
        <v>81.599999999999994</v>
      </c>
      <c r="J11" s="191">
        <v>80</v>
      </c>
      <c r="K11" s="191">
        <v>1.6</v>
      </c>
      <c r="L11" s="206">
        <v>81.599999999999994</v>
      </c>
      <c r="N11" s="139">
        <f>SUMIFS(PAGOS!$E$3:$E$1048576,PAGOS!$A$3:$A$1048576,"&lt;&gt;INGRESO*",PAGOS!$A$3:$A$1048576,"&lt;&gt;EGRESO*",PAGOS!$D$3:$D$1048576,+MID('12'!B11,6,3)*1)</f>
        <v>80</v>
      </c>
      <c r="O11" s="139">
        <f t="shared" ref="O11" si="2">E11-N11</f>
        <v>0</v>
      </c>
      <c r="P11" s="139">
        <f>SUMIFS(PAGOS!$H$3:$H$1048576,PAGOS!$A$3:$A$1048576,"&lt;&gt;INGRESO*",PAGOS!$A$3:$A$1048576,"&lt;&gt;EGRESO*",PAGOS!$D$3:$D$1048576,+MID('12'!B11,6,3)*1)</f>
        <v>1.6</v>
      </c>
      <c r="Q11" s="139">
        <f t="shared" ref="Q11" si="3">K11-P11</f>
        <v>0</v>
      </c>
    </row>
    <row r="12" spans="1:17" x14ac:dyDescent="0.3">
      <c r="A12" s="67" t="str">
        <v>0006</v>
      </c>
      <c r="B12" s="61" t="s">
        <v>368</v>
      </c>
      <c r="C12" s="67" t="s">
        <v>367</v>
      </c>
      <c r="D12" s="63">
        <v>45676</v>
      </c>
      <c r="E12" s="206">
        <v>150</v>
      </c>
      <c r="F12" s="67">
        <v>2</v>
      </c>
      <c r="G12" s="65">
        <v>75</v>
      </c>
      <c r="H12" s="65">
        <v>3</v>
      </c>
      <c r="I12" s="192">
        <v>78</v>
      </c>
      <c r="J12" s="191">
        <v>150</v>
      </c>
      <c r="K12" s="191">
        <v>6</v>
      </c>
      <c r="L12" s="206">
        <v>156</v>
      </c>
      <c r="N12" s="139">
        <f>SUMIFS(PAGOS!$E$3:$E$1048576,PAGOS!$A$3:$A$1048576,"&lt;&gt;INGRESO*",PAGOS!$A$3:$A$1048576,"&lt;&gt;EGRESO*",PAGOS!$D$3:$D$1048576,+MID('12'!B12,6,3)*1)</f>
        <v>0</v>
      </c>
      <c r="O12" s="139">
        <f t="shared" ref="O12" si="4">E12-N12</f>
        <v>150</v>
      </c>
      <c r="P12" s="139">
        <f>SUMIFS(PAGOS!$H$3:$H$1048576,PAGOS!$A$3:$A$1048576,"&lt;&gt;INGRESO*",PAGOS!$A$3:$A$1048576,"&lt;&gt;EGRESO*",PAGOS!$D$3:$D$1048576,+MID('12'!B12,6,3)*1)</f>
        <v>0</v>
      </c>
      <c r="Q12" s="139">
        <f t="shared" ref="Q12" si="5">K12-P12</f>
        <v>6</v>
      </c>
    </row>
    <row r="16" spans="1:17" x14ac:dyDescent="0.3">
      <c r="I16"/>
    </row>
    <row r="17" spans="9:9" x14ac:dyDescent="0.3">
      <c r="I17"/>
    </row>
    <row r="18" spans="9:9" x14ac:dyDescent="0.3">
      <c r="I18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8" fitToHeight="0" orientation="landscape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/>
  </sheetViews>
  <sheetFormatPr baseColWidth="10" defaultColWidth="11.5546875" defaultRowHeight="14.4" x14ac:dyDescent="0.3"/>
  <cols>
    <col min="1" max="1" width="14.21875" bestFit="1" customWidth="1"/>
    <col min="2" max="2" width="12" style="20" bestFit="1" customWidth="1"/>
    <col min="3" max="3" width="18.77734375" customWidth="1"/>
    <col min="4" max="4" width="11.109375" bestFit="1" customWidth="1"/>
    <col min="5" max="5" width="11.21875" customWidth="1"/>
    <col min="6" max="6" width="9.33203125" bestFit="1" customWidth="1"/>
    <col min="7" max="7" width="10.109375" bestFit="1" customWidth="1"/>
    <col min="8" max="8" width="7.88671875" bestFit="1" customWidth="1"/>
    <col min="9" max="9" width="8.33203125" style="158" customWidth="1"/>
    <col min="10" max="10" width="13.6640625" bestFit="1" customWidth="1"/>
    <col min="11" max="12" width="11.109375" bestFit="1" customWidth="1"/>
    <col min="14" max="17" width="11.109375" bestFit="1" customWidth="1"/>
  </cols>
  <sheetData>
    <row r="1" spans="1:17" x14ac:dyDescent="0.3">
      <c r="I1"/>
    </row>
    <row r="2" spans="1:17" x14ac:dyDescent="0.3">
      <c r="A2" t="s">
        <v>193</v>
      </c>
      <c r="D2" s="176" t="s">
        <v>199</v>
      </c>
      <c r="E2" s="177"/>
      <c r="F2" s="177"/>
      <c r="G2" s="177"/>
      <c r="H2" s="177"/>
      <c r="I2" s="177"/>
      <c r="J2" s="177"/>
      <c r="K2" s="178"/>
    </row>
    <row r="3" spans="1:17" x14ac:dyDescent="0.3">
      <c r="D3" s="161" t="s">
        <v>194</v>
      </c>
      <c r="E3" s="181"/>
      <c r="F3" s="161" t="s">
        <v>195</v>
      </c>
      <c r="G3" s="179">
        <f>SUM(E7:E1048576)</f>
        <v>2080</v>
      </c>
      <c r="H3" s="161" t="s">
        <v>196</v>
      </c>
      <c r="I3" s="179">
        <f>SUM($P$7:$P$1048576)</f>
        <v>121.6</v>
      </c>
      <c r="J3" s="161" t="s">
        <v>197</v>
      </c>
      <c r="K3" s="180">
        <f>G3+I3</f>
        <v>2201.6</v>
      </c>
    </row>
    <row r="4" spans="1:17" x14ac:dyDescent="0.3">
      <c r="I4"/>
    </row>
    <row r="5" spans="1:17" x14ac:dyDescent="0.3">
      <c r="C5" s="15" t="s">
        <v>47</v>
      </c>
      <c r="G5" s="15" t="s">
        <v>49</v>
      </c>
      <c r="H5" s="16" t="s">
        <v>12</v>
      </c>
      <c r="I5"/>
      <c r="N5" s="104" t="s">
        <v>294</v>
      </c>
      <c r="O5" s="105"/>
      <c r="P5" s="105"/>
      <c r="Q5" s="105"/>
    </row>
    <row r="6" spans="1:17" x14ac:dyDescent="0.3">
      <c r="A6" s="17" t="s">
        <v>48</v>
      </c>
      <c r="B6" s="182" t="s">
        <v>198</v>
      </c>
      <c r="C6" s="18" t="s">
        <v>13</v>
      </c>
      <c r="D6" s="18" t="s">
        <v>50</v>
      </c>
      <c r="E6" s="18" t="s">
        <v>60</v>
      </c>
      <c r="F6" s="18" t="s">
        <v>61</v>
      </c>
      <c r="G6" s="18" t="s">
        <v>51</v>
      </c>
      <c r="H6" s="18" t="s">
        <v>34</v>
      </c>
      <c r="I6" s="38" t="s">
        <v>62</v>
      </c>
      <c r="J6" s="18" t="s">
        <v>63</v>
      </c>
      <c r="K6" s="19" t="s">
        <v>55</v>
      </c>
      <c r="L6" s="39" t="s">
        <v>46</v>
      </c>
      <c r="N6" s="39" t="s">
        <v>291</v>
      </c>
      <c r="O6" s="39" t="s">
        <v>292</v>
      </c>
      <c r="P6" s="39" t="s">
        <v>293</v>
      </c>
      <c r="Q6" s="39" t="s">
        <v>292</v>
      </c>
    </row>
    <row r="7" spans="1:17" x14ac:dyDescent="0.3">
      <c r="A7" s="67" t="str" cm="1">
        <f t="array" ref="A7:A10">"000"&amp;_xlfn.SEQUENCE(COUNTA(C7:C1048576))</f>
        <v>0001</v>
      </c>
      <c r="B7" s="190">
        <v>14</v>
      </c>
      <c r="C7" s="67" t="s">
        <v>26</v>
      </c>
      <c r="D7" s="63">
        <v>45000</v>
      </c>
      <c r="E7" s="191">
        <v>80</v>
      </c>
      <c r="F7" s="67">
        <v>1</v>
      </c>
      <c r="G7" s="191">
        <v>80</v>
      </c>
      <c r="H7" s="191">
        <v>1.6</v>
      </c>
      <c r="I7" s="192">
        <v>81.599999999999994</v>
      </c>
      <c r="J7" s="191">
        <v>80</v>
      </c>
      <c r="K7" s="191">
        <v>1.6</v>
      </c>
      <c r="L7" s="191">
        <v>81.599999999999994</v>
      </c>
      <c r="N7" s="139">
        <f>SUMIFS(PAGOS!$E$3:$E$1048576,PAGOS!$A$3:$A$1048576,"&lt;&gt;INGRESO*",PAGOS!$A$3:$A$1048576,"&lt;&gt;EGRESO*",PAGOS!$D$3:$D$1048576,B7)</f>
        <v>80</v>
      </c>
      <c r="O7" s="139">
        <f>E7-N7</f>
        <v>0</v>
      </c>
      <c r="P7" s="139">
        <f>SUMIFS(PAGOS!$H$3:$H$1048576,PAGOS!$A$3:$A$1048576,"&lt;&gt;INGRESO*",PAGOS!$A$3:$A$1048576,"&lt;&gt;EGRESO*",PAGOS!$D$3:$D$1048576,B7)</f>
        <v>1.6</v>
      </c>
      <c r="Q7" s="139">
        <f>K7-P7</f>
        <v>0</v>
      </c>
    </row>
    <row r="8" spans="1:17" x14ac:dyDescent="0.3">
      <c r="A8" s="67" t="str">
        <v>0002</v>
      </c>
      <c r="B8" s="190">
        <v>25</v>
      </c>
      <c r="C8" s="67" t="s">
        <v>26</v>
      </c>
      <c r="D8" s="63">
        <v>45184</v>
      </c>
      <c r="E8" s="191">
        <v>500</v>
      </c>
      <c r="F8" s="67">
        <v>6</v>
      </c>
      <c r="G8" s="191">
        <v>83.333333333333329</v>
      </c>
      <c r="H8" s="191">
        <v>10</v>
      </c>
      <c r="I8" s="192">
        <v>93.333333333333329</v>
      </c>
      <c r="J8" s="191">
        <v>500</v>
      </c>
      <c r="K8" s="191">
        <v>60</v>
      </c>
      <c r="L8" s="191">
        <v>560</v>
      </c>
      <c r="N8" s="139">
        <f>SUMIFS(PAGOS!$E$3:$E$1048576,PAGOS!$A$3:$A$1048576,"&lt;&gt;INGRESO*",PAGOS!$A$3:$A$1048576,"&lt;&gt;EGRESO*",PAGOS!$D$3:$D$1048576,B8)</f>
        <v>500</v>
      </c>
      <c r="O8" s="139">
        <f t="shared" ref="O8:O9" si="0">E8-N8</f>
        <v>0</v>
      </c>
      <c r="P8" s="139">
        <f>SUMIFS(PAGOS!$H$3:$H$1048576,PAGOS!$A$3:$A$1048576,"&lt;&gt;INGRESO*",PAGOS!$A$3:$A$1048576,"&lt;&gt;EGRESO*",PAGOS!$D$3:$D$1048576,B8)</f>
        <v>60</v>
      </c>
      <c r="Q8" s="139">
        <f t="shared" ref="Q8:Q9" si="1">K8-P8</f>
        <v>0</v>
      </c>
    </row>
    <row r="9" spans="1:17" x14ac:dyDescent="0.3">
      <c r="A9" s="67" t="str">
        <v>0003</v>
      </c>
      <c r="B9" s="61" t="s">
        <v>248</v>
      </c>
      <c r="C9" s="67" t="s">
        <v>26</v>
      </c>
      <c r="D9" s="63">
        <v>45488</v>
      </c>
      <c r="E9" s="206">
        <v>500</v>
      </c>
      <c r="F9" s="67">
        <v>5</v>
      </c>
      <c r="G9" s="191">
        <v>100</v>
      </c>
      <c r="H9" s="191">
        <v>10</v>
      </c>
      <c r="I9" s="192">
        <v>110</v>
      </c>
      <c r="J9" s="191">
        <v>500</v>
      </c>
      <c r="K9" s="191">
        <v>50</v>
      </c>
      <c r="L9" s="191">
        <v>550</v>
      </c>
      <c r="N9" s="139">
        <f>SUMIFS(PAGOS!$E$3:$E$1048576,PAGOS!$A$3:$A$1048576,"&lt;&gt;INGRESO*",PAGOS!$A$3:$A$1048576,"&lt;&gt;EGRESO*",PAGOS!$D$3:$D$1048576,+MID('13'!B9,6,3)*1)</f>
        <v>500</v>
      </c>
      <c r="O9" s="139">
        <f t="shared" si="0"/>
        <v>0</v>
      </c>
      <c r="P9" s="139">
        <f>SUMIFS(PAGOS!$H$3:$H$1048576,PAGOS!$A$3:$A$1048576,"&lt;&gt;INGRESO*",PAGOS!$A$3:$A$1048576,"&lt;&gt;EGRESO*",PAGOS!$D$3:$D$1048576,+MID('13'!B9,6,3)*1)</f>
        <v>40</v>
      </c>
      <c r="Q9" s="139">
        <f t="shared" si="1"/>
        <v>10</v>
      </c>
    </row>
    <row r="10" spans="1:17" x14ac:dyDescent="0.3">
      <c r="A10" s="67" t="str">
        <v>0004</v>
      </c>
      <c r="B10" s="61" t="s">
        <v>338</v>
      </c>
      <c r="C10" s="67" t="s">
        <v>26</v>
      </c>
      <c r="D10" s="63">
        <v>45641</v>
      </c>
      <c r="E10" s="206">
        <v>1000</v>
      </c>
      <c r="F10" s="67">
        <v>10</v>
      </c>
      <c r="G10" s="191">
        <v>100</v>
      </c>
      <c r="H10" s="191">
        <v>20</v>
      </c>
      <c r="I10" s="192">
        <v>120</v>
      </c>
      <c r="J10" s="191">
        <v>1000</v>
      </c>
      <c r="K10" s="191">
        <v>200</v>
      </c>
      <c r="L10" s="191">
        <v>1200</v>
      </c>
      <c r="N10" s="139">
        <f>SUMIFS(PAGOS!$E$3:$E$1048576,PAGOS!$A$3:$A$1048576,"&lt;&gt;INGRESO*",PAGOS!$A$3:$A$1048576,"&lt;&gt;EGRESO*",PAGOS!$D$3:$D$1048576,+MID('13'!B10,6,3)*1)</f>
        <v>100</v>
      </c>
      <c r="O10" s="139">
        <f t="shared" ref="O10" si="2">E10-N10</f>
        <v>900</v>
      </c>
      <c r="P10" s="139">
        <f>SUMIFS(PAGOS!$H$3:$H$1048576,PAGOS!$A$3:$A$1048576,"&lt;&gt;INGRESO*",PAGOS!$A$3:$A$1048576,"&lt;&gt;EGRESO*",PAGOS!$D$3:$D$1048576,+MID('13'!B10,6,3)*1)</f>
        <v>20</v>
      </c>
      <c r="Q10" s="139">
        <f t="shared" ref="Q10" si="3">K10-P10</f>
        <v>180</v>
      </c>
    </row>
    <row r="12" spans="1:17" x14ac:dyDescent="0.3">
      <c r="I12"/>
    </row>
    <row r="13" spans="1:17" x14ac:dyDescent="0.3">
      <c r="I13"/>
    </row>
    <row r="14" spans="1:17" x14ac:dyDescent="0.3">
      <c r="I14"/>
    </row>
    <row r="16" spans="1:17" x14ac:dyDescent="0.3">
      <c r="I16"/>
    </row>
    <row r="17" spans="9:9" x14ac:dyDescent="0.3">
      <c r="I17"/>
    </row>
    <row r="27" spans="9:9" x14ac:dyDescent="0.3">
      <c r="I27"/>
    </row>
    <row r="28" spans="9:9" x14ac:dyDescent="0.3">
      <c r="I28"/>
    </row>
  </sheetData>
  <pageMargins left="0.7" right="0.7" top="0.75" bottom="0.75" header="0.3" footer="0.3"/>
  <pageSetup paperSize="9" scale="9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17</vt:i4>
      </vt:variant>
    </vt:vector>
  </HeadingPairs>
  <TitlesOfParts>
    <vt:vector size="41" baseType="lpstr">
      <vt:lpstr>LINEAMIENTOS</vt:lpstr>
      <vt:lpstr>SOCIOS</vt:lpstr>
      <vt:lpstr>REGISTRO</vt:lpstr>
      <vt:lpstr>PRESTAMOS</vt:lpstr>
      <vt:lpstr>PAGOS</vt:lpstr>
      <vt:lpstr>REPORTE</vt:lpstr>
      <vt:lpstr>ESTADO</vt:lpstr>
      <vt:lpstr>HISTORIAL E.R</vt:lpstr>
      <vt:lpstr>HISTORIAL E.R (2)</vt:lpstr>
      <vt:lpstr>Tabla Amortización</vt:lpstr>
      <vt:lpstr>Hoja2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PRESTAMOS!Área_de_extracción</vt:lpstr>
      <vt:lpstr>'01'!Área_de_impresión</vt:lpstr>
      <vt:lpstr>'02'!Área_de_impresión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'Tabla Amortización'!Área_de_impresión</vt:lpstr>
      <vt:lpstr>PRESTAMOS!Criterios</vt:lpstr>
      <vt:lpstr>'HISTORIAL E.R'!Títulos_a_imprimir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2025-01-26T00:42:41Z</cp:lastPrinted>
  <dcterms:created xsi:type="dcterms:W3CDTF">2023-09-09T22:17:43Z</dcterms:created>
  <dcterms:modified xsi:type="dcterms:W3CDTF">2025-03-16T04:13:36Z</dcterms:modified>
</cp:coreProperties>
</file>