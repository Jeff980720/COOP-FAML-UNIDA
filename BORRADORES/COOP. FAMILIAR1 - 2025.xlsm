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COOPERATIVA\"/>
    </mc:Choice>
  </mc:AlternateContent>
  <xr:revisionPtr revIDLastSave="0" documentId="13_ncr:1_{DB36C1A6-495F-4EC4-816B-ACB2CEE35802}" xr6:coauthVersionLast="47" xr6:coauthVersionMax="47" xr10:uidLastSave="{00000000-0000-0000-0000-000000000000}"/>
  <bookViews>
    <workbookView xWindow="0" yWindow="0" windowWidth="23040" windowHeight="14400" tabRatio="863" activeTab="6" xr2:uid="{432CEF09-D5A9-4C02-8634-C8C653D7B7A9}"/>
  </bookViews>
  <sheets>
    <sheet name="LINEAMIENTOS" sheetId="1" r:id="rId1"/>
    <sheet name="SOCIOS" sheetId="2" r:id="rId2"/>
    <sheet name="REGISTRO" sheetId="17" r:id="rId3"/>
    <sheet name="PRESTAMOS" sheetId="3" r:id="rId4"/>
    <sheet name="PAGOS" sheetId="18" r:id="rId5"/>
    <sheet name="CAJA" sheetId="45" r:id="rId6"/>
    <sheet name="ESTADO" sheetId="22" r:id="rId7"/>
    <sheet name="REPORTE" sheetId="39" r:id="rId8"/>
    <sheet name="HISTORIAL E.R" sheetId="38" r:id="rId9"/>
    <sheet name="HISTORIAL E.R (2)" sheetId="65" state="hidden" r:id="rId10"/>
    <sheet name="14" sheetId="41" state="hidden" r:id="rId11"/>
    <sheet name="15" sheetId="42" state="hidden" r:id="rId12"/>
    <sheet name="16" sheetId="43" state="hidden" r:id="rId13"/>
    <sheet name="17" sheetId="44" state="hidden" r:id="rId14"/>
    <sheet name="Tabla Amortización" sheetId="29" state="hidden" r:id="rId15"/>
    <sheet name="Hoja2" sheetId="21" state="hidden" r:id="rId16"/>
    <sheet name="01" sheetId="4" state="hidden" r:id="rId17"/>
    <sheet name="02" sheetId="5" state="hidden" r:id="rId18"/>
    <sheet name="03" sheetId="6" state="hidden" r:id="rId19"/>
    <sheet name="04" sheetId="7" state="hidden" r:id="rId20"/>
    <sheet name="05" sheetId="8" state="hidden" r:id="rId21"/>
    <sheet name="06" sheetId="9" state="hidden" r:id="rId22"/>
    <sheet name="07" sheetId="10" state="hidden" r:id="rId23"/>
    <sheet name="08" sheetId="11" state="hidden" r:id="rId24"/>
    <sheet name="09" sheetId="12" state="hidden" r:id="rId25"/>
    <sheet name="10" sheetId="13" state="hidden" r:id="rId26"/>
    <sheet name="11" sheetId="14" state="hidden" r:id="rId27"/>
    <sheet name="12" sheetId="15" state="hidden" r:id="rId28"/>
    <sheet name="13" sheetId="16" state="hidden" r:id="rId29"/>
  </sheets>
  <definedNames>
    <definedName name="_xlnm._FilterDatabase" localSheetId="4" hidden="1">PAGOS!$A$2:$K$323</definedName>
    <definedName name="_xlnm._FilterDatabase" localSheetId="3" hidden="1">PRESTAMOS!$A$2:$K$83</definedName>
    <definedName name="_xlnm._FilterDatabase" localSheetId="1" hidden="1">SOCIOS!$B$4:$D$22</definedName>
    <definedName name="_xlnm.Extract" localSheetId="3">PRESTAMOS!#REF!</definedName>
    <definedName name="_xlnm.Print_Area" localSheetId="16">'01'!$A$1:$L$35</definedName>
    <definedName name="_xlnm.Print_Area" localSheetId="17">'02'!$A$1:$L$36</definedName>
    <definedName name="_xlnm.Print_Area" localSheetId="18">'03'!$A$1:$L$36</definedName>
    <definedName name="_xlnm.Print_Area" localSheetId="19">'04'!$A$1:$L$35</definedName>
    <definedName name="_xlnm.Print_Area" localSheetId="20">'05'!$A$1:$L$36</definedName>
    <definedName name="_xlnm.Print_Area" localSheetId="21">'06'!$A$1:$L$35</definedName>
    <definedName name="_xlnm.Print_Area" localSheetId="22">'07'!$A$1:$L$36</definedName>
    <definedName name="_xlnm.Print_Area" localSheetId="23">'08'!$A$1:$L$36</definedName>
    <definedName name="_xlnm.Print_Area" localSheetId="24">'09'!$A$1:$L$36</definedName>
    <definedName name="_xlnm.Print_Area" localSheetId="25">'10'!$A$1:$L$36</definedName>
    <definedName name="_xlnm.Print_Area" localSheetId="26">'11'!$A$1:$L$36</definedName>
    <definedName name="_xlnm.Print_Area" localSheetId="27">'12'!$A$1:$L$35</definedName>
    <definedName name="_xlnm.Print_Area" localSheetId="28">'13'!$A$1:$L$36</definedName>
    <definedName name="_xlnm.Print_Area" localSheetId="10">'14'!$A$1:$L$36</definedName>
    <definedName name="_xlnm.Print_Area" localSheetId="11">'15'!$A$1:$L$36</definedName>
    <definedName name="_xlnm.Print_Area" localSheetId="12">'16'!$A$1:$L$36</definedName>
    <definedName name="_xlnm.Print_Area" localSheetId="13">'17'!$A$1:$L$36</definedName>
    <definedName name="_xlnm.Print_Area" localSheetId="3">PRESTAMOS!$A$1:$L$83</definedName>
    <definedName name="_xlnm.Print_Area" localSheetId="14">'Tabla Amortización'!$A$1:$G$46</definedName>
    <definedName name="_xlnm.Criteria" localSheetId="3">PRESTAMOS!$N$3:$N$4</definedName>
    <definedName name="ListaFiltrada">PRESTAMOS!$N$4</definedName>
    <definedName name="_xlnm.Print_Titles" localSheetId="8">'HISTORIAL E.R'!$1:$5</definedName>
    <definedName name="_xlnm.Print_Titles" localSheetId="9">'HISTORIAL E.R (2)'!$1:$5</definedName>
  </definedNames>
  <calcPr calcId="191029"/>
  <pivotCaches>
    <pivotCache cacheId="3" r:id="rId30"/>
    <pivotCache cacheId="4" r:id="rId31"/>
    <pivotCache cacheId="5" r:id="rId3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6" i="17" l="1"/>
  <c r="O12" i="17"/>
  <c r="E19" i="17"/>
  <c r="E18" i="17"/>
  <c r="E12" i="17"/>
  <c r="E8" i="22"/>
  <c r="D60" i="2"/>
  <c r="D59" i="2"/>
  <c r="D58" i="2"/>
  <c r="D57" i="2"/>
  <c r="E9" i="22"/>
  <c r="E22" i="22"/>
  <c r="J5" i="22" l="1"/>
  <c r="E17" i="22"/>
  <c r="E31" i="22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A7" i="5" a="1"/>
  <c r="A7" i="5" s="1"/>
  <c r="D10" i="2"/>
  <c r="H83" i="3"/>
  <c r="I83" i="3" s="1"/>
  <c r="K83" i="3"/>
  <c r="L83" i="3"/>
  <c r="M16" i="17"/>
  <c r="M12" i="17"/>
  <c r="D5" i="2"/>
  <c r="D6" i="2"/>
  <c r="D7" i="2"/>
  <c r="D8" i="2"/>
  <c r="D9" i="2"/>
  <c r="D11" i="2"/>
  <c r="D12" i="2"/>
  <c r="D13" i="2"/>
  <c r="D14" i="2"/>
  <c r="D15" i="2"/>
  <c r="D16" i="2"/>
  <c r="D17" i="2"/>
  <c r="D18" i="2"/>
  <c r="D21" i="2"/>
  <c r="AN20" i="2"/>
  <c r="D20" i="2" s="1"/>
  <c r="E321" i="18"/>
  <c r="K74" i="3" s="1"/>
  <c r="E309" i="18"/>
  <c r="N12" i="4" s="1"/>
  <c r="O12" i="4" s="1"/>
  <c r="B60" i="2"/>
  <c r="B59" i="2"/>
  <c r="AN19" i="2"/>
  <c r="D19" i="2" s="1"/>
  <c r="AM22" i="2"/>
  <c r="E20" i="22"/>
  <c r="H82" i="3"/>
  <c r="I82" i="3" s="1"/>
  <c r="K82" i="3"/>
  <c r="L82" i="3"/>
  <c r="H81" i="3"/>
  <c r="I81" i="3" s="1"/>
  <c r="K81" i="3"/>
  <c r="L81" i="3"/>
  <c r="H80" i="3"/>
  <c r="I80" i="3" s="1"/>
  <c r="K80" i="3"/>
  <c r="L80" i="3"/>
  <c r="H79" i="3"/>
  <c r="I79" i="3" s="1"/>
  <c r="K79" i="3"/>
  <c r="L79" i="3"/>
  <c r="AL22" i="2"/>
  <c r="B58" i="2"/>
  <c r="E16" i="22"/>
  <c r="M7" i="39"/>
  <c r="N7" i="39"/>
  <c r="M8" i="39"/>
  <c r="N8" i="39"/>
  <c r="M9" i="39"/>
  <c r="N9" i="39"/>
  <c r="M10" i="39"/>
  <c r="N10" i="39"/>
  <c r="M11" i="39"/>
  <c r="N11" i="39"/>
  <c r="M12" i="39"/>
  <c r="N12" i="39"/>
  <c r="M13" i="39"/>
  <c r="N13" i="39"/>
  <c r="M14" i="39"/>
  <c r="N14" i="39"/>
  <c r="M15" i="39"/>
  <c r="N15" i="39"/>
  <c r="M16" i="39"/>
  <c r="N16" i="39"/>
  <c r="M17" i="39"/>
  <c r="N17" i="39"/>
  <c r="M18" i="39"/>
  <c r="N18" i="39"/>
  <c r="M19" i="39"/>
  <c r="N19" i="39"/>
  <c r="M20" i="39"/>
  <c r="N20" i="39"/>
  <c r="M21" i="39"/>
  <c r="N21" i="39"/>
  <c r="N6" i="39"/>
  <c r="M6" i="39"/>
  <c r="E21" i="22"/>
  <c r="E23" i="22"/>
  <c r="N10" i="10"/>
  <c r="O10" i="10" s="1"/>
  <c r="P10" i="10"/>
  <c r="Q10" i="10" s="1"/>
  <c r="H78" i="3"/>
  <c r="I78" i="3" s="1"/>
  <c r="K78" i="3"/>
  <c r="L78" i="3"/>
  <c r="K75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I77" i="3" s="1"/>
  <c r="K77" i="3"/>
  <c r="H76" i="3"/>
  <c r="I76" i="3" s="1"/>
  <c r="K76" i="3"/>
  <c r="H75" i="3"/>
  <c r="I75" i="3" s="1"/>
  <c r="P7" i="44"/>
  <c r="I3" i="44" s="1"/>
  <c r="N7" i="44"/>
  <c r="O7" i="44" s="1"/>
  <c r="A7" i="44" a="1"/>
  <c r="A7" i="44" s="1"/>
  <c r="G3" i="44"/>
  <c r="P7" i="43"/>
  <c r="I3" i="43" s="1"/>
  <c r="N7" i="43"/>
  <c r="O7" i="43" s="1"/>
  <c r="A7" i="43" a="1"/>
  <c r="A7" i="43" s="1"/>
  <c r="G3" i="43"/>
  <c r="P7" i="42"/>
  <c r="I3" i="42" s="1"/>
  <c r="N7" i="42"/>
  <c r="O7" i="42" s="1"/>
  <c r="A7" i="42" a="1"/>
  <c r="A7" i="42" s="1"/>
  <c r="G3" i="42"/>
  <c r="P7" i="41"/>
  <c r="I3" i="41" s="1"/>
  <c r="N7" i="41"/>
  <c r="O7" i="41" s="1"/>
  <c r="A7" i="41" a="1"/>
  <c r="A7" i="41" s="1"/>
  <c r="G3" i="41"/>
  <c r="AK22" i="2"/>
  <c r="AJ22" i="2"/>
  <c r="AB22" i="2"/>
  <c r="AG22" i="2"/>
  <c r="Q22" i="2"/>
  <c r="AA22" i="2"/>
  <c r="J22" i="2"/>
  <c r="AD22" i="2"/>
  <c r="H22" i="2"/>
  <c r="P22" i="2"/>
  <c r="O22" i="2"/>
  <c r="F22" i="2"/>
  <c r="V22" i="2"/>
  <c r="R22" i="2"/>
  <c r="X22" i="2"/>
  <c r="AF22" i="2"/>
  <c r="I22" i="2"/>
  <c r="Z22" i="2"/>
  <c r="L22" i="2"/>
  <c r="AC22" i="2"/>
  <c r="W22" i="2"/>
  <c r="AE22" i="2"/>
  <c r="U22" i="2"/>
  <c r="N22" i="2"/>
  <c r="G22" i="2"/>
  <c r="T22" i="2"/>
  <c r="S22" i="2"/>
  <c r="K22" i="2"/>
  <c r="AH22" i="2"/>
  <c r="AI22" i="2"/>
  <c r="Y22" i="2"/>
  <c r="M22" i="2"/>
  <c r="E22" i="2"/>
  <c r="H74" i="3"/>
  <c r="I74" i="3" s="1"/>
  <c r="H73" i="3"/>
  <c r="I73" i="3" s="1"/>
  <c r="K73" i="3"/>
  <c r="B57" i="2"/>
  <c r="P12" i="4"/>
  <c r="Q12" i="4" s="1"/>
  <c r="N7" i="7"/>
  <c r="N13" i="7"/>
  <c r="O13" i="7" s="1"/>
  <c r="P13" i="7"/>
  <c r="Q13" i="7" s="1"/>
  <c r="H72" i="3"/>
  <c r="I72" i="3" s="1"/>
  <c r="K72" i="3"/>
  <c r="N13" i="15"/>
  <c r="O13" i="15" s="1"/>
  <c r="P13" i="15"/>
  <c r="Q13" i="15" s="1"/>
  <c r="B56" i="2"/>
  <c r="P11" i="8"/>
  <c r="Q11" i="8" s="1"/>
  <c r="H71" i="3"/>
  <c r="I71" i="3" s="1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3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AH15" i="22"/>
  <c r="AH10" i="22"/>
  <c r="AG10" i="22"/>
  <c r="AF10" i="22"/>
  <c r="AE10" i="22"/>
  <c r="AD10" i="22"/>
  <c r="H70" i="3"/>
  <c r="I70" i="3" s="1"/>
  <c r="B55" i="2"/>
  <c r="H69" i="3"/>
  <c r="I69" i="3" s="1"/>
  <c r="H68" i="3"/>
  <c r="I68" i="3" s="1"/>
  <c r="H67" i="3"/>
  <c r="I67" i="3" s="1"/>
  <c r="H66" i="3"/>
  <c r="I66" i="3" s="1"/>
  <c r="H65" i="3"/>
  <c r="I65" i="3" s="1"/>
  <c r="K8" i="17"/>
  <c r="C8" i="17"/>
  <c r="H64" i="3"/>
  <c r="I64" i="3" s="1"/>
  <c r="H63" i="3"/>
  <c r="I63" i="3" s="1"/>
  <c r="H62" i="3"/>
  <c r="I62" i="3" s="1"/>
  <c r="B52" i="2"/>
  <c r="H61" i="3"/>
  <c r="I61" i="3" s="1"/>
  <c r="H60" i="3"/>
  <c r="I60" i="3" s="1"/>
  <c r="H59" i="3"/>
  <c r="I59" i="3" s="1"/>
  <c r="J6" i="22" l="1"/>
  <c r="E14" i="22"/>
  <c r="E13" i="22"/>
  <c r="AN22" i="2"/>
  <c r="M22" i="39"/>
  <c r="K3" i="43"/>
  <c r="K3" i="42"/>
  <c r="K3" i="41"/>
  <c r="K3" i="44"/>
  <c r="Q7" i="44"/>
  <c r="Q7" i="43"/>
  <c r="Q7" i="42"/>
  <c r="Q7" i="41"/>
  <c r="D22" i="2"/>
  <c r="N14" i="13"/>
  <c r="O14" i="13" s="1"/>
  <c r="K70" i="3"/>
  <c r="K59" i="3"/>
  <c r="P13" i="9"/>
  <c r="Q13" i="9" s="1"/>
  <c r="N9" i="10"/>
  <c r="O9" i="10" s="1"/>
  <c r="N13" i="9"/>
  <c r="O13" i="9" s="1"/>
  <c r="N11" i="8"/>
  <c r="O11" i="8" s="1"/>
  <c r="K67" i="3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K61" i="3"/>
  <c r="N11" i="15"/>
  <c r="O11" i="15" s="1"/>
  <c r="P10" i="16"/>
  <c r="Q10" i="16" s="1"/>
  <c r="K68" i="3"/>
  <c r="N10" i="16"/>
  <c r="O10" i="16" s="1"/>
  <c r="K60" i="3"/>
  <c r="K69" i="3"/>
  <c r="K63" i="3"/>
  <c r="N9" i="11"/>
  <c r="O9" i="11" s="1"/>
  <c r="K64" i="3"/>
  <c r="K65" i="3"/>
  <c r="P9" i="11"/>
  <c r="Q9" i="11" s="1"/>
  <c r="K62" i="3"/>
  <c r="P12" i="6"/>
  <c r="Q12" i="6" s="1"/>
  <c r="K71" i="3"/>
  <c r="P8" i="5"/>
  <c r="Q8" i="5" s="1"/>
  <c r="K66" i="3"/>
  <c r="N12" i="6"/>
  <c r="O12" i="6" s="1"/>
  <c r="N8" i="5"/>
  <c r="O8" i="5" s="1"/>
  <c r="J8" i="22"/>
  <c r="E7" i="22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N7" i="12"/>
  <c r="O7" i="12" s="1"/>
  <c r="P10" i="12"/>
  <c r="Q10" i="12" s="1"/>
  <c r="N10" i="12"/>
  <c r="O10" i="12" s="1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B51" i="2"/>
  <c r="H55" i="3"/>
  <c r="I55" i="3" s="1"/>
  <c r="H58" i="3"/>
  <c r="I58" i="3" s="1"/>
  <c r="H57" i="3"/>
  <c r="I57" i="3" s="1"/>
  <c r="H56" i="3"/>
  <c r="I56" i="3" s="1"/>
  <c r="H54" i="3"/>
  <c r="I54" i="3" s="1"/>
  <c r="B50" i="2"/>
  <c r="C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25" i="2"/>
  <c r="H53" i="3"/>
  <c r="I53" i="3" s="1"/>
  <c r="H52" i="3"/>
  <c r="I52" i="3" s="1"/>
  <c r="H51" i="3"/>
  <c r="I51" i="3" s="1"/>
  <c r="H50" i="3"/>
  <c r="I50" i="3" s="1"/>
  <c r="H49" i="3"/>
  <c r="I49" i="3" s="1"/>
  <c r="H48" i="3"/>
  <c r="I48" i="3" s="1"/>
  <c r="H47" i="3"/>
  <c r="I47" i="3" s="1"/>
  <c r="H46" i="3"/>
  <c r="I46" i="3" s="1"/>
  <c r="H45" i="3"/>
  <c r="I45" i="3" s="1"/>
  <c r="H44" i="3"/>
  <c r="I44" i="3" s="1"/>
  <c r="H43" i="3"/>
  <c r="I43" i="3" s="1"/>
  <c r="H42" i="3"/>
  <c r="I42" i="3" s="1"/>
  <c r="H41" i="3"/>
  <c r="I41" i="3" s="1"/>
  <c r="H40" i="3"/>
  <c r="I40" i="3" s="1"/>
  <c r="H39" i="3"/>
  <c r="I39" i="3" s="1"/>
  <c r="E5" i="29"/>
  <c r="E4" i="29"/>
  <c r="N4" i="3" l="1" a="1"/>
  <c r="N4" i="3" s="1"/>
  <c r="N22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E6" i="29"/>
  <c r="E7" i="29" s="1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I38" i="3" s="1"/>
  <c r="A7" i="4" a="1"/>
  <c r="A7" i="4" s="1"/>
  <c r="S10" i="22"/>
  <c r="S11" i="22"/>
  <c r="S12" i="22"/>
  <c r="S13" i="22"/>
  <c r="S14" i="22"/>
  <c r="S9" i="22"/>
  <c r="S5" i="22"/>
  <c r="S6" i="22"/>
  <c r="S7" i="22"/>
  <c r="S4" i="22"/>
  <c r="H22" i="22"/>
  <c r="I22" i="22"/>
  <c r="J22" i="22"/>
  <c r="H23" i="22"/>
  <c r="J23" i="22"/>
  <c r="H24" i="22"/>
  <c r="I24" i="22"/>
  <c r="J24" i="22"/>
  <c r="H25" i="22"/>
  <c r="I25" i="22"/>
  <c r="J25" i="22"/>
  <c r="H26" i="22"/>
  <c r="I26" i="22"/>
  <c r="J26" i="22"/>
  <c r="J21" i="22"/>
  <c r="I21" i="22"/>
  <c r="H21" i="22"/>
  <c r="H17" i="22"/>
  <c r="I17" i="22"/>
  <c r="J17" i="22"/>
  <c r="H18" i="22"/>
  <c r="I18" i="22"/>
  <c r="J18" i="22"/>
  <c r="H19" i="22"/>
  <c r="I19" i="22"/>
  <c r="J19" i="22"/>
  <c r="J16" i="22"/>
  <c r="I16" i="22"/>
  <c r="H16" i="22"/>
  <c r="K25" i="22" l="1"/>
  <c r="K22" i="22"/>
  <c r="K26" i="22"/>
  <c r="K23" i="22"/>
  <c r="K24" i="22"/>
  <c r="K18" i="22"/>
  <c r="K16" i="22"/>
  <c r="K21" i="22"/>
  <c r="K17" i="22"/>
  <c r="K19" i="22"/>
  <c r="K20" i="22" l="1"/>
  <c r="K15" i="22"/>
  <c r="H37" i="3"/>
  <c r="I37" i="3" s="1"/>
  <c r="J11" i="22"/>
  <c r="H36" i="3"/>
  <c r="I36" i="3" s="1"/>
  <c r="H35" i="3"/>
  <c r="I35" i="3" s="1"/>
  <c r="H34" i="3"/>
  <c r="I34" i="3" s="1"/>
  <c r="H33" i="3"/>
  <c r="I33" i="3" s="1"/>
  <c r="H32" i="3"/>
  <c r="I32" i="3" s="1"/>
  <c r="H31" i="3"/>
  <c r="I31" i="3" s="1"/>
  <c r="H14" i="22" l="1"/>
  <c r="H30" i="3"/>
  <c r="I30" i="3" s="1"/>
  <c r="H29" i="3"/>
  <c r="I29" i="3" s="1"/>
  <c r="H28" i="3"/>
  <c r="H27" i="3"/>
  <c r="I27" i="3" s="1"/>
  <c r="H26" i="3"/>
  <c r="I26" i="3" s="1"/>
  <c r="H25" i="3"/>
  <c r="I25" i="3" s="1"/>
  <c r="H24" i="3"/>
  <c r="I24" i="3" s="1"/>
  <c r="H23" i="3"/>
  <c r="I23" i="3" s="1"/>
  <c r="H22" i="3"/>
  <c r="I22" i="3" s="1"/>
  <c r="H21" i="3"/>
  <c r="I21" i="3" s="1"/>
  <c r="H20" i="3"/>
  <c r="I20" i="3" s="1"/>
  <c r="H19" i="3"/>
  <c r="I19" i="3" s="1"/>
  <c r="H18" i="3"/>
  <c r="I18" i="3" s="1"/>
  <c r="H17" i="3"/>
  <c r="I17" i="3" s="1"/>
  <c r="H16" i="3"/>
  <c r="I16" i="3" s="1"/>
  <c r="H15" i="3"/>
  <c r="I15" i="3" s="1"/>
  <c r="H14" i="3"/>
  <c r="I14" i="3" s="1"/>
  <c r="H13" i="3"/>
  <c r="I13" i="3" s="1"/>
  <c r="H12" i="3"/>
  <c r="I12" i="3" s="1"/>
  <c r="H11" i="3"/>
  <c r="I11" i="3" s="1"/>
  <c r="H10" i="3"/>
  <c r="I10" i="3" s="1"/>
  <c r="H9" i="3"/>
  <c r="I9" i="3" s="1"/>
  <c r="H8" i="3"/>
  <c r="I8" i="3" s="1"/>
  <c r="H7" i="3"/>
  <c r="I7" i="3" s="1"/>
  <c r="H6" i="3"/>
  <c r="H5" i="3"/>
  <c r="I5" i="3" s="1"/>
  <c r="H4" i="3"/>
  <c r="I4" i="3" s="1"/>
  <c r="I6" i="3" l="1"/>
  <c r="I28" i="3"/>
  <c r="H3" i="3" l="1"/>
  <c r="E10" i="22" l="1"/>
  <c r="E26" i="22" s="1"/>
  <c r="E11" i="22"/>
  <c r="J7" i="22" s="1"/>
  <c r="I3" i="3"/>
  <c r="E18" i="22" l="1"/>
  <c r="A7" i="15" a="1"/>
  <c r="A7" i="15" s="1"/>
  <c r="A7" i="11" a="1"/>
  <c r="A7" i="11" s="1"/>
  <c r="A7" i="14" a="1"/>
  <c r="A7" i="14" s="1"/>
  <c r="A7" i="10" a="1"/>
  <c r="A7" i="10" s="1"/>
  <c r="A7" i="6" a="1"/>
  <c r="A7" i="6" s="1"/>
  <c r="A7" i="9" a="1"/>
  <c r="A7" i="9" s="1"/>
  <c r="A7" i="8" a="1"/>
  <c r="A7" i="8" s="1"/>
  <c r="A7" i="13" a="1"/>
  <c r="A7" i="13" s="1"/>
  <c r="A7" i="16" a="1"/>
  <c r="A7" i="16" s="1"/>
  <c r="A7" i="12" a="1"/>
  <c r="A7" i="12" s="1"/>
  <c r="A7" i="7" a="1"/>
  <c r="A7" i="7" s="1"/>
  <c r="D48" i="2"/>
  <c r="D29" i="2"/>
  <c r="D26" i="2"/>
  <c r="D55" i="2"/>
  <c r="D27" i="2"/>
  <c r="D51" i="2" l="1"/>
  <c r="D56" i="2"/>
  <c r="D25" i="2"/>
  <c r="D33" i="2"/>
  <c r="D53" i="2"/>
  <c r="D41" i="2"/>
  <c r="D38" i="2"/>
  <c r="D54" i="2"/>
  <c r="D43" i="2"/>
  <c r="D28" i="2"/>
  <c r="J4" i="22" s="1"/>
  <c r="J10" i="22" s="1"/>
  <c r="J12" i="22" s="1"/>
  <c r="D31" i="2"/>
  <c r="D52" i="2"/>
  <c r="D35" i="2"/>
  <c r="D32" i="2"/>
  <c r="D34" i="2"/>
  <c r="D37" i="2"/>
  <c r="D30" i="2"/>
  <c r="D47" i="2"/>
  <c r="D36" i="2"/>
  <c r="D50" i="2"/>
  <c r="D44" i="2"/>
  <c r="D45" i="2"/>
  <c r="D42" i="2"/>
  <c r="D39" i="2"/>
  <c r="D46" i="2"/>
  <c r="D49" i="2"/>
  <c r="D40" i="2"/>
  <c r="E27" i="22" l="1"/>
  <c r="E29" i="22" s="1"/>
  <c r="P19" i="22"/>
  <c r="E5" i="22"/>
  <c r="E24" i="22" s="1"/>
  <c r="E28" i="22" s="1"/>
  <c r="E25" i="22" l="1"/>
  <c r="C3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AL19" authorId="0" shapeId="0" xr:uid="{FE283B63-343A-4368-B79B-E8B9E6327922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APORTA 130$ EN EFECTIVO
APORTA 20 $ EN TRANSFERENCIA
17/5/2025 APORTA 70$</t>
        </r>
      </text>
    </comment>
    <comment ref="AN20" authorId="0" shapeId="0" xr:uid="{A966D96B-7664-4B0B-AC82-64F2A15E70E0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APORTADO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<sst xmlns="http://schemas.openxmlformats.org/spreadsheetml/2006/main" count="3826" uniqueCount="476">
  <si>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</si>
  <si>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</si>
  <si>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</si>
  <si>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</si>
  <si>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</si>
  <si>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</si>
  <si>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</si>
  <si>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</si>
  <si>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</si>
  <si>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</si>
  <si>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</si>
  <si>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</si>
  <si>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</si>
  <si>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</si>
  <si>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</si>
  <si>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</si>
  <si>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</si>
  <si>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</si>
  <si>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</si>
  <si>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</si>
  <si>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</si>
  <si>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</si>
  <si>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</si>
  <si>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</si>
  <si>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</si>
  <si>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</si>
  <si>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</si>
  <si>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</si>
  <si>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</si>
  <si>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</si>
  <si>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</si>
  <si>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</si>
  <si>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</si>
  <si>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</si>
  <si>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</si>
  <si>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</si>
  <si>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</si>
  <si>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</si>
  <si>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</si>
  <si>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</si>
  <si>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</si>
  <si>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</si>
  <si>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</si>
  <si>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</si>
  <si>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</si>
  <si>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</si>
  <si>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</si>
  <si>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</si>
  <si>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</si>
  <si>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</si>
  <si>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</si>
  <si>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</si>
  <si>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</si>
  <si>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</si>
  <si>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</si>
  <si>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</si>
  <si>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</si>
  <si>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</si>
  <si>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DINERO PRESTADO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</si>
  <si>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</si>
  <si>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</si>
  <si>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</si>
  <si>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</si>
  <si>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</si>
  <si>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</si>
  <si>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</si>
  <si>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</si>
  <si>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</si>
  <si>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</si>
  <si>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</si>
  <si>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</si>
  <si>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</si>
  <si>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CODIGOCLIENTE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</si>
  <si>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</si>
  <si>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</si>
  <si>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</si>
  <si>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</si>
  <si>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</si>
  <si>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</si>
  <si>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</si>
  <si>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</si>
  <si>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</si>
  <si>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</si>
  <si>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</si>
  <si>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</si>
  <si>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</si>
  <si>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</si>
  <si>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</si>
  <si>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</si>
  <si>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</si>
  <si>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</si>
  <si>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</si>
  <si>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</si>
  <si>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</si>
  <si>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</si>
  <si>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</si>
  <si>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</si>
  <si>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</si>
  <si>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</si>
  <si>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</si>
  <si>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</si>
  <si>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APERTURA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</si>
  <si>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</si>
  <si>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</si>
  <si>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</si>
  <si>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</si>
  <si>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</si>
  <si>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</si>
  <si>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</si>
  <si>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</si>
  <si>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</si>
  <si>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</si>
  <si>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</si>
  <si>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</si>
  <si>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</si>
  <si>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</si>
  <si>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</si>
  <si>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</si>
  <si>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</si>
  <si>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</si>
  <si>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</si>
  <si>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</si>
  <si>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</si>
  <si>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</si>
  <si>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</si>
  <si>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</si>
  <si>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</si>
  <si>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</si>
  <si>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</si>
  <si>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</si>
  <si>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</si>
  <si>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</si>
  <si>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</si>
  <si>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</si>
  <si>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ANULACION DE PAGO DE INTERESES POR REPRESTAMO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</si>
  <si>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</si>
  <si>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</si>
  <si>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</si>
  <si>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</si>
  <si>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</si>
  <si>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</si>
  <si>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</si>
  <si>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</si>
  <si>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</si>
  <si>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</si>
  <si>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</si>
  <si>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</si>
  <si>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</si>
  <si>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</si>
  <si>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</si>
  <si>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</si>
  <si>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</si>
  <si>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</si>
  <si>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</si>
  <si>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</si>
  <si>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</si>
  <si>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</si>
  <si>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</si>
  <si>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</si>
  <si>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</si>
  <si>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</si>
  <si>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</si>
  <si>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</si>
  <si>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</si>
  <si>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</si>
  <si>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</si>
  <si>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</si>
  <si>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</si>
  <si>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</si>
  <si>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</si>
  <si>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</si>
  <si>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</si>
  <si>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</si>
  <si>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</si>
  <si>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</si>
  <si>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</si>
  <si>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</si>
  <si>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</si>
  <si>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</si>
  <si>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</si>
  <si>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</si>
  <si>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</si>
  <si>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</si>
  <si>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</si>
  <si>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</si>
  <si>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</si>
  <si>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</si>
  <si>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</si>
  <si>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</si>
  <si>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</si>
  <si>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</si>
  <si>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</si>
  <si>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</si>
  <si>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</si>
  <si>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</si>
  <si>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</si>
  <si>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</si>
  <si>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</si>
  <si>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</si>
  <si>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</si>
  <si>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</si>
  <si>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</si>
  <si>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</si>
  <si>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</si>
  <si>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</si>
  <si>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</si>
  <si>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</si>
  <si>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20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</si>
  <si>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</si>
  <si>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</si>
  <si>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</si>
  <si>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</si>
  <si>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</si>
  <si>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</si>
  <si>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</si>
  <si>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</si>
  <si>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</si>
  <si>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</si>
  <si>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</si>
  <si>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21</t>
  </si>
  <si>
    <t>PAGO DE LA SEXTA CUOTA</t>
  </si>
  <si>
    <t>PAGO DE INTERES Y CAPITAL AL FINAL</t>
  </si>
  <si>
    <t>PREST042</t>
  </si>
  <si>
    <t>AYUDA PARA EL SOCIO ROCIO TOAQUIZA POR ENFERMEDAD</t>
  </si>
  <si>
    <t>22</t>
  </si>
  <si>
    <t>PAGO DE LA SEPTIMA CUOTA</t>
  </si>
  <si>
    <t>PAGO DE MONTO E INTERES MENSUAL</t>
  </si>
  <si>
    <t>PREST043</t>
  </si>
  <si>
    <t>INGRESO5</t>
  </si>
  <si>
    <t>PREST044</t>
  </si>
  <si>
    <t>MES</t>
  </si>
  <si>
    <t>23</t>
  </si>
  <si>
    <t>EGRESO4</t>
  </si>
  <si>
    <t>ANULACION DE PAGO DE INTERESES Y MONTO POR REPRESTAMO</t>
  </si>
  <si>
    <t>PREST045</t>
  </si>
  <si>
    <t>PAGO TERCERA CUOTA (ANUL ULTIMA CUOTA)</t>
  </si>
  <si>
    <t>24</t>
  </si>
  <si>
    <t>PAGO DEL PRESTAMO</t>
  </si>
  <si>
    <t>PAGO DE LA QUITA CUOTA</t>
  </si>
  <si>
    <t>INTERES Y CAPITAL MENSUAL</t>
  </si>
  <si>
    <t>PREST046</t>
  </si>
  <si>
    <t>PREST047</t>
  </si>
  <si>
    <t>25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</si>
  <si>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</si>
  <si>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</si>
  <si>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</si>
  <si>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</si>
  <si>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</si>
  <si>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</si>
  <si>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</si>
  <si>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</si>
  <si>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</si>
  <si>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26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</si>
  <si>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</si>
  <si>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</si>
  <si>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</si>
  <si>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</si>
  <si>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</si>
  <si>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</si>
  <si>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</si>
  <si>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27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</si>
  <si>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</si>
  <si>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</si>
  <si>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</si>
  <si>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</si>
  <si>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</si>
  <si>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</si>
  <si>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</si>
  <si>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</si>
  <si>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</si>
  <si>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</si>
  <si>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</si>
  <si>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</si>
  <si>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</si>
  <si>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</si>
  <si>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</si>
  <si>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AL FINAL DEL PERIODO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</si>
  <si>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</si>
  <si>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</si>
  <si>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</si>
  <si>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</si>
  <si>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</si>
  <si>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</si>
  <si>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</si>
  <si>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</si>
  <si>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AYUDA01</t>
  </si>
  <si>
    <t>AYUDA02</t>
  </si>
  <si>
    <t>AYUDA03</t>
  </si>
  <si>
    <t>ANULACION DEL PAGO DEL QUINTO INTERES POR REEPRESTAMO</t>
  </si>
  <si>
    <t>DINERO ACUMULADO</t>
  </si>
  <si>
    <t>DINERO COBRADO</t>
  </si>
  <si>
    <t>DINERO FALTANTE</t>
  </si>
  <si>
    <t>(Varios elementos)</t>
  </si>
  <si>
    <t>APORTES</t>
  </si>
  <si>
    <t>AMORT</t>
  </si>
  <si>
    <t>SOCIOS</t>
  </si>
  <si>
    <t>CAPITAL POR PAGAR</t>
  </si>
  <si>
    <t>INTERES POR PAGAR</t>
  </si>
  <si>
    <t>Total general</t>
  </si>
  <si>
    <t>28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</si>
  <si>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</si>
  <si>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</si>
  <si>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</si>
  <si>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</si>
  <si>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</si>
  <si>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</si>
  <si>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PAGO DE LA ULTIMA LETRA QUE SALE DEL REPRESTAMO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</si>
  <si>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</si>
  <si>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</si>
  <si>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</si>
  <si>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</si>
  <si>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</si>
  <si>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</si>
  <si>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</si>
  <si>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</si>
  <si>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</si>
  <si>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</si>
  <si>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</si>
  <si>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</si>
  <si>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</si>
  <si>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</si>
  <si>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29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</si>
  <si>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</si>
  <si>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</si>
  <si>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</si>
  <si>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</si>
  <si>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</si>
  <si>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</si>
  <si>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</si>
  <si>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</si>
  <si>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</si>
  <si>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PAGO DE LA CUARTA LETRA (REEPRESTAMO)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</si>
  <si>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</si>
  <si>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</si>
  <si>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</si>
  <si>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</si>
  <si>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</si>
  <si>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</si>
  <si>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</si>
  <si>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30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</si>
  <si>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</si>
  <si>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</si>
  <si>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</si>
  <si>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</si>
  <si>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</si>
  <si>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</si>
  <si>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PAGO DE LA SEGUNDA LETRA (PAGO DE UN SOCIO CON REEPRESTAMO)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</si>
  <si>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</si>
  <si>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</si>
  <si>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</si>
  <si>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</si>
  <si>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</si>
  <si>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</si>
  <si>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</si>
  <si>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</si>
  <si>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SEGUNDA LETRA (CON PAGO DE UN REPRESTAMO)</t>
  </si>
  <si>
    <t>PAGO DE LA QUINTA LETRA (PAGO CON REPRESTAMO)</t>
  </si>
  <si>
    <t>PAGO DE LA SEXTA CUOTA (PAGO CON REPRESTAMO)</t>
  </si>
  <si>
    <t>PAGO DE LA CUARTA LETRA PAGO CON REPRESTAMO</t>
  </si>
  <si>
    <t>31</t>
  </si>
  <si>
    <t>PAGO DE LA LETRA NUMERO 11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</si>
  <si>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</si>
  <si>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</si>
  <si>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</si>
  <si>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</si>
  <si>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</si>
  <si>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</si>
  <si>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</si>
  <si>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</si>
  <si>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</si>
  <si>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</si>
  <si>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</si>
  <si>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</si>
  <si>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32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</si>
  <si>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</si>
  <si>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</si>
  <si>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</si>
  <si>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</si>
  <si>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</si>
  <si>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</si>
  <si>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</si>
  <si>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</si>
  <si>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</si>
  <si>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33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</si>
  <si>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</si>
  <si>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</si>
  <si>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</si>
  <si>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</si>
  <si>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</si>
  <si>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</si>
  <si>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</si>
  <si>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</si>
  <si>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</si>
  <si>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</si>
  <si>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MARLON ALMACHI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</si>
  <si>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</si>
  <si>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</si>
  <si>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</si>
  <si>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</si>
  <si>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</si>
  <si>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</si>
  <si>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</si>
  <si>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</si>
  <si>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</si>
  <si>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</si>
  <si>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</si>
  <si>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MULTA</t>
  </si>
  <si>
    <t>REPOSICION</t>
  </si>
  <si>
    <t>EGRES. VIAJES / REUNIONES-INTERES GASTADO</t>
  </si>
  <si>
    <t>TL. INTERESES GENERADOS REAL</t>
  </si>
  <si>
    <t>(Todas)</t>
  </si>
  <si>
    <t>REGISTRO DEL SOCIO PARA PAGOS</t>
  </si>
  <si>
    <t>GASTO</t>
  </si>
  <si>
    <t>NUEVO4</t>
  </si>
  <si>
    <t>PAGO TOTAL DEL PRESTAMO</t>
  </si>
  <si>
    <t>34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</si>
  <si>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</si>
  <si>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</si>
  <si>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</si>
  <si>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</si>
  <si>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</si>
  <si>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</si>
  <si>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</si>
  <si>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</si>
  <si>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</si>
  <si>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</si>
  <si>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</si>
  <si>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</si>
  <si>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PAGO MENSUAL</t>
  </si>
  <si>
    <t>PREST074</t>
  </si>
  <si>
    <t>PAGO DE LA CUOTA DEL PRESTAMO</t>
  </si>
  <si>
    <t>35</t>
  </si>
  <si>
    <t>36</t>
  </si>
  <si>
    <t>PAGO DE LA ULTIMA CUOTA</t>
  </si>
  <si>
    <t>PAGO DE LA SEGUNDA LETARA</t>
  </si>
  <si>
    <t>SEVASTIAN VELEMA</t>
  </si>
  <si>
    <t>PRESTAMO A TERCEROS UN SOLO PAGO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</si>
  <si>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</si>
  <si>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</si>
  <si>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</si>
  <si>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</si>
  <si>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</si>
  <si>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</si>
  <si>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</si>
  <si>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</si>
  <si>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</si>
  <si>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ANULACION PAGO DEL MONTO POR REEPRESTAMO</t>
  </si>
  <si>
    <t>MONTO PAGADO CON REPRESTAMO DE ANA TOAQUIZA</t>
  </si>
  <si>
    <t>PAGO DEL SEGUNGO INTERES</t>
  </si>
  <si>
    <t>CANCELA EL MONTO TOTAL POR HACER REEPRESTAMO</t>
  </si>
  <si>
    <t>PAGO MONTO CANCELA PRESTAMO TOMA A CARGO LUPE</t>
  </si>
  <si>
    <t>ANULACION DE PAGO DEL MONTO POR REPRESTAMO</t>
  </si>
  <si>
    <t>PAGO DEL SEGUDO INTERES</t>
  </si>
  <si>
    <t>ANULACION DE PAGO DE INTERESES 3-4-5 POR REPRESTAMO</t>
  </si>
  <si>
    <t>EGRESO14</t>
  </si>
  <si>
    <t>EGRESO15</t>
  </si>
  <si>
    <t>EGRESO16</t>
  </si>
  <si>
    <t>EGRESO17</t>
  </si>
  <si>
    <t>EGRESO18</t>
  </si>
  <si>
    <t>EGRESO19</t>
  </si>
  <si>
    <t>EGRESO20</t>
  </si>
  <si>
    <t>EGRESO21</t>
  </si>
  <si>
    <t>EGRESO22</t>
  </si>
  <si>
    <t>EGRESO23</t>
  </si>
  <si>
    <t>EGRESO24</t>
  </si>
  <si>
    <t>EGRESO25</t>
  </si>
  <si>
    <t>EGRESO27</t>
  </si>
  <si>
    <t>EGRESO28</t>
  </si>
  <si>
    <t>EGRESO29</t>
  </si>
  <si>
    <t>100$ GASTO EN AYUDA QUEDANDO 30 EN CAJA</t>
  </si>
  <si>
    <t>EGRES. REPRESTAMOS-MONTO NO COBRADO</t>
  </si>
  <si>
    <t>FIN PERIODO</t>
  </si>
  <si>
    <t>INCO. PERIODO</t>
  </si>
  <si>
    <t>INCO. OPERACIÓN</t>
  </si>
  <si>
    <t>BORRAR</t>
  </si>
  <si>
    <t>PREST076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</si>
</sst>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7" formatCode="&quot;$&quot;#,##0.00;&quot;$&quot;\-#,##0.00"/>
    <numFmt numFmtId="8" formatCode="&quot;$&quot;#,##0.00;[Red]&quot;$&quot;\-#,##0.00"/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&quot;$&quot;#,##0.00"/>
    <numFmt numFmtId="165" formatCode="&quot;PREST&quot;000"/>
    <numFmt numFmtId="166" formatCode="&quot;PAGOS&quot;000"/>
    <numFmt numFmtId="167" formatCode="00"/>
    <numFmt numFmtId="168" formatCode="&quot;CUOTA &quot;00"/>
    <numFmt numFmtId="169" formatCode="&quot;INTERES &quot;00"/>
    <numFmt numFmtId="170" formatCode="&quot;MESES &quot;00"/>
    <numFmt numFmtId="171" formatCode="&quot;CUOTA&quot;00"/>
    <numFmt numFmtId="172" formatCode="&quot;INTERES&quot;00"/>
    <numFmt numFmtId="173" formatCode="0.000"/>
    <numFmt numFmtId="174" formatCode="&quot;$&quot;#,##0.00;[Red]\-&quot;$&quot;#,##0.00"/>
    <numFmt numFmtId="175" formatCode="000"/>
    <numFmt numFmtId="176" formatCode="_-* #,##0.00\ _€_-;\-* #,##0.00\ _€_-;_-* &quot;-&quot;??\ _€_-;_-@_-"/>
    <numFmt numFmtId="177" formatCode="&quot;PREST&quot;\&amp;"/>
    <numFmt numFmtId="178" formatCode="&quot;CAJ&quot;000"/>
  </numFmts>
  <fonts count="2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8">
    <xf numFmtId="0" fontId="0" fillId="0" borderId="0"/>
    <xf numFmtId="9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6" fillId="15" borderId="42" applyNumberFormat="0" applyAlignment="0" applyProtection="0"/>
    <xf numFmtId="0" fontId="17" fillId="16" borderId="42" applyNumberFormat="0" applyAlignment="0" applyProtection="0"/>
    <xf numFmtId="0" fontId="18" fillId="17" borderId="0" applyNumberFormat="0" applyBorder="0" applyAlignment="0" applyProtection="0"/>
    <xf numFmtId="43" fontId="9" fillId="0" borderId="0" applyFont="0" applyFill="0" applyBorder="0" applyAlignment="0" applyProtection="0"/>
  </cellStyleXfs>
  <cellXfs count="361">
    <xf numFmtId="0" fontId="0" fillId="0" borderId="0" xfId="0"/>
    <xf numFmtId="49" fontId="0" fillId="2" borderId="0" xfId="0" applyNumberFormat="1" applyFill="1"/>
    <xf numFmtId="0" fontId="0" fillId="2" borderId="0" xfId="0" applyFill="1"/>
    <xf numFmtId="164" fontId="0" fillId="2" borderId="1" xfId="0" applyNumberFormat="1" applyFill="1" applyBorder="1"/>
    <xf numFmtId="164" fontId="5" fillId="2" borderId="3" xfId="0" applyNumberFormat="1" applyFont="1" applyFill="1" applyBorder="1"/>
    <xf numFmtId="0" fontId="4" fillId="2" borderId="5" xfId="0" applyFont="1" applyFill="1" applyBorder="1" applyAlignment="1">
      <alignment horizontal="center" vertical="center" wrapText="1"/>
    </xf>
    <xf numFmtId="0" fontId="1" fillId="2" borderId="3" xfId="0" applyFont="1" applyFill="1" applyBorder="1"/>
    <xf numFmtId="14" fontId="2" fillId="2" borderId="1" xfId="0" applyNumberFormat="1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/>
    </xf>
    <xf numFmtId="164" fontId="8" fillId="2" borderId="1" xfId="0" applyNumberFormat="1" applyFont="1" applyFill="1" applyBorder="1"/>
    <xf numFmtId="49" fontId="6" fillId="2" borderId="0" xfId="0" applyNumberFormat="1" applyFont="1" applyFill="1" applyAlignment="1">
      <alignment horizontal="left" vertical="center"/>
    </xf>
    <xf numFmtId="164" fontId="8" fillId="2" borderId="1" xfId="0" applyNumberFormat="1" applyFont="1" applyFill="1" applyBorder="1" applyAlignment="1">
      <alignment horizontal="center"/>
    </xf>
    <xf numFmtId="49" fontId="1" fillId="2" borderId="4" xfId="0" applyNumberFormat="1" applyFont="1" applyFill="1" applyBorder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10" fillId="6" borderId="18" xfId="0" applyFont="1" applyFill="1" applyBorder="1"/>
    <xf numFmtId="0" fontId="10" fillId="6" borderId="19" xfId="0" applyFont="1" applyFill="1" applyBorder="1"/>
    <xf numFmtId="0" fontId="10" fillId="6" borderId="20" xfId="0" applyFont="1" applyFill="1" applyBorder="1"/>
    <xf numFmtId="0" fontId="0" fillId="0" borderId="0" xfId="0" applyAlignment="1">
      <alignment horizontal="left"/>
    </xf>
    <xf numFmtId="44" fontId="0" fillId="0" borderId="1" xfId="2" applyFont="1" applyBorder="1"/>
    <xf numFmtId="44" fontId="0" fillId="0" borderId="0" xfId="0" applyNumberFormat="1"/>
    <xf numFmtId="164" fontId="0" fillId="2" borderId="0" xfId="0" applyNumberFormat="1" applyFill="1"/>
    <xf numFmtId="164" fontId="5" fillId="2" borderId="5" xfId="0" applyNumberFormat="1" applyFont="1" applyFill="1" applyBorder="1"/>
    <xf numFmtId="0" fontId="0" fillId="2" borderId="6" xfId="0" applyFill="1" applyBorder="1" applyProtection="1">
      <protection locked="0"/>
    </xf>
    <xf numFmtId="14" fontId="0" fillId="2" borderId="6" xfId="0" applyNumberFormat="1" applyFill="1" applyBorder="1" applyProtection="1">
      <protection locked="0"/>
    </xf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10" fillId="10" borderId="19" xfId="0" applyFont="1" applyFill="1" applyBorder="1"/>
    <xf numFmtId="0" fontId="10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1" xfId="0" applyFont="1" applyFill="1" applyBorder="1" applyAlignment="1" applyProtection="1">
      <alignment horizontal="left" vertical="center" wrapText="1"/>
      <protection locked="0"/>
    </xf>
    <xf numFmtId="0" fontId="2" fillId="2" borderId="21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5" fontId="0" fillId="2" borderId="6" xfId="0" applyNumberFormat="1" applyFill="1" applyBorder="1" applyAlignment="1" applyProtection="1">
      <alignment horizontal="center"/>
      <protection locked="0"/>
    </xf>
    <xf numFmtId="166" fontId="0" fillId="2" borderId="6" xfId="0" applyNumberFormat="1" applyFill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right"/>
    </xf>
    <xf numFmtId="168" fontId="0" fillId="2" borderId="6" xfId="0" applyNumberFormat="1" applyFill="1" applyBorder="1" applyProtection="1">
      <protection locked="0"/>
    </xf>
    <xf numFmtId="169" fontId="0" fillId="2" borderId="6" xfId="0" applyNumberFormat="1" applyFill="1" applyBorder="1" applyProtection="1">
      <protection locked="0"/>
    </xf>
    <xf numFmtId="164" fontId="0" fillId="2" borderId="6" xfId="0" applyNumberFormat="1" applyFill="1" applyBorder="1" applyProtection="1">
      <protection locked="0"/>
    </xf>
    <xf numFmtId="164" fontId="0" fillId="2" borderId="6" xfId="0" applyNumberFormat="1" applyFill="1" applyBorder="1" applyAlignment="1" applyProtection="1">
      <alignment wrapText="1"/>
      <protection locked="0"/>
    </xf>
    <xf numFmtId="170" fontId="0" fillId="2" borderId="6" xfId="0" applyNumberFormat="1" applyFill="1" applyBorder="1" applyProtection="1">
      <protection locked="0"/>
    </xf>
    <xf numFmtId="164" fontId="0" fillId="0" borderId="1" xfId="0" applyNumberFormat="1" applyBorder="1" applyAlignment="1">
      <alignment horizontal="right"/>
    </xf>
    <xf numFmtId="166" fontId="0" fillId="0" borderId="2" xfId="0" applyNumberFormat="1" applyBorder="1" applyAlignment="1">
      <alignment horizontal="right"/>
    </xf>
    <xf numFmtId="167" fontId="0" fillId="0" borderId="2" xfId="0" applyNumberFormat="1" applyBorder="1" applyAlignment="1">
      <alignment horizontal="right"/>
    </xf>
    <xf numFmtId="164" fontId="0" fillId="0" borderId="2" xfId="0" applyNumberFormat="1" applyBorder="1" applyAlignment="1">
      <alignment horizontal="right"/>
    </xf>
    <xf numFmtId="14" fontId="0" fillId="2" borderId="2" xfId="0" applyNumberFormat="1" applyFill="1" applyBorder="1" applyAlignment="1">
      <alignment horizontal="right"/>
    </xf>
    <xf numFmtId="0" fontId="0" fillId="0" borderId="2" xfId="0" applyBorder="1" applyAlignment="1">
      <alignment horizontal="left"/>
    </xf>
    <xf numFmtId="167" fontId="0" fillId="0" borderId="1" xfId="0" applyNumberFormat="1" applyBorder="1"/>
    <xf numFmtId="0" fontId="0" fillId="0" borderId="1" xfId="0" applyBorder="1" applyAlignment="1">
      <alignment horizontal="left"/>
    </xf>
    <xf numFmtId="164" fontId="0" fillId="0" borderId="1" xfId="0" applyNumberFormat="1" applyBorder="1" applyAlignment="1">
      <alignment horizontal="center"/>
    </xf>
    <xf numFmtId="14" fontId="0" fillId="0" borderId="1" xfId="0" applyNumberFormat="1" applyBorder="1"/>
    <xf numFmtId="170" fontId="0" fillId="0" borderId="1" xfId="0" applyNumberFormat="1" applyBorder="1"/>
    <xf numFmtId="164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65" fontId="0" fillId="0" borderId="2" xfId="0" applyNumberFormat="1" applyBorder="1" applyAlignment="1">
      <alignment horizontal="right"/>
    </xf>
    <xf numFmtId="167" fontId="0" fillId="0" borderId="2" xfId="0" applyNumberFormat="1" applyBorder="1"/>
    <xf numFmtId="164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0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4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0" fontId="0" fillId="0" borderId="22" xfId="0" applyBorder="1" applyAlignment="1">
      <alignment horizontal="right"/>
    </xf>
    <xf numFmtId="14" fontId="0" fillId="2" borderId="22" xfId="0" applyNumberFormat="1" applyFill="1" applyBorder="1" applyAlignment="1">
      <alignment horizontal="right"/>
    </xf>
    <xf numFmtId="0" fontId="0" fillId="0" borderId="22" xfId="0" applyBorder="1" applyAlignment="1">
      <alignment horizontal="left"/>
    </xf>
    <xf numFmtId="0" fontId="0" fillId="2" borderId="22" xfId="0" applyFill="1" applyBorder="1" applyAlignment="1" applyProtection="1">
      <alignment horizontal="right"/>
      <protection locked="0"/>
    </xf>
    <xf numFmtId="14" fontId="0" fillId="2" borderId="22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left"/>
      <protection locked="0"/>
    </xf>
    <xf numFmtId="0" fontId="0" fillId="2" borderId="23" xfId="0" applyFill="1" applyBorder="1" applyAlignment="1" applyProtection="1">
      <alignment horizontal="right"/>
      <protection locked="0"/>
    </xf>
    <xf numFmtId="171" fontId="0" fillId="0" borderId="1" xfId="0" applyNumberFormat="1" applyBorder="1" applyAlignment="1">
      <alignment horizontal="right"/>
    </xf>
    <xf numFmtId="171" fontId="0" fillId="0" borderId="22" xfId="0" applyNumberFormat="1" applyBorder="1" applyAlignment="1">
      <alignment horizontal="right"/>
    </xf>
    <xf numFmtId="171" fontId="0" fillId="2" borderId="22" xfId="0" applyNumberFormat="1" applyFill="1" applyBorder="1" applyAlignment="1" applyProtection="1">
      <alignment horizontal="right"/>
      <protection locked="0"/>
    </xf>
    <xf numFmtId="171" fontId="0" fillId="2" borderId="23" xfId="0" applyNumberFormat="1" applyFill="1" applyBorder="1" applyAlignment="1" applyProtection="1">
      <alignment horizontal="right"/>
      <protection locked="0"/>
    </xf>
    <xf numFmtId="172" fontId="0" fillId="2" borderId="1" xfId="0" applyNumberFormat="1" applyFill="1" applyBorder="1" applyAlignment="1">
      <alignment horizontal="right"/>
    </xf>
    <xf numFmtId="172" fontId="0" fillId="2" borderId="22" xfId="0" applyNumberFormat="1" applyFill="1" applyBorder="1" applyAlignment="1">
      <alignment horizontal="right"/>
    </xf>
    <xf numFmtId="172" fontId="0" fillId="2" borderId="22" xfId="0" applyNumberFormat="1" applyFill="1" applyBorder="1" applyAlignment="1" applyProtection="1">
      <alignment horizontal="right"/>
      <protection locked="0"/>
    </xf>
    <xf numFmtId="172" fontId="0" fillId="2" borderId="23" xfId="0" applyNumberFormat="1" applyFill="1" applyBorder="1" applyAlignment="1" applyProtection="1">
      <alignment horizontal="right"/>
      <protection locked="0"/>
    </xf>
    <xf numFmtId="167" fontId="0" fillId="0" borderId="1" xfId="0" applyNumberFormat="1" applyBorder="1" applyAlignment="1">
      <alignment horizontal="right"/>
    </xf>
    <xf numFmtId="167" fontId="0" fillId="0" borderId="22" xfId="0" applyNumberFormat="1" applyBorder="1" applyAlignment="1">
      <alignment horizontal="right"/>
    </xf>
    <xf numFmtId="167" fontId="0" fillId="2" borderId="22" xfId="0" applyNumberFormat="1" applyFill="1" applyBorder="1" applyAlignment="1" applyProtection="1">
      <alignment horizontal="right"/>
      <protection locked="0"/>
    </xf>
    <xf numFmtId="167" fontId="0" fillId="2" borderId="23" xfId="0" applyNumberFormat="1" applyFill="1" applyBorder="1" applyAlignment="1" applyProtection="1">
      <alignment horizontal="right"/>
      <protection locked="0"/>
    </xf>
    <xf numFmtId="164" fontId="0" fillId="0" borderId="22" xfId="0" applyNumberFormat="1" applyBorder="1" applyAlignment="1">
      <alignment horizontal="right"/>
    </xf>
    <xf numFmtId="164" fontId="0" fillId="2" borderId="22" xfId="0" applyNumberFormat="1" applyFill="1" applyBorder="1" applyAlignment="1" applyProtection="1">
      <alignment horizontal="right"/>
      <protection locked="0"/>
    </xf>
    <xf numFmtId="164" fontId="0" fillId="2" borderId="23" xfId="0" applyNumberFormat="1" applyFill="1" applyBorder="1" applyAlignment="1" applyProtection="1">
      <alignment horizontal="right"/>
      <protection locked="0"/>
    </xf>
    <xf numFmtId="0" fontId="0" fillId="2" borderId="23" xfId="0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right"/>
    </xf>
    <xf numFmtId="166" fontId="0" fillId="0" borderId="22" xfId="0" applyNumberFormat="1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1" fontId="0" fillId="0" borderId="2" xfId="0" applyNumberFormat="1" applyBorder="1" applyAlignment="1">
      <alignment horizontal="right"/>
    </xf>
    <xf numFmtId="172" fontId="0" fillId="2" borderId="2" xfId="0" applyNumberFormat="1" applyFill="1" applyBorder="1" applyAlignment="1">
      <alignment horizontal="right"/>
    </xf>
    <xf numFmtId="165" fontId="0" fillId="0" borderId="1" xfId="0" applyNumberFormat="1" applyBorder="1" applyAlignment="1">
      <alignment horizontal="right"/>
    </xf>
    <xf numFmtId="170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4" xfId="0" applyFill="1" applyBorder="1"/>
    <xf numFmtId="0" fontId="0" fillId="2" borderId="27" xfId="0" applyFill="1" applyBorder="1"/>
    <xf numFmtId="0" fontId="0" fillId="2" borderId="28" xfId="0" applyFill="1" applyBorder="1"/>
    <xf numFmtId="0" fontId="0" fillId="2" borderId="29" xfId="0" applyFill="1" applyBorder="1"/>
    <xf numFmtId="0" fontId="2" fillId="2" borderId="30" xfId="0" applyFont="1" applyFill="1" applyBorder="1" applyAlignment="1">
      <alignment horizontal="centerContinuous"/>
    </xf>
    <xf numFmtId="0" fontId="0" fillId="2" borderId="31" xfId="0" applyFill="1" applyBorder="1" applyAlignment="1">
      <alignment horizontal="centerContinuous"/>
    </xf>
    <xf numFmtId="14" fontId="0" fillId="2" borderId="32" xfId="0" applyNumberFormat="1" applyFill="1" applyBorder="1" applyAlignment="1">
      <alignment horizontal="centerContinuous"/>
    </xf>
    <xf numFmtId="0" fontId="0" fillId="2" borderId="28" xfId="0" applyFill="1" applyBorder="1" applyAlignment="1">
      <alignment horizontal="centerContinuous"/>
    </xf>
    <xf numFmtId="0" fontId="0" fillId="2" borderId="30" xfId="0" applyFill="1" applyBorder="1"/>
    <xf numFmtId="0" fontId="0" fillId="2" borderId="31" xfId="0" applyFill="1" applyBorder="1"/>
    <xf numFmtId="44" fontId="6" fillId="2" borderId="33" xfId="0" applyNumberFormat="1" applyFont="1" applyFill="1" applyBorder="1"/>
    <xf numFmtId="44" fontId="0" fillId="2" borderId="33" xfId="0" applyNumberFormat="1" applyFill="1" applyBorder="1"/>
    <xf numFmtId="44" fontId="0" fillId="0" borderId="33" xfId="0" applyNumberFormat="1" applyBorder="1"/>
    <xf numFmtId="44" fontId="0" fillId="4" borderId="33" xfId="0" applyNumberFormat="1" applyFill="1" applyBorder="1"/>
    <xf numFmtId="44" fontId="0" fillId="0" borderId="34" xfId="0" applyNumberFormat="1" applyBorder="1"/>
    <xf numFmtId="44" fontId="2" fillId="11" borderId="35" xfId="0" applyNumberFormat="1" applyFont="1" applyFill="1" applyBorder="1"/>
    <xf numFmtId="0" fontId="2" fillId="2" borderId="28" xfId="0" applyFont="1" applyFill="1" applyBorder="1" applyAlignment="1">
      <alignment horizontal="centerContinuous"/>
    </xf>
    <xf numFmtId="0" fontId="2" fillId="2" borderId="27" xfId="0" applyFont="1" applyFill="1" applyBorder="1" applyAlignment="1">
      <alignment horizontal="centerContinuous"/>
    </xf>
    <xf numFmtId="0" fontId="0" fillId="13" borderId="0" xfId="0" applyFill="1"/>
    <xf numFmtId="44" fontId="0" fillId="13" borderId="0" xfId="0" applyNumberFormat="1" applyFill="1"/>
    <xf numFmtId="0" fontId="0" fillId="2" borderId="26" xfId="0" applyFill="1" applyBorder="1" applyAlignment="1">
      <alignment horizontal="left"/>
    </xf>
    <xf numFmtId="0" fontId="0" fillId="2" borderId="29" xfId="0" applyFill="1" applyBorder="1" applyAlignment="1">
      <alignment horizontal="left"/>
    </xf>
    <xf numFmtId="44" fontId="1" fillId="2" borderId="36" xfId="0" applyNumberFormat="1" applyFont="1" applyFill="1" applyBorder="1"/>
    <xf numFmtId="44" fontId="1" fillId="2" borderId="37" xfId="0" applyNumberFormat="1" applyFont="1" applyFill="1" applyBorder="1"/>
    <xf numFmtId="44" fontId="1" fillId="2" borderId="38" xfId="0" applyNumberFormat="1" applyFont="1" applyFill="1" applyBorder="1"/>
    <xf numFmtId="0" fontId="4" fillId="2" borderId="23" xfId="0" applyFont="1" applyFill="1" applyBorder="1" applyAlignment="1">
      <alignment horizontal="center" vertical="center" wrapText="1"/>
    </xf>
    <xf numFmtId="14" fontId="2" fillId="2" borderId="1" xfId="0" applyNumberFormat="1" applyFont="1" applyFill="1" applyBorder="1"/>
    <xf numFmtId="8" fontId="0" fillId="0" borderId="0" xfId="0" applyNumberFormat="1"/>
    <xf numFmtId="14" fontId="10" fillId="14" borderId="32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8" fontId="2" fillId="0" borderId="1" xfId="0" applyNumberFormat="1" applyFont="1" applyBorder="1"/>
    <xf numFmtId="0" fontId="2" fillId="0" borderId="39" xfId="0" applyFont="1" applyBorder="1" applyAlignment="1">
      <alignment horizontal="centerContinuous"/>
    </xf>
    <xf numFmtId="8" fontId="14" fillId="0" borderId="1" xfId="0" applyNumberFormat="1" applyFont="1" applyBorder="1"/>
    <xf numFmtId="0" fontId="2" fillId="0" borderId="40" xfId="0" applyFont="1" applyBorder="1" applyAlignment="1">
      <alignment horizontal="centerContinuous"/>
    </xf>
    <xf numFmtId="8" fontId="14" fillId="0" borderId="22" xfId="0" applyNumberFormat="1" applyFont="1" applyBorder="1"/>
    <xf numFmtId="0" fontId="0" fillId="0" borderId="1" xfId="0" applyBorder="1" applyAlignment="1">
      <alignment horizontal="centerContinuous"/>
    </xf>
    <xf numFmtId="0" fontId="2" fillId="0" borderId="41" xfId="0" applyFont="1" applyBorder="1" applyAlignment="1">
      <alignment horizontal="centerContinuous"/>
    </xf>
    <xf numFmtId="8" fontId="0" fillId="13" borderId="0" xfId="0" applyNumberFormat="1" applyFill="1"/>
    <xf numFmtId="8" fontId="6" fillId="0" borderId="1" xfId="0" applyNumberFormat="1" applyFont="1" applyBorder="1"/>
    <xf numFmtId="1" fontId="14" fillId="0" borderId="22" xfId="0" applyNumberFormat="1" applyFont="1" applyBorder="1"/>
    <xf numFmtId="1" fontId="14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8" fontId="6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8" fontId="15" fillId="2" borderId="39" xfId="0" applyNumberFormat="1" applyFont="1" applyFill="1" applyBorder="1" applyAlignment="1">
      <alignment horizontal="centerContinuous"/>
    </xf>
    <xf numFmtId="0" fontId="0" fillId="2" borderId="40" xfId="0" applyFill="1" applyBorder="1" applyAlignment="1">
      <alignment horizontal="centerContinuous"/>
    </xf>
    <xf numFmtId="2" fontId="1" fillId="0" borderId="0" xfId="0" applyNumberFormat="1" applyFont="1"/>
    <xf numFmtId="173" fontId="1" fillId="0" borderId="0" xfId="0" applyNumberFormat="1" applyFont="1"/>
    <xf numFmtId="0" fontId="19" fillId="0" borderId="0" xfId="0" applyFont="1"/>
    <xf numFmtId="0" fontId="2" fillId="0" borderId="1" xfId="0" applyFont="1" applyBorder="1"/>
    <xf numFmtId="14" fontId="20" fillId="18" borderId="3" xfId="4" applyNumberFormat="1" applyFont="1" applyFill="1" applyBorder="1" applyAlignment="1"/>
    <xf numFmtId="9" fontId="20" fillId="18" borderId="1" xfId="4" applyNumberFormat="1" applyFont="1" applyFill="1" applyBorder="1" applyAlignment="1"/>
    <xf numFmtId="0" fontId="20" fillId="18" borderId="3" xfId="4" applyFont="1" applyFill="1" applyBorder="1" applyAlignment="1">
      <alignment horizontal="right"/>
    </xf>
    <xf numFmtId="164" fontId="20" fillId="18" borderId="1" xfId="2" applyNumberFormat="1" applyFont="1" applyFill="1" applyBorder="1" applyAlignment="1"/>
    <xf numFmtId="0" fontId="16" fillId="0" borderId="0" xfId="4" applyFill="1" applyBorder="1" applyAlignment="1"/>
    <xf numFmtId="174" fontId="20" fillId="18" borderId="1" xfId="5" applyNumberFormat="1" applyFont="1" applyFill="1" applyBorder="1" applyAlignment="1"/>
    <xf numFmtId="174" fontId="17" fillId="0" borderId="0" xfId="5" applyNumberFormat="1" applyFill="1" applyBorder="1" applyAlignment="1"/>
    <xf numFmtId="1" fontId="20" fillId="18" borderId="43" xfId="4" applyNumberFormat="1" applyFont="1" applyFill="1" applyBorder="1" applyAlignment="1"/>
    <xf numFmtId="164" fontId="20" fillId="18" borderId="1" xfId="4" applyNumberFormat="1" applyFont="1" applyFill="1" applyBorder="1" applyAlignment="1"/>
    <xf numFmtId="1" fontId="16" fillId="0" borderId="0" xfId="4" applyNumberFormat="1" applyFill="1" applyBorder="1" applyAlignment="1"/>
    <xf numFmtId="0" fontId="10" fillId="17" borderId="0" xfId="6" applyFont="1"/>
    <xf numFmtId="0" fontId="20" fillId="18" borderId="1" xfId="4" applyFont="1" applyFill="1" applyBorder="1" applyAlignment="1">
      <alignment horizontal="right"/>
    </xf>
    <xf numFmtId="174" fontId="20" fillId="18" borderId="44" xfId="5" applyNumberFormat="1" applyFont="1" applyFill="1" applyBorder="1" applyAlignment="1"/>
    <xf numFmtId="174" fontId="20" fillId="16" borderId="1" xfId="5" applyNumberFormat="1" applyFont="1" applyBorder="1" applyAlignment="1">
      <alignment horizontal="right"/>
    </xf>
    <xf numFmtId="0" fontId="2" fillId="18" borderId="39" xfId="0" applyFont="1" applyFill="1" applyBorder="1" applyAlignment="1">
      <alignment horizontal="centerContinuous"/>
    </xf>
    <xf numFmtId="0" fontId="0" fillId="18" borderId="40" xfId="0" applyFill="1" applyBorder="1" applyAlignment="1">
      <alignment horizontal="centerContinuous"/>
    </xf>
    <xf numFmtId="0" fontId="0" fillId="18" borderId="41" xfId="0" applyFill="1" applyBorder="1" applyAlignment="1">
      <alignment horizontal="centerContinuous"/>
    </xf>
    <xf numFmtId="8" fontId="0" fillId="18" borderId="40" xfId="0" applyNumberFormat="1" applyFill="1" applyBorder="1" applyAlignment="1">
      <alignment horizontal="centerContinuous"/>
    </xf>
    <xf numFmtId="8" fontId="0" fillId="18" borderId="1" xfId="0" applyNumberFormat="1" applyFill="1" applyBorder="1" applyAlignment="1">
      <alignment horizontal="centerContinuous"/>
    </xf>
    <xf numFmtId="14" fontId="0" fillId="18" borderId="40" xfId="7" applyNumberFormat="1" applyFont="1" applyFill="1" applyBorder="1" applyAlignment="1">
      <alignment horizontal="centerContinuous"/>
    </xf>
    <xf numFmtId="0" fontId="10" fillId="6" borderId="19" xfId="0" applyFont="1" applyFill="1" applyBorder="1" applyAlignment="1">
      <alignment horizontal="left"/>
    </xf>
    <xf numFmtId="1" fontId="20" fillId="0" borderId="0" xfId="4" applyNumberFormat="1" applyFont="1" applyFill="1" applyBorder="1" applyAlignment="1"/>
    <xf numFmtId="174" fontId="20" fillId="0" borderId="0" xfId="5" applyNumberFormat="1" applyFont="1" applyFill="1" applyBorder="1" applyAlignment="1">
      <alignment horizontal="right"/>
    </xf>
    <xf numFmtId="1" fontId="20" fillId="18" borderId="39" xfId="4" applyNumberFormat="1" applyFont="1" applyFill="1" applyBorder="1" applyAlignment="1"/>
    <xf numFmtId="1" fontId="20" fillId="18" borderId="40" xfId="4" applyNumberFormat="1" applyFont="1" applyFill="1" applyBorder="1" applyAlignment="1"/>
    <xf numFmtId="1" fontId="20" fillId="18" borderId="41" xfId="4" applyNumberFormat="1" applyFont="1" applyFill="1" applyBorder="1" applyAlignment="1"/>
    <xf numFmtId="44" fontId="0" fillId="0" borderId="0" xfId="2" applyFont="1"/>
    <xf numFmtId="44" fontId="1" fillId="0" borderId="0" xfId="2" applyFont="1"/>
    <xf numFmtId="165" fontId="0" fillId="0" borderId="1" xfId="0" applyNumberFormat="1" applyBorder="1" applyAlignment="1">
      <alignment horizontal="left"/>
    </xf>
    <xf numFmtId="8" fontId="0" fillId="0" borderId="1" xfId="0" applyNumberFormat="1" applyBorder="1"/>
    <xf numFmtId="8" fontId="1" fillId="0" borderId="1" xfId="0" applyNumberFormat="1" applyFont="1" applyBorder="1"/>
    <xf numFmtId="0" fontId="12" fillId="8" borderId="10" xfId="3" applyFont="1" applyFill="1" applyBorder="1" applyAlignment="1" applyProtection="1">
      <alignment horizontal="center"/>
    </xf>
    <xf numFmtId="0" fontId="12" fillId="8" borderId="0" xfId="3" applyFont="1" applyFill="1" applyBorder="1" applyAlignment="1" applyProtection="1">
      <alignment horizontal="center"/>
    </xf>
    <xf numFmtId="0" fontId="0" fillId="8" borderId="10" xfId="0" applyFill="1" applyBorder="1"/>
    <xf numFmtId="0" fontId="0" fillId="8" borderId="0" xfId="0" applyFill="1"/>
    <xf numFmtId="0" fontId="2" fillId="8" borderId="0" xfId="0" applyFont="1" applyFill="1"/>
    <xf numFmtId="0" fontId="12" fillId="8" borderId="11" xfId="3" applyFont="1" applyFill="1" applyBorder="1" applyAlignment="1" applyProtection="1">
      <alignment horizontal="center"/>
    </xf>
    <xf numFmtId="0" fontId="0" fillId="8" borderId="11" xfId="0" applyFill="1" applyBorder="1"/>
    <xf numFmtId="0" fontId="0" fillId="8" borderId="14" xfId="0" applyFill="1" applyBorder="1"/>
    <xf numFmtId="0" fontId="0" fillId="8" borderId="13" xfId="0" applyFill="1" applyBorder="1"/>
    <xf numFmtId="167" fontId="1" fillId="8" borderId="0" xfId="0" applyNumberFormat="1" applyFont="1" applyFill="1" applyAlignment="1" applyProtection="1">
      <alignment horizontal="center"/>
      <protection locked="0"/>
    </xf>
    <xf numFmtId="0" fontId="2" fillId="8" borderId="0" xfId="0" applyFont="1" applyFill="1" applyAlignment="1">
      <alignment wrapText="1"/>
    </xf>
    <xf numFmtId="14" fontId="1" fillId="8" borderId="0" xfId="0" applyNumberFormat="1" applyFont="1" applyFill="1" applyAlignment="1" applyProtection="1">
      <alignment horizontal="center"/>
      <protection locked="0"/>
    </xf>
    <xf numFmtId="0" fontId="0" fillId="8" borderId="12" xfId="0" applyFill="1" applyBorder="1"/>
    <xf numFmtId="7" fontId="0" fillId="0" borderId="1" xfId="0" applyNumberFormat="1" applyBorder="1"/>
    <xf numFmtId="9" fontId="0" fillId="2" borderId="6" xfId="1" applyFont="1" applyFill="1" applyBorder="1" applyProtection="1">
      <protection locked="0"/>
    </xf>
    <xf numFmtId="44" fontId="0" fillId="0" borderId="45" xfId="0" applyNumberFormat="1" applyBorder="1"/>
    <xf numFmtId="44" fontId="0" fillId="0" borderId="35" xfId="0" applyNumberFormat="1" applyBorder="1"/>
    <xf numFmtId="0" fontId="7" fillId="2" borderId="0" xfId="0" applyFont="1" applyFill="1"/>
    <xf numFmtId="0" fontId="23" fillId="2" borderId="0" xfId="0" applyFont="1" applyFill="1"/>
    <xf numFmtId="175" fontId="23" fillId="2" borderId="0" xfId="0" applyNumberFormat="1" applyFont="1" applyFill="1"/>
    <xf numFmtId="175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6" xfId="0" applyFill="1" applyBorder="1" applyAlignment="1">
      <alignment vertical="center"/>
    </xf>
    <xf numFmtId="0" fontId="0" fillId="2" borderId="29" xfId="0" applyFill="1" applyBorder="1" applyAlignment="1">
      <alignment vertical="center"/>
    </xf>
    <xf numFmtId="44" fontId="0" fillId="0" borderId="32" xfId="0" applyNumberFormat="1" applyBorder="1" applyAlignment="1">
      <alignment horizontal="centerContinuous"/>
    </xf>
    <xf numFmtId="44" fontId="0" fillId="0" borderId="46" xfId="0" applyNumberFormat="1" applyBorder="1"/>
    <xf numFmtId="0" fontId="2" fillId="2" borderId="30" xfId="0" applyFont="1" applyFill="1" applyBorder="1" applyAlignment="1">
      <alignment horizontal="centerContinuous" vertical="center"/>
    </xf>
    <xf numFmtId="0" fontId="13" fillId="2" borderId="31" xfId="0" applyFont="1" applyFill="1" applyBorder="1" applyAlignment="1">
      <alignment horizontal="centerContinuous"/>
    </xf>
    <xf numFmtId="0" fontId="13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7" xfId="0" applyFill="1" applyBorder="1"/>
    <xf numFmtId="0" fontId="13" fillId="2" borderId="36" xfId="0" applyFont="1" applyFill="1" applyBorder="1" applyAlignment="1">
      <alignment horizontal="centerContinuous"/>
    </xf>
    <xf numFmtId="0" fontId="0" fillId="2" borderId="32" xfId="0" applyFill="1" applyBorder="1"/>
    <xf numFmtId="44" fontId="2" fillId="7" borderId="25" xfId="0" applyNumberFormat="1" applyFont="1" applyFill="1" applyBorder="1"/>
    <xf numFmtId="175" fontId="0" fillId="2" borderId="47" xfId="0" applyNumberFormat="1" applyFill="1" applyBorder="1"/>
    <xf numFmtId="14" fontId="2" fillId="2" borderId="2" xfId="0" applyNumberFormat="1" applyFont="1" applyFill="1" applyBorder="1" applyAlignment="1">
      <alignment horizontal="left"/>
    </xf>
    <xf numFmtId="164" fontId="0" fillId="2" borderId="5" xfId="0" applyNumberFormat="1" applyFill="1" applyBorder="1"/>
    <xf numFmtId="8" fontId="10" fillId="12" borderId="46" xfId="0" applyNumberFormat="1" applyFont="1" applyFill="1" applyBorder="1"/>
    <xf numFmtId="165" fontId="0" fillId="2" borderId="6" xfId="0" applyNumberFormat="1" applyFill="1" applyBorder="1" applyProtection="1">
      <protection locked="0"/>
    </xf>
    <xf numFmtId="165" fontId="0" fillId="2" borderId="22" xfId="0" applyNumberFormat="1" applyFill="1" applyBorder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164" fontId="0" fillId="8" borderId="0" xfId="0" applyNumberFormat="1" applyFill="1"/>
    <xf numFmtId="14" fontId="0" fillId="8" borderId="0" xfId="0" applyNumberFormat="1" applyFill="1"/>
    <xf numFmtId="0" fontId="0" fillId="2" borderId="0" xfId="0" applyFill="1" applyProtection="1">
      <protection locked="0"/>
    </xf>
    <xf numFmtId="0" fontId="2" fillId="2" borderId="29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8" fontId="0" fillId="2" borderId="1" xfId="0" applyNumberFormat="1" applyFill="1" applyBorder="1"/>
    <xf numFmtId="0" fontId="18" fillId="9" borderId="0" xfId="0" applyFont="1" applyFill="1" applyProtection="1">
      <protection locked="0"/>
    </xf>
    <xf numFmtId="0" fontId="18" fillId="9" borderId="0" xfId="0" applyFont="1" applyFill="1"/>
    <xf numFmtId="164" fontId="0" fillId="8" borderId="0" xfId="0" applyNumberFormat="1" applyFill="1" applyAlignment="1">
      <alignment wrapText="1"/>
    </xf>
    <xf numFmtId="44" fontId="10" fillId="19" borderId="25" xfId="0" applyNumberFormat="1" applyFont="1" applyFill="1" applyBorder="1"/>
    <xf numFmtId="44" fontId="0" fillId="0" borderId="1" xfId="2" applyFont="1" applyFill="1" applyBorder="1"/>
    <xf numFmtId="44" fontId="1" fillId="0" borderId="1" xfId="2" applyFont="1" applyFill="1" applyBorder="1"/>
    <xf numFmtId="44" fontId="1" fillId="0" borderId="1" xfId="2" applyFont="1" applyBorder="1"/>
    <xf numFmtId="164" fontId="0" fillId="0" borderId="1" xfId="2" applyNumberFormat="1" applyFont="1" applyBorder="1"/>
    <xf numFmtId="164" fontId="1" fillId="0" borderId="1" xfId="2" applyNumberFormat="1" applyFont="1" applyBorder="1"/>
    <xf numFmtId="0" fontId="2" fillId="3" borderId="0" xfId="0" applyFont="1" applyFill="1" applyAlignment="1">
      <alignment horizontal="centerContinuous"/>
    </xf>
    <xf numFmtId="0" fontId="2" fillId="7" borderId="0" xfId="0" applyFont="1" applyFill="1" applyAlignment="1">
      <alignment horizontal="centerContinuous"/>
    </xf>
    <xf numFmtId="0" fontId="2" fillId="4" borderId="0" xfId="0" applyFont="1" applyFill="1" applyAlignment="1">
      <alignment horizontal="centerContinuous"/>
    </xf>
    <xf numFmtId="0" fontId="10" fillId="9" borderId="48" xfId="0" applyFont="1" applyFill="1" applyBorder="1" applyAlignment="1">
      <alignment horizontal="centerContinuous"/>
    </xf>
    <xf numFmtId="0" fontId="2" fillId="8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/>
    </xf>
    <xf numFmtId="44" fontId="2" fillId="8" borderId="1" xfId="0" applyNumberFormat="1" applyFont="1" applyFill="1" applyBorder="1"/>
    <xf numFmtId="0" fontId="0" fillId="0" borderId="0" xfId="0" pivotButton="1"/>
    <xf numFmtId="176" fontId="0" fillId="13" borderId="0" xfId="0" applyNumberFormat="1" applyFill="1"/>
    <xf numFmtId="8" fontId="0" fillId="2" borderId="2" xfId="0" applyNumberFormat="1" applyFill="1" applyBorder="1"/>
    <xf numFmtId="164" fontId="24" fillId="0" borderId="2" xfId="0" applyNumberFormat="1" applyFont="1" applyBorder="1" applyAlignment="1">
      <alignment horizontal="right"/>
    </xf>
    <xf numFmtId="167" fontId="0" fillId="0" borderId="1" xfId="0" applyNumberFormat="1" applyBorder="1" applyAlignment="1">
      <alignment horizontal="center"/>
    </xf>
    <xf numFmtId="44" fontId="2" fillId="13" borderId="0" xfId="0" applyNumberFormat="1" applyFont="1" applyFill="1"/>
    <xf numFmtId="164" fontId="5" fillId="0" borderId="5" xfId="0" applyNumberFormat="1" applyFont="1" applyBorder="1"/>
    <xf numFmtId="0" fontId="26" fillId="8" borderId="0" xfId="3" applyFont="1" applyFill="1" applyBorder="1" applyAlignment="1" applyProtection="1">
      <alignment horizontal="center"/>
    </xf>
    <xf numFmtId="166" fontId="0" fillId="0" borderId="0" xfId="0" applyNumberFormat="1" applyProtection="1">
      <protection locked="0"/>
    </xf>
    <xf numFmtId="177" fontId="2" fillId="8" borderId="0" xfId="0" applyNumberFormat="1" applyFont="1" applyFill="1"/>
    <xf numFmtId="165" fontId="2" fillId="2" borderId="2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9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9" xfId="0" applyNumberFormat="1" applyBorder="1"/>
    <xf numFmtId="14" fontId="0" fillId="0" borderId="39" xfId="0" applyNumberFormat="1" applyBorder="1" applyAlignment="1">
      <alignment vertical="center"/>
    </xf>
    <xf numFmtId="0" fontId="18" fillId="9" borderId="0" xfId="0" applyFont="1" applyFill="1" applyAlignment="1" applyProtection="1">
      <alignment horizontal="left"/>
      <protection locked="0"/>
    </xf>
    <xf numFmtId="0" fontId="18" fillId="9" borderId="0" xfId="0" applyFont="1" applyFill="1" applyAlignment="1">
      <alignment horizontal="left"/>
    </xf>
    <xf numFmtId="165" fontId="18" fillId="9" borderId="0" xfId="0" applyNumberFormat="1" applyFont="1" applyFill="1" applyAlignment="1">
      <alignment horizontal="left"/>
    </xf>
    <xf numFmtId="165" fontId="18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7" fontId="0" fillId="0" borderId="1" xfId="2" applyNumberFormat="1" applyFont="1" applyBorder="1"/>
    <xf numFmtId="7" fontId="0" fillId="0" borderId="0" xfId="0" applyNumberFormat="1"/>
    <xf numFmtId="0" fontId="0" fillId="0" borderId="4" xfId="0" applyBorder="1"/>
    <xf numFmtId="49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/>
    <xf numFmtId="0" fontId="0" fillId="0" borderId="2" xfId="0" applyBorder="1"/>
    <xf numFmtId="44" fontId="0" fillId="0" borderId="0" xfId="2" applyFont="1" applyBorder="1"/>
    <xf numFmtId="44" fontId="0" fillId="0" borderId="2" xfId="2" applyFont="1" applyBorder="1"/>
    <xf numFmtId="0" fontId="0" fillId="0" borderId="0" xfId="2" applyNumberFormat="1" applyFont="1" applyBorder="1"/>
    <xf numFmtId="8" fontId="0" fillId="0" borderId="2" xfId="0" applyNumberFormat="1" applyBorder="1"/>
    <xf numFmtId="14" fontId="0" fillId="0" borderId="2" xfId="0" applyNumberFormat="1" applyBorder="1"/>
    <xf numFmtId="7" fontId="0" fillId="0" borderId="2" xfId="0" applyNumberFormat="1" applyBorder="1"/>
    <xf numFmtId="0" fontId="0" fillId="0" borderId="2" xfId="2" applyNumberFormat="1" applyFont="1" applyBorder="1"/>
    <xf numFmtId="165" fontId="0" fillId="0" borderId="2" xfId="0" applyNumberFormat="1" applyBorder="1" applyAlignment="1">
      <alignment horizontal="left"/>
    </xf>
    <xf numFmtId="8" fontId="1" fillId="0" borderId="2" xfId="0" applyNumberFormat="1" applyFont="1" applyBorder="1"/>
    <xf numFmtId="14" fontId="0" fillId="0" borderId="4" xfId="0" applyNumberFormat="1" applyBorder="1"/>
    <xf numFmtId="7" fontId="0" fillId="0" borderId="4" xfId="0" applyNumberFormat="1" applyBorder="1"/>
    <xf numFmtId="8" fontId="0" fillId="0" borderId="3" xfId="0" applyNumberFormat="1" applyBorder="1"/>
    <xf numFmtId="0" fontId="2" fillId="20" borderId="1" xfId="0" applyFont="1" applyFill="1" applyBorder="1" applyAlignment="1">
      <alignment horizontal="left"/>
    </xf>
    <xf numFmtId="8" fontId="0" fillId="0" borderId="1" xfId="2" applyNumberFormat="1" applyFont="1" applyBorder="1"/>
    <xf numFmtId="8" fontId="2" fillId="8" borderId="1" xfId="0" applyNumberFormat="1" applyFont="1" applyFill="1" applyBorder="1"/>
    <xf numFmtId="2" fontId="0" fillId="2" borderId="0" xfId="0" applyNumberFormat="1" applyFill="1"/>
    <xf numFmtId="0" fontId="1" fillId="13" borderId="0" xfId="0" applyFont="1" applyFill="1"/>
    <xf numFmtId="0" fontId="0" fillId="0" borderId="3" xfId="0" applyBorder="1"/>
    <xf numFmtId="0" fontId="6" fillId="13" borderId="0" xfId="0" applyFont="1" applyFill="1"/>
    <xf numFmtId="178" fontId="0" fillId="0" borderId="0" xfId="0" applyNumberFormat="1"/>
    <xf numFmtId="0" fontId="2" fillId="0" borderId="49" xfId="0" applyFont="1" applyBorder="1"/>
    <xf numFmtId="0" fontId="2" fillId="0" borderId="22" xfId="0" applyFont="1" applyBorder="1"/>
    <xf numFmtId="0" fontId="2" fillId="0" borderId="43" xfId="0" applyFont="1" applyBorder="1"/>
    <xf numFmtId="178" fontId="0" fillId="0" borderId="50" xfId="0" applyNumberFormat="1" applyBorder="1"/>
    <xf numFmtId="178" fontId="0" fillId="0" borderId="41" xfId="0" applyNumberFormat="1" applyBorder="1"/>
    <xf numFmtId="0" fontId="0" fillId="0" borderId="39" xfId="0" applyBorder="1"/>
    <xf numFmtId="165" fontId="0" fillId="7" borderId="2" xfId="0" applyNumberFormat="1" applyFill="1" applyBorder="1" applyAlignment="1">
      <alignment horizontal="right"/>
    </xf>
    <xf numFmtId="165" fontId="0" fillId="7" borderId="1" xfId="0" applyNumberFormat="1" applyFill="1" applyBorder="1"/>
    <xf numFmtId="165" fontId="0" fillId="7" borderId="22" xfId="0" applyNumberFormat="1" applyFill="1" applyBorder="1" applyAlignment="1">
      <alignment horizontal="right"/>
    </xf>
    <xf numFmtId="165" fontId="0" fillId="7" borderId="1" xfId="0" applyNumberFormat="1" applyFill="1" applyBorder="1" applyAlignment="1">
      <alignment horizontal="right"/>
    </xf>
    <xf numFmtId="165" fontId="0" fillId="7" borderId="22" xfId="0" applyNumberFormat="1" applyFill="1" applyBorder="1" applyAlignment="1" applyProtection="1">
      <alignment horizontal="right"/>
      <protection locked="0"/>
    </xf>
    <xf numFmtId="165" fontId="0" fillId="7" borderId="23" xfId="0" applyNumberFormat="1" applyFill="1" applyBorder="1" applyAlignment="1" applyProtection="1">
      <alignment horizontal="right"/>
      <protection locked="0"/>
    </xf>
    <xf numFmtId="166" fontId="20" fillId="21" borderId="2" xfId="0" applyNumberFormat="1" applyFont="1" applyFill="1" applyBorder="1" applyAlignment="1">
      <alignment horizontal="right"/>
    </xf>
    <xf numFmtId="165" fontId="1" fillId="7" borderId="2" xfId="0" applyNumberFormat="1" applyFont="1" applyFill="1" applyBorder="1" applyAlignment="1">
      <alignment horizontal="right"/>
    </xf>
    <xf numFmtId="166" fontId="0" fillId="21" borderId="2" xfId="0" applyNumberFormat="1" applyFill="1" applyBorder="1" applyAlignment="1">
      <alignment horizontal="right"/>
    </xf>
    <xf numFmtId="165" fontId="0" fillId="5" borderId="2" xfId="0" applyNumberFormat="1" applyFill="1" applyBorder="1" applyAlignment="1">
      <alignment horizontal="right"/>
    </xf>
    <xf numFmtId="167" fontId="0" fillId="2" borderId="2" xfId="0" applyNumberFormat="1" applyFill="1" applyBorder="1" applyAlignment="1" applyProtection="1">
      <alignment horizontal="right"/>
      <protection locked="0"/>
    </xf>
    <xf numFmtId="0" fontId="0" fillId="2" borderId="2" xfId="0" applyFill="1" applyBorder="1" applyAlignment="1" applyProtection="1">
      <alignment horizontal="right"/>
      <protection locked="0"/>
    </xf>
    <xf numFmtId="165" fontId="0" fillId="0" borderId="22" xfId="0" applyNumberFormat="1" applyBorder="1" applyAlignment="1">
      <alignment horizontal="right"/>
    </xf>
    <xf numFmtId="165" fontId="0" fillId="7" borderId="2" xfId="0" applyNumberFormat="1" applyFill="1" applyBorder="1" applyAlignment="1" applyProtection="1">
      <alignment horizontal="right"/>
      <protection locked="0"/>
    </xf>
    <xf numFmtId="164" fontId="0" fillId="2" borderId="2" xfId="0" applyNumberFormat="1" applyFill="1" applyBorder="1" applyAlignment="1" applyProtection="1">
      <alignment horizontal="right"/>
      <protection locked="0"/>
    </xf>
    <xf numFmtId="14" fontId="0" fillId="2" borderId="2" xfId="0" applyNumberFormat="1" applyFill="1" applyBorder="1" applyAlignment="1" applyProtection="1">
      <alignment horizontal="right"/>
      <protection locked="0"/>
    </xf>
    <xf numFmtId="171" fontId="0" fillId="2" borderId="2" xfId="0" applyNumberFormat="1" applyFill="1" applyBorder="1" applyAlignment="1" applyProtection="1">
      <alignment horizontal="right"/>
      <protection locked="0"/>
    </xf>
    <xf numFmtId="172" fontId="0" fillId="2" borderId="2" xfId="0" applyNumberFormat="1" applyFill="1" applyBorder="1" applyAlignment="1" applyProtection="1">
      <alignment horizontal="right"/>
      <protection locked="0"/>
    </xf>
    <xf numFmtId="0" fontId="0" fillId="2" borderId="2" xfId="0" applyFill="1" applyBorder="1" applyAlignment="1" applyProtection="1">
      <alignment horizontal="left"/>
      <protection locked="0"/>
    </xf>
    <xf numFmtId="166" fontId="0" fillId="4" borderId="1" xfId="0" applyNumberFormat="1" applyFill="1" applyBorder="1" applyAlignment="1">
      <alignment horizontal="right"/>
    </xf>
    <xf numFmtId="166" fontId="0" fillId="4" borderId="2" xfId="0" applyNumberFormat="1" applyFill="1" applyBorder="1" applyAlignment="1">
      <alignment horizontal="right"/>
    </xf>
    <xf numFmtId="166" fontId="0" fillId="21" borderId="1" xfId="0" applyNumberFormat="1" applyFill="1" applyBorder="1" applyAlignment="1">
      <alignment horizontal="right"/>
    </xf>
    <xf numFmtId="44" fontId="12" fillId="12" borderId="46" xfId="0" applyNumberFormat="1" applyFont="1" applyFill="1" applyBorder="1"/>
    <xf numFmtId="0" fontId="1" fillId="0" borderId="0" xfId="0" applyFont="1"/>
    <xf numFmtId="0" fontId="2" fillId="2" borderId="25" xfId="0" applyFont="1" applyFill="1" applyBorder="1" applyAlignment="1">
      <alignment vertical="center"/>
    </xf>
    <xf numFmtId="164" fontId="1" fillId="2" borderId="5" xfId="0" applyNumberFormat="1" applyFont="1" applyFill="1" applyBorder="1"/>
    <xf numFmtId="2" fontId="1" fillId="0" borderId="1" xfId="0" applyNumberFormat="1" applyFont="1" applyBorder="1"/>
    <xf numFmtId="0" fontId="27" fillId="13" borderId="0" xfId="0" applyFont="1" applyFill="1"/>
    <xf numFmtId="9" fontId="0" fillId="0" borderId="2" xfId="1" applyFont="1" applyBorder="1" applyAlignment="1">
      <alignment horizontal="right"/>
    </xf>
    <xf numFmtId="168" fontId="0" fillId="2" borderId="0" xfId="0" applyNumberFormat="1" applyFill="1" applyProtection="1">
      <protection locked="0"/>
    </xf>
    <xf numFmtId="0" fontId="12" fillId="5" borderId="15" xfId="3" applyFont="1" applyFill="1" applyBorder="1" applyAlignment="1" applyProtection="1">
      <alignment horizontal="center"/>
      <protection locked="0"/>
    </xf>
    <xf numFmtId="0" fontId="12" fillId="5" borderId="16" xfId="3" applyFont="1" applyFill="1" applyBorder="1" applyAlignment="1" applyProtection="1">
      <alignment horizontal="center"/>
      <protection locked="0"/>
    </xf>
    <xf numFmtId="0" fontId="12" fillId="5" borderId="17" xfId="3" applyFont="1" applyFill="1" applyBorder="1" applyAlignment="1" applyProtection="1">
      <alignment horizontal="center"/>
      <protection locked="0"/>
    </xf>
    <xf numFmtId="0" fontId="12" fillId="4" borderId="15" xfId="3" applyFont="1" applyFill="1" applyBorder="1" applyAlignment="1" applyProtection="1">
      <alignment horizontal="center"/>
      <protection locked="0"/>
    </xf>
    <xf numFmtId="0" fontId="12" fillId="4" borderId="16" xfId="3" applyFont="1" applyFill="1" applyBorder="1" applyAlignment="1" applyProtection="1">
      <alignment horizontal="center"/>
      <protection locked="0"/>
    </xf>
    <xf numFmtId="0" fontId="12" fillId="4" borderId="17" xfId="3" applyFont="1" applyFill="1" applyBorder="1" applyAlignment="1" applyProtection="1">
      <alignment horizontal="center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2" borderId="14" xfId="0" applyFill="1" applyBorder="1" applyAlignment="1" applyProtection="1">
      <alignment horizontal="left" vertical="center" wrapText="1"/>
      <protection locked="0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12" fillId="0" borderId="0" xfId="3" applyFont="1" applyBorder="1" applyAlignment="1" applyProtection="1">
      <alignment horizontal="left"/>
      <protection locked="0"/>
    </xf>
    <xf numFmtId="0" fontId="12" fillId="0" borderId="0" xfId="3" applyFont="1" applyAlignment="1" applyProtection="1">
      <alignment horizontal="left"/>
      <protection locked="0"/>
    </xf>
    <xf numFmtId="0" fontId="2" fillId="2" borderId="26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86">
    <dxf>
      <numFmt numFmtId="12" formatCode="&quot;$&quot;#,##0.00;[Red]&quot;$&quot;\-#,##0.00"/>
    </dxf>
    <dxf>
      <numFmt numFmtId="12" formatCode="&quot;$&quot;#,##0.00;[Red]&quot;$&quot;\-#,##0.00"/>
    </dxf>
    <dxf>
      <numFmt numFmtId="12" formatCode="&quot;$&quot;#,##0.00;[Red]&quot;$&quot;\-#,##0.00"/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178" formatCode="&quot;CAJ&quot;00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PREST&quot;0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PAGOS&quot;0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9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2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4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7" formatCode="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PREST&quot;0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64" formatCode="&quot;$&quot;#,##0.00"/>
      <fill>
        <patternFill patternType="solid">
          <fgColor indexed="64"/>
          <bgColor theme="0"/>
        </patternFill>
      </fill>
      <border>
        <left style="thin">
          <color indexed="64"/>
        </left>
      </border>
    </dxf>
    <dxf>
      <font>
        <b/>
      </font>
      <numFmt numFmtId="19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5" formatCode="000"/>
      <fill>
        <patternFill patternType="solid">
          <fgColor indexed="64"/>
          <bgColor theme="0"/>
        </patternFill>
      </fill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theme="4" tint="0.3999755851924192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06/relationships/rdRichValueTypes" Target="richData/rdRichValueTypes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3.xml"/><Relationship Id="rId37" Type="http://schemas.microsoft.com/office/2017/06/relationships/rdRichValue" Target="richData/rdrichvalue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1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REGISTRO!A1"/><Relationship Id="rId6" Type="http://schemas.openxmlformats.org/officeDocument/2006/relationships/image" Target="../media/image4.svg"/><Relationship Id="rId5" Type="http://schemas.openxmlformats.org/officeDocument/2006/relationships/image" Target="../media/image3.png"/><Relationship Id="rId4" Type="http://schemas.openxmlformats.org/officeDocument/2006/relationships/hyperlink" Target="#REPORTE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6.svg"/><Relationship Id="rId7" Type="http://schemas.openxmlformats.org/officeDocument/2006/relationships/hyperlink" Target="#REPORTE!A1"/><Relationship Id="rId2" Type="http://schemas.openxmlformats.org/officeDocument/2006/relationships/image" Target="../media/image5.png"/><Relationship Id="rId1" Type="http://schemas.openxmlformats.org/officeDocument/2006/relationships/hyperlink" Target="#SOCIOS!A1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hyperlink" Target="#ESTADO!A1"/><Relationship Id="rId9" Type="http://schemas.openxmlformats.org/officeDocument/2006/relationships/image" Target="../media/image10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REGISTRO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SOCIOS!A1"/><Relationship Id="rId5" Type="http://schemas.openxmlformats.org/officeDocument/2006/relationships/image" Target="../media/image16.svg"/><Relationship Id="rId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6350</xdr:rowOff>
    </xdr:from>
    <xdr:to>
      <xdr:col>0</xdr:col>
      <xdr:colOff>355600</xdr:colOff>
      <xdr:row>5</xdr:row>
      <xdr:rowOff>171450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0" y="9271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355600</xdr:colOff>
      <xdr:row>6</xdr:row>
      <xdr:rowOff>165100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0" y="11049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355600</xdr:colOff>
      <xdr:row>7</xdr:row>
      <xdr:rowOff>165100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0" y="12890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355600</xdr:colOff>
      <xdr:row>8</xdr:row>
      <xdr:rowOff>165100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0" y="14732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355600</xdr:colOff>
      <xdr:row>9</xdr:row>
      <xdr:rowOff>165100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0" y="16573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0</xdr:col>
      <xdr:colOff>355600</xdr:colOff>
      <xdr:row>10</xdr:row>
      <xdr:rowOff>165100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0" y="18415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355600</xdr:colOff>
      <xdr:row>11</xdr:row>
      <xdr:rowOff>165100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0" y="202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0</xdr:col>
      <xdr:colOff>355600</xdr:colOff>
      <xdr:row>12</xdr:row>
      <xdr:rowOff>165100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0" y="22098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355600</xdr:colOff>
      <xdr:row>13</xdr:row>
      <xdr:rowOff>165100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0" y="23939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355600</xdr:colOff>
      <xdr:row>14</xdr:row>
      <xdr:rowOff>165100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0" y="25781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15</xdr:row>
      <xdr:rowOff>0</xdr:rowOff>
    </xdr:from>
    <xdr:to>
      <xdr:col>0</xdr:col>
      <xdr:colOff>355600</xdr:colOff>
      <xdr:row>15</xdr:row>
      <xdr:rowOff>165100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0" y="27622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355600</xdr:colOff>
      <xdr:row>16</xdr:row>
      <xdr:rowOff>165100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0" y="2946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0" y="736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0</xdr:colOff>
      <xdr:row>0</xdr:row>
      <xdr:rowOff>19050</xdr:rowOff>
    </xdr:from>
    <xdr:to>
      <xdr:col>1</xdr:col>
      <xdr:colOff>127000</xdr:colOff>
      <xdr:row>2</xdr:row>
      <xdr:rowOff>165100</xdr:rowOff>
    </xdr:to>
    <xdr:pic>
      <xdr:nvPicPr>
        <xdr:cNvPr id="3" name="Gráfico 2" descr="Lista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19EAF5-A757-4CD9-B315-5DD9F4360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19050"/>
          <a:ext cx="514350" cy="514350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209550</xdr:colOff>
      <xdr:row>0</xdr:row>
      <xdr:rowOff>38100</xdr:rowOff>
    </xdr:from>
    <xdr:to>
      <xdr:col>2</xdr:col>
      <xdr:colOff>209550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17</xdr:row>
      <xdr:rowOff>5080</xdr:rowOff>
    </xdr:from>
    <xdr:to>
      <xdr:col>0</xdr:col>
      <xdr:colOff>355600</xdr:colOff>
      <xdr:row>17</xdr:row>
      <xdr:rowOff>170180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0" y="311404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17</xdr:row>
      <xdr:rowOff>180340</xdr:rowOff>
    </xdr:from>
    <xdr:to>
      <xdr:col>0</xdr:col>
      <xdr:colOff>355600</xdr:colOff>
      <xdr:row>18</xdr:row>
      <xdr:rowOff>162560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0" y="3289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18</xdr:row>
      <xdr:rowOff>180340</xdr:rowOff>
    </xdr:from>
    <xdr:to>
      <xdr:col>0</xdr:col>
      <xdr:colOff>355600</xdr:colOff>
      <xdr:row>19</xdr:row>
      <xdr:rowOff>162560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0" y="347218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20</xdr:row>
      <xdr:rowOff>27940</xdr:rowOff>
    </xdr:from>
    <xdr:to>
      <xdr:col>0</xdr:col>
      <xdr:colOff>355600</xdr:colOff>
      <xdr:row>21</xdr:row>
      <xdr:rowOff>10160</xdr:rowOff>
    </xdr:to>
    <xdr:sp macro="[0]!MOSTRAR17" textlink="">
      <xdr:nvSpPr>
        <xdr:cNvPr id="21" name="Flecha: a la derecha con bandas 20">
          <a:extLst>
            <a:ext uri="{FF2B5EF4-FFF2-40B4-BE49-F238E27FC236}">
              <a16:creationId xmlns:a16="http://schemas.microsoft.com/office/drawing/2014/main" id="{BC90720E-59B6-4C89-B720-D29AA7E2686F}"/>
            </a:ext>
          </a:extLst>
        </xdr:cNvPr>
        <xdr:cNvSpPr/>
      </xdr:nvSpPr>
      <xdr:spPr>
        <a:xfrm>
          <a:off x="0" y="368554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 editAs="oneCell">
    <xdr:from>
      <xdr:col>14</xdr:col>
      <xdr:colOff>482600</xdr:colOff>
      <xdr:row>2</xdr:row>
      <xdr:rowOff>88900</xdr:rowOff>
    </xdr:from>
    <xdr:to>
      <xdr:col>14</xdr:col>
      <xdr:colOff>1022350</xdr:colOff>
      <xdr:row>5</xdr:row>
      <xdr:rowOff>63500</xdr:rowOff>
    </xdr:to>
    <xdr:pic>
      <xdr:nvPicPr>
        <xdr:cNvPr id="9" name="Gráfico 8" descr="Reunión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E3D645-B5DF-49B7-AFD7-C72C0A93C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340850" y="469900"/>
          <a:ext cx="539750" cy="539750"/>
        </a:xfrm>
        <a:prstGeom prst="rect">
          <a:avLst/>
        </a:prstGeom>
      </xdr:spPr>
    </xdr:pic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 editAs="oneCell">
    <xdr:from>
      <xdr:col>15</xdr:col>
      <xdr:colOff>342900</xdr:colOff>
      <xdr:row>2</xdr:row>
      <xdr:rowOff>38100</xdr:rowOff>
    </xdr:from>
    <xdr:to>
      <xdr:col>15</xdr:col>
      <xdr:colOff>914400</xdr:colOff>
      <xdr:row>5</xdr:row>
      <xdr:rowOff>44450</xdr:rowOff>
    </xdr:to>
    <xdr:pic>
      <xdr:nvPicPr>
        <xdr:cNvPr id="6" name="Gráfico 5" descr="Gráfico de barras con tendencia alcista con relleno sólid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B273A93-BCF3-4F33-843D-5ACE5A1EE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566400" y="419100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1111250</xdr:colOff>
      <xdr:row>2</xdr:row>
      <xdr:rowOff>57150</xdr:rowOff>
    </xdr:from>
    <xdr:to>
      <xdr:col>15</xdr:col>
      <xdr:colOff>234950</xdr:colOff>
      <xdr:row>4</xdr:row>
      <xdr:rowOff>165100</xdr:rowOff>
    </xdr:to>
    <xdr:pic>
      <xdr:nvPicPr>
        <xdr:cNvPr id="10" name="Gráfico 9" descr="Documento con relleno sólido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79C5B36-88B1-4285-B16A-058A355B9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9969500" y="438150"/>
          <a:ext cx="488950" cy="488950"/>
        </a:xfrm>
        <a:prstGeom prst="rect">
          <a:avLst/>
        </a:prstGeom>
      </xdr:spPr>
    </xdr:pic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</xdr:colOff>
      <xdr:row>1</xdr:row>
      <xdr:rowOff>63500</xdr:rowOff>
    </xdr:from>
    <xdr:to>
      <xdr:col>11</xdr:col>
      <xdr:colOff>50800</xdr:colOff>
      <xdr:row>4</xdr:row>
      <xdr:rowOff>104775</xdr:rowOff>
    </xdr:to>
    <xdr:pic>
      <xdr:nvPicPr>
        <xdr:cNvPr id="3" name="Gráfico 2" descr="Lista de comprobación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1621EC-D15D-42D6-8D6C-D5FCA74DB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991350" y="63500"/>
          <a:ext cx="635000" cy="635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6904</xdr:colOff>
      <xdr:row>1</xdr:row>
      <xdr:rowOff>171122</xdr:rowOff>
    </xdr:from>
    <xdr:to>
      <xdr:col>0</xdr:col>
      <xdr:colOff>421033</xdr:colOff>
      <xdr:row>4</xdr:row>
      <xdr:rowOff>30577</xdr:rowOff>
    </xdr:to>
    <xdr:pic>
      <xdr:nvPicPr>
        <xdr:cNvPr id="2" name="Gráfico 1" descr="Documento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E293DA-1ABF-4D14-A35A-64B53CB970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904" y="171122"/>
          <a:ext cx="414129" cy="411906"/>
        </a:xfrm>
        <a:prstGeom prst="rect">
          <a:avLst/>
        </a:prstGeom>
      </xdr:spPr>
    </xdr:pic>
    <xdr:clientData/>
  </xdr:twoCellAnchor>
  <xdr:twoCellAnchor editAs="oneCell">
    <xdr:from>
      <xdr:col>0</xdr:col>
      <xdr:colOff>503859</xdr:colOff>
      <xdr:row>1</xdr:row>
      <xdr:rowOff>172554</xdr:rowOff>
    </xdr:from>
    <xdr:to>
      <xdr:col>0</xdr:col>
      <xdr:colOff>904185</xdr:colOff>
      <xdr:row>4</xdr:row>
      <xdr:rowOff>13803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503859" y="172554"/>
          <a:ext cx="400326" cy="393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5861.313029398145" createdVersion="7" refreshedVersion="8" minRefreshableVersion="3" recordCount="321" xr:uid="{C6595879-5C91-4FAE-BB80-9C4E4BB722C9}">
  <cacheSource type="worksheet">
    <worksheetSource name="PAGOS"/>
  </cacheSource>
  <cacheFields count="11">
    <cacheField name="REG" numFmtId="166">
      <sharedItems containsMixedTypes="1" containsNumber="1" containsInteger="1" minValue="1" maxValue="271"/>
    </cacheField>
    <cacheField name="CODIGO CLIENTE" numFmtId="167">
      <sharedItems containsMixedTypes="1" containsNumber="1" containsInteger="1" minValue="1" maxValue="19" count="30">
        <s v="03"/>
        <s v="06"/>
        <s v="12"/>
        <s v="08"/>
        <n v="18"/>
        <s v="01"/>
        <s v="09"/>
        <s v="10"/>
        <s v="11"/>
        <s v="07"/>
        <s v="13"/>
        <s v="04"/>
        <s v="05"/>
        <n v="19"/>
        <n v="2"/>
        <n v="11"/>
        <n v="3"/>
        <n v="13"/>
        <n v="4"/>
        <n v="10"/>
        <n v="6"/>
        <n v="9"/>
        <n v="12"/>
        <n v="5"/>
        <n v="1"/>
        <n v="7"/>
        <n v="8"/>
        <n v="14"/>
        <n v="15"/>
        <n v="16"/>
      </sharedItems>
    </cacheField>
    <cacheField name="NOMBRE CLIENTE" numFmtId="0">
      <sharedItems count="18">
        <s v="ANA TOAQUIZA"/>
        <s v="MAYRA TOAQUIZA"/>
        <s v="MARLENE TOAQUIZA "/>
        <s v="JEFFERSON TOAQUIZA"/>
        <s v="LUIS TOAQUIZA"/>
        <s v="SOCIOS INGRESOS"/>
        <s v="CESAR TOAQUIZA"/>
        <s v="DIEGO TOAQUIZA"/>
        <s v="ROCIO TOAQUIZA"/>
        <s v="GUADALUPE TOAQUIZA"/>
        <s v="MARCIAL CHILIQUINGA"/>
        <s v="DANNY ALMACHI"/>
        <s v="SEGUNDO GUAYTA "/>
        <s v="SOCIOS GASTOS"/>
        <s v="TERESA VILCA"/>
        <s v="DIANA TOAQUIZA"/>
        <s v="CRISTIAN CHACHALO"/>
        <s v="MARTHA JAQUE"/>
      </sharedItems>
    </cacheField>
    <cacheField name="# PESTAMO" numFmtId="165">
      <sharedItems containsMixedTypes="1" containsNumber="1" containsInteger="1" minValue="1" maxValue="74" count="78">
        <n v="2"/>
        <n v="1"/>
        <n v="3"/>
        <n v="4"/>
        <n v="5"/>
        <s v="MULTA"/>
        <n v="6"/>
        <n v="7"/>
        <n v="8"/>
        <n v="10"/>
        <n v="9"/>
        <n v="12"/>
        <n v="11"/>
        <n v="14"/>
        <n v="13"/>
        <n v="16"/>
        <n v="15"/>
        <n v="18"/>
        <n v="17"/>
        <n v="21"/>
        <n v="20"/>
        <n v="19"/>
        <n v="23"/>
        <s v="GASTO"/>
        <n v="22"/>
        <s v="APERTURA"/>
        <n v="24"/>
        <n v="25"/>
        <n v="26"/>
        <n v="27"/>
        <n v="28"/>
        <n v="30"/>
        <n v="29"/>
        <n v="31"/>
        <n v="32"/>
        <n v="34"/>
        <n v="33"/>
        <n v="35"/>
        <n v="36"/>
        <n v="37"/>
        <n v="40"/>
        <n v="39"/>
        <n v="38"/>
        <n v="42"/>
        <n v="43"/>
        <n v="41"/>
        <n v="45"/>
        <n v="44"/>
        <n v="46"/>
        <n v="47"/>
        <n v="49"/>
        <n v="48"/>
        <n v="50"/>
        <s v="REPOSICION"/>
        <n v="51"/>
        <n v="52"/>
        <n v="53"/>
        <n v="55"/>
        <n v="56"/>
        <n v="54"/>
        <n v="57"/>
        <n v="58"/>
        <n v="59"/>
        <n v="60"/>
        <n v="61"/>
        <n v="62"/>
        <n v="63"/>
        <n v="64"/>
        <n v="65"/>
        <n v="67"/>
        <n v="68"/>
        <n v="70"/>
        <n v="66"/>
        <n v="69"/>
        <n v="74"/>
        <n v="71"/>
        <n v="72"/>
        <n v="73"/>
      </sharedItems>
    </cacheField>
    <cacheField name="PAGO DEL MONTO" numFmtId="164">
      <sharedItems containsSemiMixedTypes="0" containsString="0" containsNumber="1" minValue="0" maxValue="1200"/>
    </cacheField>
    <cacheField name="FECHA PAGO DEL MONTO" numFmtId="14">
      <sharedItems containsSemiMixedTypes="0" containsNonDate="0" containsDate="1" containsString="0" minDate="2022-10-15T00:00:00" maxDate="2025-07-16T00:00:00" count="40">
        <d v="2022-10-15T00:00:00"/>
        <d v="2022-11-15T00:00:00"/>
        <d v="2022-12-15T00:00:00"/>
        <d v="2022-12-26T00:00:00"/>
        <d v="2023-01-15T00:00:00"/>
        <d v="2023-02-15T00:00:00"/>
        <d v="2023-03-15T00:00:00"/>
        <d v="2023-04-15T00:00:00"/>
        <d v="2023-05-15T00:00:00"/>
        <d v="2023-06-15T00:00:00"/>
        <d v="2023-07-15T00:00:00"/>
        <d v="2023-08-15T00:00:00"/>
        <d v="2023-09-15T00:00:00"/>
        <d v="2023-10-15T00:00:00"/>
        <d v="2023-11-15T00:00:00"/>
        <d v="2023-12-15T00:00:00"/>
        <d v="2024-01-15T00:00:00"/>
        <d v="2024-02-15T00:00:00"/>
        <d v="2024-03-15T00:00:00"/>
        <d v="2024-04-15T00:00:00"/>
        <d v="2024-05-15T00:00:00"/>
        <d v="2024-06-15T00:00:00"/>
        <d v="2024-07-15T00:00:00"/>
        <d v="2024-08-15T00:00:00"/>
        <d v="2024-09-15T00:00:00"/>
        <d v="2024-10-15T00:00:00"/>
        <d v="2024-11-15T00:00:00"/>
        <d v="2024-12-15T00:00:00"/>
        <d v="2025-01-15T00:00:00"/>
        <d v="2025-02-16T00:00:00"/>
        <d v="2025-02-20T00:00:00"/>
        <d v="2025-03-15T00:00:00"/>
        <d v="2025-03-20T00:00:00"/>
        <d v="2025-03-30T00:00:00"/>
        <d v="2025-04-15T00:00:00"/>
        <d v="2025-04-17T00:00:00"/>
        <d v="2025-05-11T00:00:00"/>
        <d v="2025-05-15T00:00:00"/>
        <d v="2025-06-15T00:00:00"/>
        <d v="2025-07-15T00:00:00"/>
      </sharedItems>
    </cacheField>
    <cacheField name="# DE CUOTA DEL MONTO" numFmtId="171">
      <sharedItems containsMixedTypes="1" containsNumber="1" containsInteger="1" minValue="1" maxValue="12"/>
    </cacheField>
    <cacheField name="PAGO DEL INTERES" numFmtId="164">
      <sharedItems containsSemiMixedTypes="0" containsString="0" containsNumber="1" minValue="0" maxValue="40"/>
    </cacheField>
    <cacheField name="FECHA PAGO INTERES" numFmtId="14">
      <sharedItems containsSemiMixedTypes="0" containsNonDate="0" containsDate="1" containsString="0" minDate="2022-10-15T00:00:00" maxDate="2025-07-16T00:00:00"/>
    </cacheField>
    <cacheField name="# DE CUOTA DE INTERES" numFmtId="172">
      <sharedItems containsMixedTypes="1" containsNumber="1" containsInteger="1" minValue="0" maxValue="50"/>
    </cacheField>
    <cacheField name="COMENTARIO" numFmtId="0">
      <sharedItems/>
    </cacheField>
  </cacheFields>
  <extLst>
    <ext xmlns:x14="http://schemas.microsoft.com/office/spreadsheetml/2009/9/main" uri="{725AE2AE-9491-48be-B2B4-4EB974FC3084}">
      <x14:pivotCacheDefinition pivotCacheId="2425890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5861.313029745368" createdVersion="7" refreshedVersion="8" minRefreshableVersion="3" recordCount="81" xr:uid="{66DF28D3-69EA-4667-8836-B060D4B9D67D}">
  <cacheSource type="worksheet">
    <worksheetSource name="PRESTAMOS"/>
  </cacheSource>
  <cacheFields count="12">
    <cacheField name="REG" numFmtId="165">
      <sharedItems containsMixedTypes="1" containsNumber="1" containsInteger="1" minValue="1" maxValue="75" count="81">
        <n v="1"/>
        <n v="2"/>
        <s v="AYUDA01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s v="AYUDA02"/>
        <n v="42"/>
        <n v="43"/>
        <n v="44"/>
        <n v="45"/>
        <n v="46"/>
        <n v="47"/>
        <n v="48"/>
        <n v="49"/>
        <n v="50"/>
        <s v="AYUDA03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s v="NUEVO1"/>
        <s v="NUEVO2"/>
        <s v="NUEVO3"/>
        <n v="70"/>
        <n v="71"/>
        <n v="72"/>
        <n v="73"/>
        <n v="74"/>
        <n v="75"/>
      </sharedItems>
    </cacheField>
    <cacheField name="CODIGOCLIENTE" numFmtId="167">
      <sharedItems containsSemiMixedTypes="0" containsString="0" containsNumber="1" containsInteger="1" minValue="1" maxValue="19" count="17">
        <n v="6"/>
        <n v="3"/>
        <n v="19"/>
        <n v="4"/>
        <n v="12"/>
        <n v="8"/>
        <n v="1"/>
        <n v="9"/>
        <n v="10"/>
        <n v="11"/>
        <n v="7"/>
        <n v="13"/>
        <n v="5"/>
        <n v="2"/>
        <n v="14"/>
        <n v="15"/>
        <n v="16"/>
      </sharedItems>
    </cacheField>
    <cacheField name="NOMBRE CLIENTE" numFmtId="0">
      <sharedItems count="20">
        <s v="MAYRA TOAQUIZA"/>
        <s v="ANA TOAQUIZA"/>
        <s v="SOCIOS GASTOS"/>
        <s v="MARLENE TOAQUIZA "/>
        <s v="JEFFERSON TOAQUIZA"/>
        <s v="LUIS TOAQUIZA"/>
        <s v="CESAR TOAQUIZA"/>
        <s v="DIEGO TOAQUIZA"/>
        <s v="ROCIO TOAQUIZA"/>
        <s v="GUADALUPE TOAQUIZA"/>
        <s v="MARCIAL CHILIQUINGA"/>
        <s v="DANNY ALMACHI"/>
        <s v="SEGUNDO GUAYTA "/>
        <s v="TERESA VILCA"/>
        <s v="DIANA TOAQUIZA"/>
        <s v="CRISTIAN CHACHALO"/>
        <s v="MARTHA JAQUE"/>
        <s v="TANYA TIPAN"/>
        <s v="SEVASTIAN VELEMA"/>
        <s v="LUIS ALEJANDRO ANTE CHIGUANGO" u="1"/>
      </sharedItems>
    </cacheField>
    <cacheField name="MONTO AMORTIZACION" numFmtId="164">
      <sharedItems containsSemiMixedTypes="0" containsString="0" containsNumber="1" containsInteger="1" minValue="0" maxValue="2000"/>
    </cacheField>
    <cacheField name="FECHA DEL PRESTAMO" numFmtId="14">
      <sharedItems containsSemiMixedTypes="0" containsNonDate="0" containsDate="1" containsString="0" minDate="2022-09-15T00:00:00" maxDate="2025-07-18T00:00:00" count="40">
        <d v="2022-09-15T00:00:00"/>
        <d v="2022-10-15T00:00:00"/>
        <d v="2022-11-15T00:00:00"/>
        <d v="2022-12-15T00:00:00"/>
        <d v="2023-01-15T00:00:00"/>
        <d v="2023-02-15T00:00:00"/>
        <d v="2023-03-15T00:00:00"/>
        <d v="2023-04-15T00:00:00"/>
        <d v="2023-05-15T00:00:00"/>
        <d v="2023-06-15T00:00:00"/>
        <d v="2023-07-21T00:00:00"/>
        <d v="2023-08-15T00:00:00"/>
        <d v="2023-09-15T00:00:00"/>
        <d v="2023-10-15T00:00:00"/>
        <d v="2023-11-15T00:00:00"/>
        <d v="2024-01-15T00:00:00"/>
        <d v="2024-01-20T00:00:00"/>
        <d v="2024-02-15T00:00:00"/>
        <d v="2024-02-19T00:00:00"/>
        <d v="2024-03-15T00:00:00"/>
        <d v="2024-04-15T00:00:00"/>
        <d v="2024-05-15T00:00:00"/>
        <d v="2024-06-15T00:00:00"/>
        <d v="2024-07-15T00:00:00"/>
        <d v="2024-08-15T00:00:00"/>
        <d v="2024-09-15T00:00:00"/>
        <d v="2024-10-15T00:00:00"/>
        <d v="2024-11-15T00:00:00"/>
        <d v="2024-12-15T00:00:00"/>
        <d v="2024-12-17T00:00:00"/>
        <d v="2025-01-15T00:00:00"/>
        <d v="2025-01-19T00:00:00"/>
        <d v="2025-02-16T00:00:00"/>
        <d v="2025-02-19T00:00:00"/>
        <d v="2025-03-15T20:01:10"/>
        <d v="2025-04-11T00:00:00"/>
        <d v="2025-04-15T00:00:00"/>
        <d v="2025-04-17T00:00:00"/>
        <d v="2025-05-15T00:00:00"/>
        <d v="2025-07-17T00:00:00"/>
      </sharedItems>
    </cacheField>
    <cacheField name="CUOTAS" numFmtId="170">
      <sharedItems containsSemiMixedTypes="0" containsString="0" containsNumber="1" containsInteger="1" minValue="0" maxValue="12"/>
    </cacheField>
    <cacheField name="INTERES" numFmtId="9">
      <sharedItems containsSemiMixedTypes="0" containsString="0" containsNumber="1" minValue="0" maxValue="0.02"/>
    </cacheField>
    <cacheField name="T. INT" numFmtId="164">
      <sharedItems containsSemiMixedTypes="0" containsString="0" containsNumber="1" minValue="0" maxValue="480"/>
    </cacheField>
    <cacheField name="CUOTA" numFmtId="164">
      <sharedItems containsSemiMixedTypes="0" containsString="0" containsNumber="1" minValue="0" maxValue="2480"/>
    </cacheField>
    <cacheField name="OBSERVACION" numFmtId="0">
      <sharedItems/>
    </cacheField>
    <cacheField name="ESTATUS" numFmtId="8">
      <sharedItems/>
    </cacheField>
    <cacheField name="LETRAS" numFmtId="14">
      <sharedItems/>
    </cacheField>
  </cacheFields>
  <extLst>
    <ext xmlns:x14="http://schemas.microsoft.com/office/spreadsheetml/2009/9/main" uri="{725AE2AE-9491-48be-B2B4-4EB974FC3084}">
      <x14:pivotCacheDefinition pivotCacheId="26798529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5861.313029745368" createdVersion="7" refreshedVersion="8" minRefreshableVersion="3" recordCount="17" xr:uid="{FD4889E4-155A-4812-901D-074C0AFB232B}">
  <cacheSource type="worksheet">
    <worksheetSource name="CLIENTES[[COD]:[APORTADO]]"/>
  </cacheSource>
  <cacheFields count="3">
    <cacheField name="COD" numFmtId="49">
      <sharedItems/>
    </cacheField>
    <cacheField name="NOMBRE" numFmtId="0">
      <sharedItems count="17">
        <s v="CESAR TOAQUIZA"/>
        <s v="TERESA VILCA"/>
        <s v="ANA TOAQUIZA"/>
        <s v="MARLENE TOAQUIZA "/>
        <s v="SEGUNDO GUAYTA "/>
        <s v="MAYRA TOAQUIZA"/>
        <s v="MARCIAL CHILIQUINGA"/>
        <s v="LUIS TOAQUIZA"/>
        <s v="DIEGO TOAQUIZA"/>
        <s v="ROCIO TOAQUIZA"/>
        <s v="GUADALUPE TOAQUIZA"/>
        <s v="JEFFERSON TOAQUIZA"/>
        <s v="DANNY ALMACHI"/>
        <s v="DIANA TOAQUIZA"/>
        <s v="CRISTIAN CHACHALO"/>
        <s v="MARTHA JAQUE"/>
        <s v="MARLON ALMACHI"/>
      </sharedItems>
    </cacheField>
    <cacheField name="APORTADO" numFmtId="164">
      <sharedItems containsSemiMixedTypes="0" containsString="0" containsNumber="1" containsInteger="1" minValue="0" maxValue="3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1">
  <r>
    <n v="1"/>
    <x v="0"/>
    <x v="0"/>
    <x v="0"/>
    <n v="50"/>
    <x v="0"/>
    <n v="1"/>
    <n v="2"/>
    <d v="2022-10-15T00:00:00"/>
    <n v="1"/>
    <s v="PRIMERA LETRA"/>
  </r>
  <r>
    <n v="2"/>
    <x v="1"/>
    <x v="1"/>
    <x v="1"/>
    <n v="30"/>
    <x v="0"/>
    <n v="1"/>
    <n v="1.2"/>
    <d v="2022-10-15T00:00:00"/>
    <n v="1"/>
    <s v="PRIMERA LETRA"/>
  </r>
  <r>
    <n v="3"/>
    <x v="0"/>
    <x v="0"/>
    <x v="0"/>
    <n v="100"/>
    <x v="1"/>
    <n v="2"/>
    <n v="2"/>
    <d v="2022-11-15T00:00:00"/>
    <n v="2"/>
    <s v="PAGO AL FINAL DEL PERIODO"/>
  </r>
  <r>
    <n v="4"/>
    <x v="1"/>
    <x v="1"/>
    <x v="1"/>
    <n v="30"/>
    <x v="1"/>
    <n v="2"/>
    <n v="1.2"/>
    <d v="2022-11-15T00:00:00"/>
    <n v="2"/>
    <s v="SEGUNDA LETRA"/>
  </r>
  <r>
    <n v="5"/>
    <x v="0"/>
    <x v="2"/>
    <x v="2"/>
    <n v="200"/>
    <x v="1"/>
    <n v="1"/>
    <n v="4"/>
    <d v="2022-11-15T00:00:00"/>
    <n v="1"/>
    <s v="PRIMERA LETRA"/>
  </r>
  <r>
    <n v="6"/>
    <x v="2"/>
    <x v="3"/>
    <x v="3"/>
    <n v="100"/>
    <x v="2"/>
    <n v="1"/>
    <n v="4"/>
    <d v="2022-12-15T00:00:00"/>
    <n v="1"/>
    <s v="PRIMERA LETRA"/>
  </r>
  <r>
    <n v="7"/>
    <x v="3"/>
    <x v="4"/>
    <x v="4"/>
    <n v="200"/>
    <x v="2"/>
    <n v="1"/>
    <n v="4"/>
    <d v="2022-12-15T00:00:00"/>
    <n v="1"/>
    <s v="PRIMERA LETRA"/>
  </r>
  <r>
    <s v="INGRESO1"/>
    <x v="4"/>
    <x v="5"/>
    <x v="5"/>
    <n v="0"/>
    <x v="3"/>
    <s v="MULTA"/>
    <n v="10"/>
    <d v="2022-12-26T00:00:00"/>
    <s v="MULTA"/>
    <s v="MULTA DE CESAR, DANNY Y ANA TOAQUIZA 10$"/>
  </r>
  <r>
    <n v="8"/>
    <x v="5"/>
    <x v="6"/>
    <x v="6"/>
    <n v="25"/>
    <x v="4"/>
    <n v="1"/>
    <n v="2"/>
    <d v="2023-01-15T00:00:00"/>
    <n v="1"/>
    <s v="PRIMERA LETRA"/>
  </r>
  <r>
    <n v="9"/>
    <x v="6"/>
    <x v="7"/>
    <x v="7"/>
    <n v="25"/>
    <x v="4"/>
    <n v="1"/>
    <n v="2"/>
    <d v="2023-01-15T00:00:00"/>
    <n v="1"/>
    <s v="PRIMERA LETRA"/>
  </r>
  <r>
    <n v="10"/>
    <x v="7"/>
    <x v="8"/>
    <x v="8"/>
    <n v="34"/>
    <x v="4"/>
    <n v="1"/>
    <n v="3.4"/>
    <d v="2023-01-15T00:00:00"/>
    <n v="1"/>
    <s v="PRIMERA LETRA"/>
  </r>
  <r>
    <n v="11"/>
    <x v="2"/>
    <x v="3"/>
    <x v="3"/>
    <n v="100"/>
    <x v="4"/>
    <n v="2"/>
    <n v="4"/>
    <d v="2023-01-15T00:00:00"/>
    <n v="2"/>
    <s v="SEGUNDA LETRA"/>
  </r>
  <r>
    <n v="12"/>
    <x v="5"/>
    <x v="6"/>
    <x v="6"/>
    <n v="25"/>
    <x v="5"/>
    <n v="2"/>
    <n v="2"/>
    <d v="2023-02-15T00:00:00"/>
    <n v="2"/>
    <s v="SEGUNDA LETRA"/>
  </r>
  <r>
    <n v="13"/>
    <x v="6"/>
    <x v="7"/>
    <x v="7"/>
    <n v="25"/>
    <x v="5"/>
    <n v="2"/>
    <n v="2"/>
    <d v="2023-02-15T00:00:00"/>
    <n v="2"/>
    <s v="SEGUNDA LETRA"/>
  </r>
  <r>
    <n v="14"/>
    <x v="1"/>
    <x v="1"/>
    <x v="9"/>
    <n v="25"/>
    <x v="5"/>
    <n v="1"/>
    <n v="2"/>
    <d v="2023-02-15T00:00:00"/>
    <n v="1"/>
    <s v="PAGO DE LA PRIMERA CUOTA"/>
  </r>
  <r>
    <n v="15"/>
    <x v="8"/>
    <x v="9"/>
    <x v="10"/>
    <n v="83.33"/>
    <x v="5"/>
    <n v="1"/>
    <n v="5"/>
    <d v="2023-02-15T00:00:00"/>
    <n v="1"/>
    <s v="PAGO DE LA PRIMERA CUOTA"/>
  </r>
  <r>
    <n v="16"/>
    <x v="7"/>
    <x v="8"/>
    <x v="8"/>
    <n v="34"/>
    <x v="5"/>
    <n v="2"/>
    <n v="3.4"/>
    <d v="2023-02-15T00:00:00"/>
    <n v="2"/>
    <s v="SEGUNDA LETRA"/>
  </r>
  <r>
    <n v="17"/>
    <x v="5"/>
    <x v="6"/>
    <x v="6"/>
    <n v="25"/>
    <x v="6"/>
    <n v="3"/>
    <n v="2"/>
    <d v="2023-03-15T00:00:00"/>
    <n v="3"/>
    <s v="TERCERA LETRA"/>
  </r>
  <r>
    <n v="18"/>
    <x v="6"/>
    <x v="7"/>
    <x v="7"/>
    <n v="25"/>
    <x v="6"/>
    <n v="3"/>
    <n v="2"/>
    <d v="2023-03-15T00:00:00"/>
    <n v="3"/>
    <s v="TERCERA LETRA"/>
  </r>
  <r>
    <n v="19"/>
    <x v="9"/>
    <x v="10"/>
    <x v="11"/>
    <n v="25"/>
    <x v="6"/>
    <n v="1"/>
    <n v="2"/>
    <d v="2023-03-15T00:00:00"/>
    <n v="1"/>
    <s v="PAGO DE LA PRIMERA CUOTA"/>
  </r>
  <r>
    <n v="20"/>
    <x v="0"/>
    <x v="0"/>
    <x v="12"/>
    <n v="100"/>
    <x v="6"/>
    <n v="1"/>
    <n v="6"/>
    <d v="2023-03-15T00:00:00"/>
    <n v="1"/>
    <s v="PAGO DE LA PRIMERA CUOTA"/>
  </r>
  <r>
    <n v="21"/>
    <x v="1"/>
    <x v="1"/>
    <x v="9"/>
    <n v="25"/>
    <x v="6"/>
    <n v="2"/>
    <n v="2"/>
    <d v="2023-03-15T00:00:00"/>
    <n v="2"/>
    <s v="PAGO DE LA SEGUNDA CUOTA"/>
  </r>
  <r>
    <n v="22"/>
    <x v="8"/>
    <x v="9"/>
    <x v="10"/>
    <n v="83.33"/>
    <x v="6"/>
    <n v="2"/>
    <n v="5"/>
    <d v="2023-03-15T00:00:00"/>
    <n v="2"/>
    <s v="PAGO SEGUNDA CUOTA"/>
  </r>
  <r>
    <n v="23"/>
    <x v="7"/>
    <x v="8"/>
    <x v="8"/>
    <n v="34"/>
    <x v="6"/>
    <n v="3"/>
    <n v="3.4"/>
    <d v="2023-03-15T00:00:00"/>
    <n v="3"/>
    <s v="TERCERA LETRA"/>
  </r>
  <r>
    <n v="24"/>
    <x v="5"/>
    <x v="6"/>
    <x v="6"/>
    <n v="25"/>
    <x v="7"/>
    <n v="4"/>
    <n v="2"/>
    <d v="2023-04-15T00:00:00"/>
    <n v="4"/>
    <s v="CUARTA LETRA"/>
  </r>
  <r>
    <n v="25"/>
    <x v="6"/>
    <x v="7"/>
    <x v="7"/>
    <n v="25"/>
    <x v="7"/>
    <n v="4"/>
    <n v="2"/>
    <d v="2023-04-15T00:00:00"/>
    <n v="4"/>
    <s v="CUARTA LETRA"/>
  </r>
  <r>
    <n v="26"/>
    <x v="10"/>
    <x v="11"/>
    <x v="13"/>
    <n v="80"/>
    <x v="7"/>
    <n v="1"/>
    <n v="1.6"/>
    <d v="2023-04-15T00:00:00"/>
    <n v="1"/>
    <s v="PAGO DE LA CUOTA"/>
  </r>
  <r>
    <n v="27"/>
    <x v="11"/>
    <x v="2"/>
    <x v="14"/>
    <n v="100"/>
    <x v="7"/>
    <n v="1"/>
    <n v="8"/>
    <d v="2023-04-15T00:00:00"/>
    <n v="1"/>
    <s v="PAGO DE LA PRIMERA CUOTA"/>
  </r>
  <r>
    <n v="28"/>
    <x v="9"/>
    <x v="10"/>
    <x v="11"/>
    <n v="25"/>
    <x v="7"/>
    <n v="2"/>
    <n v="2"/>
    <d v="2023-04-15T00:00:00"/>
    <n v="2"/>
    <s v="PAGO DE LA SEGUNDA CUOTA"/>
  </r>
  <r>
    <n v="29"/>
    <x v="0"/>
    <x v="0"/>
    <x v="12"/>
    <n v="100"/>
    <x v="7"/>
    <n v="2"/>
    <n v="6"/>
    <d v="2023-04-15T00:00:00"/>
    <n v="2"/>
    <s v="PAGO DE LA SEGUNDA CUOTA"/>
  </r>
  <r>
    <n v="30"/>
    <x v="1"/>
    <x v="1"/>
    <x v="9"/>
    <n v="25"/>
    <x v="7"/>
    <n v="3"/>
    <n v="2"/>
    <d v="2023-04-15T00:00:00"/>
    <n v="3"/>
    <s v="PAGO DE LA TERCERA CUOTA"/>
  </r>
  <r>
    <n v="31"/>
    <x v="8"/>
    <x v="9"/>
    <x v="10"/>
    <n v="83.33"/>
    <x v="7"/>
    <n v="3"/>
    <n v="5"/>
    <d v="2023-04-15T00:00:00"/>
    <n v="3"/>
    <s v="PAGO DE LA TERCERA CUOTA "/>
  </r>
  <r>
    <n v="32"/>
    <x v="7"/>
    <x v="8"/>
    <x v="8"/>
    <n v="34"/>
    <x v="7"/>
    <n v="4"/>
    <n v="3.4"/>
    <d v="2023-04-15T00:00:00"/>
    <n v="4"/>
    <s v="CUARTA LETRA"/>
  </r>
  <r>
    <n v="33"/>
    <x v="5"/>
    <x v="6"/>
    <x v="15"/>
    <n v="25"/>
    <x v="8"/>
    <n v="1"/>
    <n v="2"/>
    <d v="2023-05-15T00:00:00"/>
    <n v="1"/>
    <s v="PAGO DE LA PRIMERA CUOTA"/>
  </r>
  <r>
    <n v="34"/>
    <x v="6"/>
    <x v="7"/>
    <x v="16"/>
    <n v="50"/>
    <x v="8"/>
    <n v="1"/>
    <n v="4"/>
    <d v="2023-05-15T00:00:00"/>
    <n v="1"/>
    <s v="PAGO DE LA PRIMERA CUOTA"/>
  </r>
  <r>
    <n v="35"/>
    <x v="11"/>
    <x v="2"/>
    <x v="14"/>
    <n v="100"/>
    <x v="8"/>
    <n v="2"/>
    <n v="8"/>
    <d v="2023-05-15T00:00:00"/>
    <n v="2"/>
    <s v="PAGO DE LA SEGUNDA CUOTA"/>
  </r>
  <r>
    <n v="36"/>
    <x v="9"/>
    <x v="10"/>
    <x v="11"/>
    <n v="25"/>
    <x v="8"/>
    <n v="3"/>
    <n v="2"/>
    <d v="2023-05-15T00:00:00"/>
    <n v="3"/>
    <s v="PAGO DE LA TERCERA CUOTA"/>
  </r>
  <r>
    <n v="37"/>
    <x v="0"/>
    <x v="0"/>
    <x v="12"/>
    <n v="100"/>
    <x v="8"/>
    <n v="3"/>
    <n v="6"/>
    <d v="2023-05-15T00:00:00"/>
    <n v="3"/>
    <s v="PAGO DE LA TERCERA CUOTA"/>
  </r>
  <r>
    <n v="38"/>
    <x v="1"/>
    <x v="1"/>
    <x v="9"/>
    <n v="25"/>
    <x v="8"/>
    <n v="4"/>
    <n v="2"/>
    <d v="2023-05-15T00:00:00"/>
    <n v="4"/>
    <s v="PAGO DE LA CUARTA CUOTA"/>
  </r>
  <r>
    <n v="39"/>
    <x v="7"/>
    <x v="8"/>
    <x v="8"/>
    <n v="34"/>
    <x v="8"/>
    <n v="5"/>
    <n v="3.4"/>
    <d v="2023-05-15T00:00:00"/>
    <n v="5"/>
    <s v="QUINTA LETRA"/>
  </r>
  <r>
    <n v="40"/>
    <x v="1"/>
    <x v="1"/>
    <x v="17"/>
    <n v="25"/>
    <x v="9"/>
    <n v="1"/>
    <n v="2"/>
    <d v="2023-06-15T00:00:00"/>
    <n v="1"/>
    <s v="PAGO DE LA PRIMERA CUOTA"/>
  </r>
  <r>
    <n v="41"/>
    <x v="12"/>
    <x v="12"/>
    <x v="18"/>
    <n v="100"/>
    <x v="9"/>
    <n v="1"/>
    <n v="4"/>
    <d v="2023-06-15T00:00:00"/>
    <n v="1"/>
    <s v="PAGO DE LA PRIMERA CUOTA"/>
  </r>
  <r>
    <n v="42"/>
    <x v="5"/>
    <x v="6"/>
    <x v="15"/>
    <n v="25"/>
    <x v="9"/>
    <n v="2"/>
    <n v="2"/>
    <d v="2023-06-15T00:00:00"/>
    <n v="2"/>
    <s v="PAGO DE LA SEGUNDA CUOTA"/>
  </r>
  <r>
    <n v="43"/>
    <x v="6"/>
    <x v="7"/>
    <x v="16"/>
    <n v="50"/>
    <x v="9"/>
    <n v="2"/>
    <n v="4"/>
    <d v="2023-06-15T00:00:00"/>
    <n v="2"/>
    <s v="PAGO DE LA SEGUNDA CUOTA"/>
  </r>
  <r>
    <n v="44"/>
    <x v="11"/>
    <x v="2"/>
    <x v="14"/>
    <n v="100"/>
    <x v="9"/>
    <n v="3"/>
    <n v="8"/>
    <d v="2023-06-15T00:00:00"/>
    <n v="3"/>
    <s v="PAGO DE LA TERCERA CUOTA "/>
  </r>
  <r>
    <n v="45"/>
    <x v="9"/>
    <x v="10"/>
    <x v="11"/>
    <n v="25"/>
    <x v="9"/>
    <n v="4"/>
    <n v="2"/>
    <d v="2023-06-15T00:00:00"/>
    <n v="4"/>
    <s v="PAGO DE LA CUARTA CUOTA"/>
  </r>
  <r>
    <n v="46"/>
    <x v="0"/>
    <x v="0"/>
    <x v="19"/>
    <n v="0"/>
    <x v="10"/>
    <n v="1"/>
    <n v="8"/>
    <d v="2023-07-15T00:00:00"/>
    <n v="1"/>
    <s v="PAGO DEL PRIMER INTERES"/>
  </r>
  <r>
    <n v="47"/>
    <x v="8"/>
    <x v="9"/>
    <x v="20"/>
    <n v="0"/>
    <x v="10"/>
    <n v="1"/>
    <n v="4"/>
    <d v="2023-07-15T00:00:00"/>
    <n v="1"/>
    <s v="PAGO DEL PRIMER INTERES"/>
  </r>
  <r>
    <n v="48"/>
    <x v="7"/>
    <x v="8"/>
    <x v="21"/>
    <n v="0"/>
    <x v="10"/>
    <n v="1"/>
    <n v="8"/>
    <d v="2023-07-15T00:00:00"/>
    <n v="1"/>
    <s v="PAGO DEL PRIMER INTERES"/>
  </r>
  <r>
    <n v="49"/>
    <x v="1"/>
    <x v="1"/>
    <x v="17"/>
    <n v="25"/>
    <x v="10"/>
    <n v="2"/>
    <n v="2"/>
    <d v="2023-07-15T00:00:00"/>
    <n v="2"/>
    <s v="PAGO DE LA SEGUNDA CUOTA"/>
  </r>
  <r>
    <n v="50"/>
    <x v="12"/>
    <x v="12"/>
    <x v="18"/>
    <n v="100"/>
    <x v="10"/>
    <n v="2"/>
    <n v="4"/>
    <d v="2023-07-15T00:00:00"/>
    <n v="2"/>
    <s v="PAGO DE LA SEGUNDA CUOTA"/>
  </r>
  <r>
    <n v="51"/>
    <x v="5"/>
    <x v="6"/>
    <x v="15"/>
    <n v="25"/>
    <x v="10"/>
    <n v="3"/>
    <n v="2"/>
    <d v="2023-07-15T00:00:00"/>
    <n v="3"/>
    <s v="PAGO DE LA TERCERA CUOTA"/>
  </r>
  <r>
    <n v="52"/>
    <x v="6"/>
    <x v="7"/>
    <x v="16"/>
    <n v="50"/>
    <x v="10"/>
    <n v="3"/>
    <n v="4"/>
    <d v="2023-07-15T00:00:00"/>
    <n v="3"/>
    <s v="PAGO DE LA TERCERA CUOTA"/>
  </r>
  <r>
    <n v="53"/>
    <x v="11"/>
    <x v="2"/>
    <x v="14"/>
    <n v="100"/>
    <x v="10"/>
    <n v="4"/>
    <n v="8"/>
    <d v="2023-07-15T00:00:00"/>
    <n v="4"/>
    <s v="PAGO DE LA CUARTA CUOTA"/>
  </r>
  <r>
    <n v="54"/>
    <x v="11"/>
    <x v="2"/>
    <x v="22"/>
    <n v="200"/>
    <x v="11"/>
    <n v="1"/>
    <n v="4"/>
    <d v="2023-08-15T00:00:00"/>
    <n v="1"/>
    <s v="PAGO DE LA CUOTA"/>
  </r>
  <r>
    <n v="55"/>
    <x v="0"/>
    <x v="0"/>
    <x v="19"/>
    <n v="0"/>
    <x v="11"/>
    <n v="2"/>
    <n v="8"/>
    <d v="2023-08-15T00:00:00"/>
    <n v="2"/>
    <s v="PAGO DEL SEGUNDO INTERES"/>
  </r>
  <r>
    <n v="56"/>
    <x v="8"/>
    <x v="9"/>
    <x v="20"/>
    <n v="0"/>
    <x v="11"/>
    <n v="2"/>
    <n v="4"/>
    <d v="2023-08-15T00:00:00"/>
    <n v="2"/>
    <s v="PAGO DEL SEGUNDO INTERES"/>
  </r>
  <r>
    <n v="57"/>
    <x v="7"/>
    <x v="8"/>
    <x v="21"/>
    <n v="0"/>
    <x v="11"/>
    <n v="2"/>
    <n v="8"/>
    <d v="2023-08-15T00:00:00"/>
    <n v="2"/>
    <s v="PAGO DEL SEGUNDO INTERES"/>
  </r>
  <r>
    <n v="58"/>
    <x v="1"/>
    <x v="1"/>
    <x v="17"/>
    <n v="25"/>
    <x v="11"/>
    <n v="3"/>
    <n v="2"/>
    <d v="2023-08-15T00:00:00"/>
    <n v="3"/>
    <s v="PAGO DE LA TERCERA CUOTA"/>
  </r>
  <r>
    <n v="59"/>
    <x v="5"/>
    <x v="6"/>
    <x v="15"/>
    <n v="25"/>
    <x v="11"/>
    <n v="4"/>
    <n v="2"/>
    <d v="2023-08-15T00:00:00"/>
    <n v="4"/>
    <s v="PAGO DE LA CUARTA CUOTA"/>
  </r>
  <r>
    <n v="60"/>
    <x v="6"/>
    <x v="7"/>
    <x v="16"/>
    <n v="50"/>
    <x v="11"/>
    <n v="4"/>
    <n v="4"/>
    <d v="2023-08-15T00:00:00"/>
    <n v="4"/>
    <s v="PAGO DE LA CUARTA CUOTA"/>
  </r>
  <r>
    <s v="EGRESO1"/>
    <x v="13"/>
    <x v="13"/>
    <x v="23"/>
    <n v="250"/>
    <x v="11"/>
    <s v="GASTO"/>
    <n v="0"/>
    <d v="2023-08-15T00:00:00"/>
    <s v="GASTO"/>
    <s v="VIAJE DE LOS SOCIOS AL DIQUE DE MERA"/>
  </r>
  <r>
    <n v="61"/>
    <x v="5"/>
    <x v="6"/>
    <x v="24"/>
    <n v="100"/>
    <x v="11"/>
    <n v="1"/>
    <n v="2"/>
    <d v="2023-08-15T00:00:00"/>
    <n v="1"/>
    <s v="PAGO DE LA UNICA CUOTA "/>
  </r>
  <r>
    <s v="NUEVO1"/>
    <x v="14"/>
    <x v="14"/>
    <x v="25"/>
    <n v="0"/>
    <x v="11"/>
    <s v="APERTURA"/>
    <n v="0"/>
    <d v="2023-08-15T00:00:00"/>
    <s v="APERTURA"/>
    <s v="REGISTRO DEL SOCIO PARA PAGOS"/>
  </r>
  <r>
    <n v="62"/>
    <x v="12"/>
    <x v="12"/>
    <x v="26"/>
    <n v="200"/>
    <x v="12"/>
    <n v="1"/>
    <n v="4"/>
    <d v="2023-09-15T00:00:00"/>
    <n v="1"/>
    <s v="PAGO DE LA UNICA CUOTA DEL PRESTAMO"/>
  </r>
  <r>
    <n v="63"/>
    <x v="7"/>
    <x v="8"/>
    <x v="21"/>
    <n v="0"/>
    <x v="12"/>
    <n v="3"/>
    <n v="8"/>
    <d v="2023-09-15T00:00:00"/>
    <n v="3"/>
    <s v="PAGO DEL INTERES DE LA TERCERA CUOTA"/>
  </r>
  <r>
    <n v="64"/>
    <x v="1"/>
    <x v="1"/>
    <x v="17"/>
    <n v="25"/>
    <x v="12"/>
    <n v="4"/>
    <n v="2"/>
    <d v="2023-09-15T00:00:00"/>
    <n v="4"/>
    <s v="PAGO DE LA CUARTA CUOTA"/>
  </r>
  <r>
    <n v="65"/>
    <x v="15"/>
    <x v="9"/>
    <x v="20"/>
    <n v="0"/>
    <x v="12"/>
    <n v="3"/>
    <n v="4"/>
    <d v="2023-09-15T00:00:00"/>
    <n v="3"/>
    <s v="PAGO DE INTERESES DE LA TERCERA CUOTA"/>
  </r>
  <r>
    <n v="66"/>
    <x v="16"/>
    <x v="0"/>
    <x v="19"/>
    <n v="0"/>
    <x v="12"/>
    <n v="3"/>
    <n v="8"/>
    <d v="2023-09-15T00:00:00"/>
    <n v="3"/>
    <s v="PAGO DEL TERCER INTERES"/>
  </r>
  <r>
    <n v="67"/>
    <x v="16"/>
    <x v="0"/>
    <x v="19"/>
    <n v="400"/>
    <x v="13"/>
    <n v="4"/>
    <n v="8"/>
    <d v="2023-10-15T00:00:00"/>
    <n v="4"/>
    <s v="PAGO DEL CUARTO INTERES Y EL MONTO"/>
  </r>
  <r>
    <n v="68"/>
    <x v="17"/>
    <x v="11"/>
    <x v="27"/>
    <n v="0"/>
    <x v="13"/>
    <n v="1"/>
    <n v="10"/>
    <d v="2023-10-15T00:00:00"/>
    <n v="1"/>
    <s v="PAGO DEL PRIMER INTERES "/>
  </r>
  <r>
    <n v="69"/>
    <x v="18"/>
    <x v="2"/>
    <x v="28"/>
    <n v="100"/>
    <x v="13"/>
    <n v="1"/>
    <n v="2"/>
    <d v="2023-10-15T00:00:00"/>
    <n v="1"/>
    <s v="PAGO DE LA CUOTA E INTERES "/>
  </r>
  <r>
    <n v="70"/>
    <x v="19"/>
    <x v="8"/>
    <x v="21"/>
    <n v="400"/>
    <x v="13"/>
    <n v="4"/>
    <n v="8"/>
    <d v="2023-10-15T00:00:00"/>
    <n v="4"/>
    <s v="PAGO DE TODAS LAS CUOTAS Y EL 4 INTERES"/>
  </r>
  <r>
    <n v="71"/>
    <x v="14"/>
    <x v="14"/>
    <x v="29"/>
    <n v="25"/>
    <x v="13"/>
    <n v="1"/>
    <n v="2"/>
    <d v="2023-10-15T00:00:00"/>
    <n v="1"/>
    <s v="PAGO DE LA PRIMEA CUOTA Y LETRA"/>
  </r>
  <r>
    <n v="72"/>
    <x v="15"/>
    <x v="9"/>
    <x v="20"/>
    <n v="200"/>
    <x v="13"/>
    <n v="4"/>
    <n v="4"/>
    <d v="2023-10-15T00:00:00"/>
    <n v="4"/>
    <s v="PAGO DE TODAS LAS CUOTAS Y EL ULTIMO INTERES"/>
  </r>
  <r>
    <n v="73"/>
    <x v="14"/>
    <x v="14"/>
    <x v="29"/>
    <n v="25"/>
    <x v="14"/>
    <n v="2"/>
    <n v="2"/>
    <d v="2023-11-15T00:00:00"/>
    <n v="2"/>
    <s v="PAGO DEL SEGUNDO PAGO"/>
  </r>
  <r>
    <n v="74"/>
    <x v="20"/>
    <x v="1"/>
    <x v="30"/>
    <n v="0"/>
    <x v="14"/>
    <n v="1"/>
    <n v="12"/>
    <d v="2023-11-15T00:00:00"/>
    <n v="1"/>
    <s v="PAGO DEL PAGO DEL INTERES 1"/>
  </r>
  <r>
    <n v="75"/>
    <x v="21"/>
    <x v="7"/>
    <x v="31"/>
    <n v="57.16"/>
    <x v="14"/>
    <n v="1"/>
    <n v="8"/>
    <d v="2023-11-15T00:00:00"/>
    <n v="1"/>
    <s v="PAGO DE LA PRIMERA CUOTA "/>
  </r>
  <r>
    <n v="76"/>
    <x v="22"/>
    <x v="3"/>
    <x v="32"/>
    <n v="50"/>
    <x v="14"/>
    <n v="1"/>
    <n v="4"/>
    <d v="2023-11-15T00:00:00"/>
    <n v="1"/>
    <s v="PAGO DE LA PRIMERA LETRA "/>
  </r>
  <r>
    <n v="77"/>
    <x v="17"/>
    <x v="11"/>
    <x v="27"/>
    <n v="0"/>
    <x v="14"/>
    <n v="1"/>
    <n v="10"/>
    <d v="2023-11-15T00:00:00"/>
    <n v="1"/>
    <s v="PAGO DEL SEGUNDO INTERES"/>
  </r>
  <r>
    <s v="INGRESO2"/>
    <x v="4"/>
    <x v="5"/>
    <x v="5"/>
    <n v="0"/>
    <x v="14"/>
    <s v="MULTA"/>
    <n v="1.5"/>
    <d v="2023-11-15T00:00:00"/>
    <s v="MULTA"/>
    <s v="PAGO DE MULTAS POR ATRASO DE ANA TOAQUIZA, DANNY ALMACHI Y DIEGO TOAQUIZA"/>
  </r>
  <r>
    <n v="78"/>
    <x v="16"/>
    <x v="0"/>
    <x v="33"/>
    <n v="0"/>
    <x v="15"/>
    <n v="2"/>
    <n v="4"/>
    <d v="2023-12-15T00:00:00"/>
    <n v="2"/>
    <s v="PAGO DE PRIMER INTERES"/>
  </r>
  <r>
    <n v="79"/>
    <x v="17"/>
    <x v="11"/>
    <x v="27"/>
    <n v="0"/>
    <x v="15"/>
    <n v="2"/>
    <n v="10"/>
    <d v="2023-12-15T00:00:00"/>
    <n v="2"/>
    <s v="PAGO EL TERCERO INTERES"/>
  </r>
  <r>
    <n v="80"/>
    <x v="21"/>
    <x v="7"/>
    <x v="31"/>
    <n v="57.14"/>
    <x v="15"/>
    <n v="2"/>
    <n v="8"/>
    <d v="2023-12-15T00:00:00"/>
    <n v="2"/>
    <s v="PAGO DE LA SEGUNDA CUOTA"/>
  </r>
  <r>
    <n v="81"/>
    <x v="22"/>
    <x v="3"/>
    <x v="32"/>
    <n v="50"/>
    <x v="15"/>
    <n v="2"/>
    <n v="4"/>
    <d v="2023-12-15T00:00:00"/>
    <n v="2"/>
    <s v="PAGO DE LA SEGUNDA CUOTA"/>
  </r>
  <r>
    <n v="82"/>
    <x v="20"/>
    <x v="1"/>
    <x v="30"/>
    <n v="0"/>
    <x v="15"/>
    <n v="2"/>
    <n v="12"/>
    <d v="2023-12-15T00:00:00"/>
    <n v="2"/>
    <s v="PAGO DEL SEGUNDO INTERES"/>
  </r>
  <r>
    <n v="83"/>
    <x v="19"/>
    <x v="8"/>
    <x v="34"/>
    <n v="0"/>
    <x v="15"/>
    <n v="1"/>
    <n v="5"/>
    <d v="2023-12-15T00:00:00"/>
    <n v="2"/>
    <s v="PAGO DEL PRIMER INTERES"/>
  </r>
  <r>
    <n v="84"/>
    <x v="14"/>
    <x v="14"/>
    <x v="29"/>
    <n v="25"/>
    <x v="15"/>
    <n v="2"/>
    <n v="2"/>
    <d v="2023-12-15T00:00:00"/>
    <n v="2"/>
    <s v="PAGO DE LA SEGUNDA CUOTA"/>
  </r>
  <r>
    <n v="85"/>
    <x v="16"/>
    <x v="0"/>
    <x v="33"/>
    <n v="0"/>
    <x v="16"/>
    <n v="3"/>
    <n v="4"/>
    <d v="2024-01-15T00:00:00"/>
    <n v="3"/>
    <s v="PAGO DEL SEGUNDO INTERES"/>
  </r>
  <r>
    <n v="86"/>
    <x v="17"/>
    <x v="11"/>
    <x v="27"/>
    <n v="0"/>
    <x v="16"/>
    <n v="3"/>
    <n v="10"/>
    <d v="2024-01-15T00:00:00"/>
    <n v="3"/>
    <s v="PAGO DEL CUARTO INTERES"/>
  </r>
  <r>
    <n v="87"/>
    <x v="21"/>
    <x v="7"/>
    <x v="31"/>
    <n v="57.14"/>
    <x v="16"/>
    <n v="3"/>
    <n v="8"/>
    <d v="2024-01-15T00:00:00"/>
    <n v="3"/>
    <s v="PAGO DE LA TERCERA CUOTA"/>
  </r>
  <r>
    <n v="88"/>
    <x v="22"/>
    <x v="3"/>
    <x v="32"/>
    <n v="100"/>
    <x v="16"/>
    <n v="4"/>
    <n v="8"/>
    <d v="2024-01-15T00:00:00"/>
    <n v="4"/>
    <s v="PAGO DE LA TERCERA Y CUARTA CUOTA"/>
  </r>
  <r>
    <n v="89"/>
    <x v="20"/>
    <x v="1"/>
    <x v="30"/>
    <n v="0"/>
    <x v="16"/>
    <n v="3"/>
    <n v="12"/>
    <d v="2024-01-15T00:00:00"/>
    <n v="3"/>
    <s v="PAGO DE LA TERCERA CUOTA"/>
  </r>
  <r>
    <n v="90"/>
    <x v="19"/>
    <x v="8"/>
    <x v="34"/>
    <n v="0"/>
    <x v="16"/>
    <n v="2"/>
    <n v="5"/>
    <d v="2024-01-15T00:00:00"/>
    <n v="3"/>
    <s v="PAGO DEL SEGUNGO INTERES"/>
  </r>
  <r>
    <n v="91"/>
    <x v="14"/>
    <x v="14"/>
    <x v="29"/>
    <n v="25"/>
    <x v="16"/>
    <n v="3"/>
    <n v="2"/>
    <d v="2024-01-15T00:00:00"/>
    <n v="3"/>
    <s v="PAGO DE LA TERCERA CUOTA"/>
  </r>
  <r>
    <s v="EGRESO2"/>
    <x v="19"/>
    <x v="8"/>
    <x v="34"/>
    <n v="0"/>
    <x v="16"/>
    <n v="4"/>
    <n v="10"/>
    <d v="2024-01-15T00:00:00"/>
    <n v="4"/>
    <s v="ANULACION DE PAGO DE INTERESES POR REPRESTAMO"/>
  </r>
  <r>
    <s v="EGRESO3"/>
    <x v="19"/>
    <x v="8"/>
    <x v="34"/>
    <n v="250"/>
    <x v="16"/>
    <n v="4"/>
    <n v="0"/>
    <d v="2024-01-15T00:00:00"/>
    <n v="4"/>
    <s v="CANCELA EL MONTO TOTAL POR HACER REEPRESTAMO"/>
  </r>
  <r>
    <n v="92"/>
    <x v="16"/>
    <x v="0"/>
    <x v="33"/>
    <n v="0"/>
    <x v="17"/>
    <n v="4"/>
    <n v="4"/>
    <d v="2024-02-15T00:00:00"/>
    <n v="4"/>
    <s v="PAGO DEL TERCER INTERES"/>
  </r>
  <r>
    <n v="93"/>
    <x v="17"/>
    <x v="11"/>
    <x v="27"/>
    <n v="0"/>
    <x v="17"/>
    <n v="5"/>
    <n v="10"/>
    <d v="2024-02-15T00:00:00"/>
    <n v="5"/>
    <s v="PAGO DEL QUINTO INTERES"/>
  </r>
  <r>
    <n v="94"/>
    <x v="21"/>
    <x v="7"/>
    <x v="31"/>
    <n v="57.14"/>
    <x v="17"/>
    <n v="4"/>
    <n v="8"/>
    <d v="2024-02-15T00:00:00"/>
    <n v="4"/>
    <s v="PAGO DE LA CUARTA CUOTA"/>
  </r>
  <r>
    <n v="95"/>
    <x v="15"/>
    <x v="9"/>
    <x v="35"/>
    <n v="0"/>
    <x v="17"/>
    <n v="1"/>
    <n v="2"/>
    <d v="2024-02-15T00:00:00"/>
    <n v="1"/>
    <s v="PAGO DEL PRIMER INTERES"/>
  </r>
  <r>
    <n v="96"/>
    <x v="20"/>
    <x v="1"/>
    <x v="30"/>
    <n v="0"/>
    <x v="17"/>
    <n v="4"/>
    <n v="12"/>
    <d v="2024-02-15T00:00:00"/>
    <n v="4"/>
    <s v="PAGO DEL ULTIMO INTERES RENUEVA EL PRESTAMO"/>
  </r>
  <r>
    <s v="EGRESO4"/>
    <x v="20"/>
    <x v="1"/>
    <x v="30"/>
    <n v="600"/>
    <x v="17"/>
    <n v="4"/>
    <n v="0"/>
    <d v="2024-02-15T00:00:00"/>
    <n v="4"/>
    <s v="ANULACION PAGO DEL MONTO POR REEPRESTAMO"/>
  </r>
  <r>
    <n v="97"/>
    <x v="19"/>
    <x v="8"/>
    <x v="36"/>
    <n v="0"/>
    <x v="17"/>
    <n v="1"/>
    <n v="10"/>
    <d v="2024-02-15T00:00:00"/>
    <n v="1"/>
    <s v="PAGO DELPRIMER INTERES"/>
  </r>
  <r>
    <s v="INGRESO3"/>
    <x v="18"/>
    <x v="2"/>
    <x v="5"/>
    <n v="0"/>
    <x v="17"/>
    <s v="MULTA"/>
    <n v="4"/>
    <d v="2024-02-15T00:00:00"/>
    <s v="MULTA"/>
    <s v="PAGO DE INTERES POR NOMINA"/>
  </r>
  <r>
    <s v="INGRESO4"/>
    <x v="23"/>
    <x v="12"/>
    <x v="5"/>
    <n v="0"/>
    <x v="17"/>
    <s v="MULTA"/>
    <n v="4"/>
    <d v="2024-02-15T00:00:00"/>
    <s v="MULTA"/>
    <s v="PAGO DE INTERES POR NOMINA"/>
  </r>
  <r>
    <n v="98"/>
    <x v="21"/>
    <x v="7"/>
    <x v="31"/>
    <n v="57.14"/>
    <x v="18"/>
    <n v="5"/>
    <n v="8"/>
    <d v="2024-03-15T00:00:00"/>
    <n v="5"/>
    <s v="PAGO DE LA QUINTA CUOTA"/>
  </r>
  <r>
    <n v="99"/>
    <x v="16"/>
    <x v="0"/>
    <x v="33"/>
    <n v="200"/>
    <x v="18"/>
    <n v="4"/>
    <n v="4"/>
    <d v="2024-03-15T00:00:00"/>
    <n v="4"/>
    <s v="PAGO DEL CUARTO INTERES Y EL MONTO"/>
  </r>
  <r>
    <n v="100"/>
    <x v="17"/>
    <x v="11"/>
    <x v="27"/>
    <n v="0"/>
    <x v="18"/>
    <n v="6"/>
    <n v="10"/>
    <d v="2024-03-15T00:00:00"/>
    <n v="6"/>
    <s v="PAGO DEL SEXTO INTERES CANCELA PRESTAMO TOMA A CARGO ANA"/>
  </r>
  <r>
    <s v="EGRESO5"/>
    <x v="17"/>
    <x v="11"/>
    <x v="27"/>
    <n v="500"/>
    <x v="18"/>
    <n v="6"/>
    <n v="0"/>
    <d v="2024-03-15T00:00:00"/>
    <n v="6"/>
    <s v="MONTO PAGADO CON REPRESTAMO DE ANA TOAQUIZA"/>
  </r>
  <r>
    <n v="101"/>
    <x v="15"/>
    <x v="9"/>
    <x v="35"/>
    <n v="0"/>
    <x v="18"/>
    <n v="3"/>
    <n v="2"/>
    <d v="2024-03-15T00:00:00"/>
    <n v="3"/>
    <s v="PAGO DEL SEGUDO INTERES"/>
  </r>
  <r>
    <n v="102"/>
    <x v="20"/>
    <x v="1"/>
    <x v="37"/>
    <n v="120"/>
    <x v="18"/>
    <n v="1"/>
    <n v="12"/>
    <d v="2024-03-15T00:00:00"/>
    <n v="1"/>
    <s v="PAGO DE LA PRIMERA CUOTA E INTERES "/>
  </r>
  <r>
    <n v="103"/>
    <x v="19"/>
    <x v="8"/>
    <x v="36"/>
    <n v="0"/>
    <x v="18"/>
    <n v="2"/>
    <n v="10"/>
    <d v="2024-03-15T00:00:00"/>
    <n v="2"/>
    <s v="PAGO DEL SEGUNDO INTERES"/>
  </r>
  <r>
    <s v="EGRESO6"/>
    <x v="19"/>
    <x v="8"/>
    <x v="36"/>
    <n v="500"/>
    <x v="18"/>
    <n v="2"/>
    <n v="0"/>
    <d v="2024-03-15T00:00:00"/>
    <n v="2"/>
    <s v="PAGO MONTO CANCELA PRESTAMO TOMA A CARGO LUPE"/>
  </r>
  <r>
    <n v="104"/>
    <x v="24"/>
    <x v="6"/>
    <x v="38"/>
    <n v="25"/>
    <x v="18"/>
    <n v="1"/>
    <n v="2"/>
    <d v="2024-03-15T00:00:00"/>
    <n v="1"/>
    <s v="PAGO DE LA PRIMERA CUOTA"/>
  </r>
  <r>
    <s v="EGRESO7"/>
    <x v="15"/>
    <x v="9"/>
    <x v="35"/>
    <n v="0"/>
    <x v="18"/>
    <n v="3"/>
    <n v="6"/>
    <d v="2024-03-15T00:00:00"/>
    <n v="3"/>
    <s v="ANULACION DE PAGO DE INTERESES 3-4-5 POR REPRESTAMO"/>
  </r>
  <r>
    <s v="EGRESO8"/>
    <x v="15"/>
    <x v="9"/>
    <x v="35"/>
    <n v="100"/>
    <x v="18"/>
    <n v="3"/>
    <n v="0"/>
    <d v="2024-03-15T00:00:00"/>
    <n v="3"/>
    <s v="ANULACION DE PAGO DEL MONTO POR REPRESTAMO"/>
  </r>
  <r>
    <n v="105"/>
    <x v="24"/>
    <x v="6"/>
    <x v="38"/>
    <n v="25"/>
    <x v="19"/>
    <n v="2"/>
    <n v="2"/>
    <d v="2024-04-15T00:00:00"/>
    <n v="2"/>
    <s v="PAGO DE LA SEGUNDA CUOTA"/>
  </r>
  <r>
    <n v="106"/>
    <x v="16"/>
    <x v="0"/>
    <x v="39"/>
    <n v="100"/>
    <x v="19"/>
    <n v="1"/>
    <n v="20"/>
    <d v="2024-04-15T00:00:00"/>
    <n v="1"/>
    <s v="PAGO DE LA PRIMERA CUOTA"/>
  </r>
  <r>
    <n v="107"/>
    <x v="20"/>
    <x v="1"/>
    <x v="37"/>
    <n v="120"/>
    <x v="19"/>
    <n v="1"/>
    <n v="12"/>
    <d v="2024-04-15T00:00:00"/>
    <n v="1"/>
    <s v="PAGO DE LA PRIMERA CUOTA"/>
  </r>
  <r>
    <n v="108"/>
    <x v="25"/>
    <x v="10"/>
    <x v="40"/>
    <n v="20"/>
    <x v="19"/>
    <n v="1"/>
    <n v="2"/>
    <d v="2024-04-15T00:00:00"/>
    <n v="1"/>
    <s v="PAGO DE LA PRIMERA CUOTA"/>
  </r>
  <r>
    <n v="109"/>
    <x v="21"/>
    <x v="7"/>
    <x v="31"/>
    <n v="57.14"/>
    <x v="19"/>
    <n v="6"/>
    <n v="8"/>
    <d v="2024-04-15T00:00:00"/>
    <n v="6"/>
    <s v="PAGO DE LA SEXTA CUOTA"/>
  </r>
  <r>
    <n v="110"/>
    <x v="19"/>
    <x v="8"/>
    <x v="41"/>
    <n v="100"/>
    <x v="19"/>
    <n v="1"/>
    <n v="8"/>
    <d v="2024-04-15T00:00:00"/>
    <n v="1"/>
    <s v="PAGO DE LA PRIMERA CUOTA"/>
  </r>
  <r>
    <n v="111"/>
    <x v="15"/>
    <x v="9"/>
    <x v="42"/>
    <n v="50"/>
    <x v="19"/>
    <n v="1"/>
    <n v="12"/>
    <d v="2024-04-15T00:00:00"/>
    <n v="1"/>
    <s v="PAGO DE LA PRIMERA CUOTA"/>
  </r>
  <r>
    <n v="112"/>
    <x v="16"/>
    <x v="0"/>
    <x v="39"/>
    <n v="100"/>
    <x v="20"/>
    <n v="2"/>
    <n v="20"/>
    <d v="2024-05-15T00:00:00"/>
    <n v="2"/>
    <s v="PAGO DE LA SEGUNDA CUOTA"/>
  </r>
  <r>
    <n v="113"/>
    <x v="24"/>
    <x v="6"/>
    <x v="38"/>
    <n v="25"/>
    <x v="20"/>
    <n v="3"/>
    <n v="2"/>
    <d v="2024-05-15T00:00:00"/>
    <n v="3"/>
    <s v="PAGO DE LA TERCERA CUOTA"/>
  </r>
  <r>
    <n v="114"/>
    <x v="21"/>
    <x v="7"/>
    <x v="31"/>
    <n v="57.14"/>
    <x v="20"/>
    <n v="7"/>
    <n v="8"/>
    <d v="2024-05-15T00:00:00"/>
    <n v="7"/>
    <s v="PAGO DE LA SEPTIMA CUOTA"/>
  </r>
  <r>
    <n v="115"/>
    <x v="15"/>
    <x v="9"/>
    <x v="42"/>
    <n v="50"/>
    <x v="20"/>
    <n v="2"/>
    <n v="12"/>
    <d v="2024-05-15T00:00:00"/>
    <n v="2"/>
    <s v="PAGO DE LA SEGUNDA CUOTA"/>
  </r>
  <r>
    <n v="116"/>
    <x v="25"/>
    <x v="10"/>
    <x v="40"/>
    <n v="20"/>
    <x v="20"/>
    <n v="2"/>
    <n v="2"/>
    <d v="2024-05-15T00:00:00"/>
    <n v="2"/>
    <s v="PAGO DE LA SEGUNDA CUOTA"/>
  </r>
  <r>
    <n v="117"/>
    <x v="20"/>
    <x v="1"/>
    <x v="37"/>
    <n v="120"/>
    <x v="20"/>
    <n v="3"/>
    <n v="12"/>
    <d v="2024-05-15T00:00:00"/>
    <n v="3"/>
    <s v="PAGO DE LA TERCERA CUOTA"/>
  </r>
  <r>
    <n v="118"/>
    <x v="19"/>
    <x v="8"/>
    <x v="41"/>
    <n v="100"/>
    <x v="20"/>
    <n v="2"/>
    <n v="8"/>
    <d v="2024-05-15T00:00:00"/>
    <n v="2"/>
    <s v="PAGO DE LA SEGUNDA CUOTA"/>
  </r>
  <r>
    <s v="INGRESO5"/>
    <x v="26"/>
    <x v="4"/>
    <x v="5"/>
    <n v="0"/>
    <x v="20"/>
    <s v="MULTA"/>
    <n v="4"/>
    <d v="2024-05-15T00:00:00"/>
    <s v="MULTA"/>
    <s v="PAGO DE INTERES POR NOMINA"/>
  </r>
  <r>
    <n v="119"/>
    <x v="16"/>
    <x v="0"/>
    <x v="39"/>
    <n v="100"/>
    <x v="21"/>
    <n v="3"/>
    <n v="20"/>
    <d v="2024-06-15T00:00:00"/>
    <n v="3"/>
    <s v="PAGO DE LA TERCERA CUOTA"/>
  </r>
  <r>
    <n v="120"/>
    <x v="24"/>
    <x v="6"/>
    <x v="38"/>
    <n v="25"/>
    <x v="21"/>
    <n v="4"/>
    <n v="2"/>
    <d v="2024-06-15T00:00:00"/>
    <n v="4"/>
    <s v="PAGO DE LA CUARTA CUOTA"/>
  </r>
  <r>
    <n v="121"/>
    <x v="21"/>
    <x v="7"/>
    <x v="43"/>
    <n v="85.74"/>
    <x v="21"/>
    <n v="1"/>
    <n v="12"/>
    <d v="2024-06-15T00:00:00"/>
    <n v="1"/>
    <s v="PAGO DE LA PRIMERA CUOTA"/>
  </r>
  <r>
    <n v="122"/>
    <x v="15"/>
    <x v="9"/>
    <x v="42"/>
    <n v="50"/>
    <x v="21"/>
    <n v="3"/>
    <n v="12"/>
    <d v="2024-06-15T00:00:00"/>
    <n v="3"/>
    <s v="PAGO DE LA TERCERA CUOTA"/>
  </r>
  <r>
    <n v="123"/>
    <x v="25"/>
    <x v="10"/>
    <x v="40"/>
    <n v="20"/>
    <x v="21"/>
    <n v="3"/>
    <n v="2"/>
    <d v="2024-06-15T00:00:00"/>
    <n v="3"/>
    <s v="PAGO DE LA TERCERA CUOTA"/>
  </r>
  <r>
    <n v="124"/>
    <x v="18"/>
    <x v="2"/>
    <x v="44"/>
    <n v="100"/>
    <x v="21"/>
    <n v="1"/>
    <n v="8"/>
    <d v="2024-06-15T00:00:00"/>
    <n v="1"/>
    <s v="PAGO DE LA PRIMERA CUOTA"/>
  </r>
  <r>
    <n v="125"/>
    <x v="20"/>
    <x v="1"/>
    <x v="37"/>
    <n v="120"/>
    <x v="21"/>
    <n v="4"/>
    <n v="12"/>
    <d v="2024-06-15T00:00:00"/>
    <n v="4"/>
    <s v="PAGO DE LA CUARTA CUOTA"/>
  </r>
  <r>
    <n v="126"/>
    <x v="19"/>
    <x v="8"/>
    <x v="41"/>
    <n v="0"/>
    <x v="21"/>
    <n v="3"/>
    <n v="8"/>
    <d v="2024-06-15T00:00:00"/>
    <n v="3"/>
    <s v="PAGO TERCERA CUOTA (ANUL ULTIMA CUOTA)"/>
  </r>
  <r>
    <s v="EGRESO9"/>
    <x v="19"/>
    <x v="8"/>
    <x v="41"/>
    <n v="200"/>
    <x v="21"/>
    <n v="4"/>
    <n v="8"/>
    <d v="2024-06-15T00:00:00"/>
    <n v="4"/>
    <s v="ANULACION DE PAGO DE INTERESES Y MONTO POR REPRESTAMO"/>
  </r>
  <r>
    <n v="127"/>
    <x v="16"/>
    <x v="0"/>
    <x v="39"/>
    <n v="100"/>
    <x v="22"/>
    <n v="4"/>
    <n v="20"/>
    <d v="2024-07-15T00:00:00"/>
    <n v="4"/>
    <s v="PAGO DE LA CUARTA CUOTA"/>
  </r>
  <r>
    <n v="128"/>
    <x v="21"/>
    <x v="7"/>
    <x v="43"/>
    <n v="85.71"/>
    <x v="22"/>
    <n v="2"/>
    <n v="12"/>
    <d v="2024-07-15T00:00:00"/>
    <n v="2"/>
    <s v="PAGO DE LA SEGUNDA CUOTA"/>
  </r>
  <r>
    <n v="129"/>
    <x v="15"/>
    <x v="9"/>
    <x v="42"/>
    <n v="50"/>
    <x v="22"/>
    <n v="4"/>
    <n v="12"/>
    <d v="2024-07-15T00:00:00"/>
    <n v="4"/>
    <s v="PAGO DE LA CUARTA CUOTA"/>
  </r>
  <r>
    <n v="130"/>
    <x v="22"/>
    <x v="3"/>
    <x v="45"/>
    <n v="150"/>
    <x v="22"/>
    <n v="3"/>
    <n v="9"/>
    <d v="2024-07-15T00:00:00"/>
    <n v="3"/>
    <s v="PAGO DEL PRESTAMO"/>
  </r>
  <r>
    <n v="131"/>
    <x v="25"/>
    <x v="10"/>
    <x v="40"/>
    <n v="20"/>
    <x v="22"/>
    <n v="4"/>
    <n v="2"/>
    <d v="2024-07-15T00:00:00"/>
    <n v="4"/>
    <s v="PAGO DE LA CUARTA CUOTA"/>
  </r>
  <r>
    <n v="132"/>
    <x v="18"/>
    <x v="2"/>
    <x v="44"/>
    <n v="100"/>
    <x v="22"/>
    <n v="2"/>
    <n v="8"/>
    <d v="2024-07-15T00:00:00"/>
    <n v="2"/>
    <s v="PAGO DE LA SEGUNDA CUOTA"/>
  </r>
  <r>
    <n v="133"/>
    <x v="23"/>
    <x v="12"/>
    <x v="46"/>
    <n v="100"/>
    <x v="22"/>
    <n v="1"/>
    <n v="6"/>
    <d v="2024-07-15T00:00:00"/>
    <n v="1"/>
    <s v="PAGO DE LA PRIMERA CUOTA"/>
  </r>
  <r>
    <n v="134"/>
    <x v="20"/>
    <x v="1"/>
    <x v="37"/>
    <n v="120"/>
    <x v="22"/>
    <n v="5"/>
    <n v="12"/>
    <d v="2024-07-15T00:00:00"/>
    <n v="5"/>
    <s v="PAGO DE LA QUITA CUOTA"/>
  </r>
  <r>
    <n v="135"/>
    <x v="19"/>
    <x v="8"/>
    <x v="47"/>
    <n v="140"/>
    <x v="22"/>
    <n v="1"/>
    <n v="14"/>
    <d v="2024-07-15T00:00:00"/>
    <n v="1"/>
    <s v="PAGO DE LA PRIMERA CUOTA"/>
  </r>
  <r>
    <n v="136"/>
    <x v="16"/>
    <x v="0"/>
    <x v="39"/>
    <n v="100"/>
    <x v="23"/>
    <n v="5"/>
    <n v="20"/>
    <d v="2024-08-15T00:00:00"/>
    <n v="5"/>
    <s v="PAGO DE LA QUINTA CUOTA"/>
  </r>
  <r>
    <n v="137"/>
    <x v="17"/>
    <x v="11"/>
    <x v="48"/>
    <n v="100"/>
    <x v="23"/>
    <n v="1"/>
    <n v="10"/>
    <d v="2024-08-15T00:00:00"/>
    <n v="1"/>
    <s v="PAGO DE LA PRIMERA CUOTA"/>
  </r>
  <r>
    <n v="138"/>
    <x v="21"/>
    <x v="7"/>
    <x v="43"/>
    <n v="85.71"/>
    <x v="23"/>
    <n v="3"/>
    <n v="12"/>
    <d v="2024-08-15T00:00:00"/>
    <n v="3"/>
    <s v="PAGO DE LA TERCERA CUOTA"/>
  </r>
  <r>
    <n v="139"/>
    <x v="15"/>
    <x v="9"/>
    <x v="42"/>
    <n v="50"/>
    <x v="23"/>
    <n v="5"/>
    <n v="12"/>
    <d v="2024-08-15T00:00:00"/>
    <n v="5"/>
    <s v="PAGO DE LA QUINTA CUOTA"/>
  </r>
  <r>
    <n v="140"/>
    <x v="22"/>
    <x v="3"/>
    <x v="49"/>
    <n v="41.67"/>
    <x v="23"/>
    <n v="1"/>
    <n v="10"/>
    <d v="2024-08-15T00:00:00"/>
    <n v="1"/>
    <s v="PAGO DE LA PRIMERA CUOTA"/>
  </r>
  <r>
    <n v="141"/>
    <x v="25"/>
    <x v="10"/>
    <x v="40"/>
    <n v="20"/>
    <x v="23"/>
    <n v="5"/>
    <n v="2"/>
    <d v="2024-08-15T00:00:00"/>
    <n v="5"/>
    <s v="PAGO DE LA QUINTA CUOTA"/>
  </r>
  <r>
    <n v="142"/>
    <x v="18"/>
    <x v="2"/>
    <x v="44"/>
    <n v="100"/>
    <x v="23"/>
    <n v="3"/>
    <n v="8"/>
    <d v="2024-08-15T00:00:00"/>
    <n v="3"/>
    <s v="PAGO DE LA TERCERA CUOTA"/>
  </r>
  <r>
    <n v="143"/>
    <x v="19"/>
    <x v="8"/>
    <x v="47"/>
    <n v="140"/>
    <x v="23"/>
    <n v="2"/>
    <n v="14"/>
    <d v="2024-08-15T00:00:00"/>
    <n v="2"/>
    <s v="PAGO DE LA SEGUNDA CUOTA"/>
  </r>
  <r>
    <n v="144"/>
    <x v="23"/>
    <x v="12"/>
    <x v="46"/>
    <n v="100"/>
    <x v="23"/>
    <n v="2"/>
    <n v="6"/>
    <d v="2024-08-15T00:00:00"/>
    <n v="2"/>
    <s v="PAGO DE LA SEGUNDA CUOTA"/>
  </r>
  <r>
    <n v="145"/>
    <x v="24"/>
    <x v="6"/>
    <x v="50"/>
    <n v="50"/>
    <x v="24"/>
    <n v="1"/>
    <n v="6"/>
    <d v="2024-09-15T00:00:00"/>
    <n v="1"/>
    <s v="PAGO DE LA PRIMERA LETRA"/>
  </r>
  <r>
    <n v="146"/>
    <x v="16"/>
    <x v="0"/>
    <x v="39"/>
    <n v="100"/>
    <x v="24"/>
    <n v="6"/>
    <n v="20"/>
    <d v="2024-09-15T00:00:00"/>
    <n v="6"/>
    <s v="PAGO DE LA SEXTA LETRA"/>
  </r>
  <r>
    <n v="147"/>
    <x v="18"/>
    <x v="2"/>
    <x v="44"/>
    <n v="100"/>
    <x v="24"/>
    <n v="4"/>
    <n v="8"/>
    <d v="2024-09-15T00:00:00"/>
    <n v="4"/>
    <s v="PAGO DE LA CUARTA LETRA"/>
  </r>
  <r>
    <n v="148"/>
    <x v="23"/>
    <x v="12"/>
    <x v="46"/>
    <n v="100"/>
    <x v="24"/>
    <n v="3"/>
    <n v="6"/>
    <d v="2024-09-15T00:00:00"/>
    <n v="3"/>
    <s v="PAGO DE LA TERCERA LETRA"/>
  </r>
  <r>
    <n v="149"/>
    <x v="20"/>
    <x v="1"/>
    <x v="51"/>
    <n v="100"/>
    <x v="24"/>
    <n v="1"/>
    <n v="12"/>
    <d v="2024-09-15T00:00:00"/>
    <n v="1"/>
    <s v="PAGO DE LA PRIMERA LETRA"/>
  </r>
  <r>
    <n v="150"/>
    <x v="21"/>
    <x v="7"/>
    <x v="43"/>
    <n v="85.71"/>
    <x v="24"/>
    <n v="4"/>
    <n v="12"/>
    <d v="2024-09-15T00:00:00"/>
    <n v="4"/>
    <s v="PAGO DE LA CUARTA LETRA"/>
  </r>
  <r>
    <n v="151"/>
    <x v="19"/>
    <x v="8"/>
    <x v="47"/>
    <n v="140"/>
    <x v="24"/>
    <n v="3"/>
    <n v="14"/>
    <d v="2024-09-15T00:00:00"/>
    <n v="3"/>
    <s v="PAGO DE LA TERCERA LETRA"/>
  </r>
  <r>
    <n v="152"/>
    <x v="15"/>
    <x v="9"/>
    <x v="42"/>
    <n v="50"/>
    <x v="24"/>
    <n v="6"/>
    <n v="12"/>
    <d v="2024-09-15T00:00:00"/>
    <n v="6"/>
    <s v="PAGO DE LA SEXTA LETRA"/>
  </r>
  <r>
    <n v="153"/>
    <x v="22"/>
    <x v="3"/>
    <x v="49"/>
    <n v="41.67"/>
    <x v="24"/>
    <n v="2"/>
    <n v="10"/>
    <d v="2024-09-15T00:00:00"/>
    <n v="2"/>
    <s v="PAGO DE LA SEGUNDA LETRA"/>
  </r>
  <r>
    <n v="154"/>
    <x v="17"/>
    <x v="11"/>
    <x v="48"/>
    <n v="100"/>
    <x v="24"/>
    <n v="2"/>
    <n v="10"/>
    <d v="2024-09-15T00:00:00"/>
    <n v="2"/>
    <s v="PAGO DE LA SEGUNDA LETRA"/>
  </r>
  <r>
    <n v="155"/>
    <x v="16"/>
    <x v="0"/>
    <x v="39"/>
    <n v="100"/>
    <x v="25"/>
    <n v="7"/>
    <n v="20"/>
    <d v="2024-10-15T00:00:00"/>
    <n v="7"/>
    <s v="PAGO DE LA SEPTIMA LETRA"/>
  </r>
  <r>
    <n v="156"/>
    <x v="24"/>
    <x v="6"/>
    <x v="50"/>
    <n v="50"/>
    <x v="25"/>
    <n v="2"/>
    <n v="6"/>
    <d v="2024-10-15T00:00:00"/>
    <n v="2"/>
    <s v="PAGO DE LA SEGUNDA LETRA"/>
  </r>
  <r>
    <n v="157"/>
    <x v="17"/>
    <x v="11"/>
    <x v="48"/>
    <n v="100"/>
    <x v="25"/>
    <n v="3"/>
    <n v="10"/>
    <d v="2024-10-15T00:00:00"/>
    <n v="3"/>
    <s v="PAGO DE LA TERCERA LETRA"/>
  </r>
  <r>
    <n v="158"/>
    <x v="21"/>
    <x v="7"/>
    <x v="43"/>
    <n v="85.71"/>
    <x v="25"/>
    <n v="5"/>
    <n v="12"/>
    <d v="2024-10-15T00:00:00"/>
    <n v="5"/>
    <s v="PAGO DE LA QUINTA LETRA"/>
  </r>
  <r>
    <n v="159"/>
    <x v="15"/>
    <x v="9"/>
    <x v="42"/>
    <n v="50"/>
    <x v="25"/>
    <n v="7"/>
    <n v="12"/>
    <d v="2024-10-15T00:00:00"/>
    <n v="7"/>
    <s v="PAGO DE LA SEPTIMA LETRA"/>
  </r>
  <r>
    <n v="160"/>
    <x v="22"/>
    <x v="3"/>
    <x v="49"/>
    <n v="41.67"/>
    <x v="25"/>
    <n v="3"/>
    <n v="10"/>
    <d v="2024-10-15T00:00:00"/>
    <n v="3"/>
    <s v="PAGO DE LA TERCERA LETRA"/>
  </r>
  <r>
    <n v="161"/>
    <x v="26"/>
    <x v="4"/>
    <x v="52"/>
    <n v="100"/>
    <x v="25"/>
    <n v="1"/>
    <n v="8"/>
    <d v="2024-10-15T00:00:00"/>
    <n v="1"/>
    <s v="PAGO DE LA PRIMERA LETRA"/>
  </r>
  <r>
    <n v="162"/>
    <x v="20"/>
    <x v="1"/>
    <x v="51"/>
    <n v="100"/>
    <x v="25"/>
    <n v="2"/>
    <n v="12"/>
    <d v="2024-10-15T00:00:00"/>
    <n v="2"/>
    <s v="PAGO DE LA SEGUNDA LETRA"/>
  </r>
  <r>
    <n v="163"/>
    <x v="19"/>
    <x v="8"/>
    <x v="47"/>
    <n v="280"/>
    <x v="25"/>
    <n v="4"/>
    <n v="14"/>
    <d v="2024-10-15T00:00:00"/>
    <n v="4"/>
    <s v="PAGO DE LA CUARTA LETRA Y QUINTA CUOTA"/>
  </r>
  <r>
    <s v="INGRESO6"/>
    <x v="27"/>
    <x v="0"/>
    <x v="53"/>
    <n v="13.35"/>
    <x v="25"/>
    <s v="REPOSICION"/>
    <n v="0"/>
    <d v="2024-10-15T00:00:00"/>
    <s v="REPOSICION"/>
    <s v="REPOSICION DEL DINERO PRESTADO A SOCIO CESAR TOAQUIZA POR ENFERMEDAD"/>
  </r>
  <r>
    <s v="INGRESO7"/>
    <x v="27"/>
    <x v="2"/>
    <x v="53"/>
    <n v="13.35"/>
    <x v="25"/>
    <s v="REPOSICION"/>
    <n v="0"/>
    <d v="2024-10-15T00:00:00"/>
    <s v="REPOSICION"/>
    <s v="REPOSICION DEL DINERO PRESTADO A SOCIO CESAR TOAQUIZA POR ENFERMEDAD"/>
  </r>
  <r>
    <s v="EGRESO10"/>
    <x v="19"/>
    <x v="8"/>
    <x v="47"/>
    <n v="0"/>
    <x v="25"/>
    <n v="5"/>
    <n v="14"/>
    <d v="2024-10-15T00:00:00"/>
    <n v="5"/>
    <s v="ANULACION DEL PAGO DEL QUINTO INTERES POR REEPRESTAMO"/>
  </r>
  <r>
    <s v="EGRESO12"/>
    <x v="13"/>
    <x v="13"/>
    <x v="23"/>
    <n v="200"/>
    <x v="25"/>
    <s v="GASTO"/>
    <n v="0"/>
    <d v="2024-10-15T00:00:00"/>
    <s v="GASTO"/>
    <s v="VIAJE DE LOS SOCIOS A BAÑOS DE AGUA SANTA"/>
  </r>
  <r>
    <n v="164"/>
    <x v="15"/>
    <x v="9"/>
    <x v="42"/>
    <n v="50"/>
    <x v="26"/>
    <n v="8"/>
    <n v="12"/>
    <d v="2024-11-15T00:00:00"/>
    <n v="8"/>
    <s v="PAGO DE LA OCTAVA CUOTA"/>
  </r>
  <r>
    <n v="165"/>
    <x v="21"/>
    <x v="7"/>
    <x v="43"/>
    <n v="85.71"/>
    <x v="26"/>
    <n v="6"/>
    <n v="12"/>
    <d v="2024-11-15T00:00:00"/>
    <n v="6"/>
    <s v="PAGO DE LA SEXTA LETRA"/>
  </r>
  <r>
    <n v="166"/>
    <x v="22"/>
    <x v="3"/>
    <x v="49"/>
    <n v="41.67"/>
    <x v="26"/>
    <n v="4"/>
    <n v="10"/>
    <d v="2024-11-15T00:00:00"/>
    <n v="4"/>
    <s v="PAGO DE LA CUARTA LETRA"/>
  </r>
  <r>
    <n v="167"/>
    <x v="24"/>
    <x v="6"/>
    <x v="50"/>
    <n v="50"/>
    <x v="26"/>
    <n v="3"/>
    <n v="6"/>
    <d v="2024-11-15T00:00:00"/>
    <n v="3"/>
    <s v="PAGO DE LA TERCERA LETRA"/>
  </r>
  <r>
    <n v="168"/>
    <x v="26"/>
    <x v="4"/>
    <x v="52"/>
    <n v="100"/>
    <x v="26"/>
    <n v="2"/>
    <n v="8"/>
    <d v="2024-11-15T00:00:00"/>
    <n v="50"/>
    <s v="PAGO DE LA SEGUNDA LETRA"/>
  </r>
  <r>
    <n v="169"/>
    <x v="18"/>
    <x v="2"/>
    <x v="54"/>
    <n v="62.5"/>
    <x v="26"/>
    <n v="1"/>
    <n v="5"/>
    <d v="2024-11-15T00:00:00"/>
    <n v="1"/>
    <s v="PAGO DE LA PRIMERA LETRA"/>
  </r>
  <r>
    <n v="170"/>
    <x v="23"/>
    <x v="12"/>
    <x v="55"/>
    <n v="62.5"/>
    <x v="26"/>
    <n v="1"/>
    <n v="5"/>
    <d v="2024-11-15T00:00:00"/>
    <n v="1"/>
    <s v="PAGO DE LA PRIMERA LETRA"/>
  </r>
  <r>
    <n v="171"/>
    <x v="19"/>
    <x v="8"/>
    <x v="56"/>
    <n v="125"/>
    <x v="26"/>
    <n v="1"/>
    <n v="10"/>
    <d v="2024-11-15T00:00:00"/>
    <n v="1"/>
    <s v="PAGO DE LA PRIMERA LETRA"/>
  </r>
  <r>
    <n v="172"/>
    <x v="16"/>
    <x v="0"/>
    <x v="39"/>
    <n v="100"/>
    <x v="26"/>
    <n v="8"/>
    <n v="20"/>
    <d v="2024-11-15T00:00:00"/>
    <n v="8"/>
    <s v="PAGO DE LA OCTAVA LETRA"/>
  </r>
  <r>
    <n v="173"/>
    <x v="17"/>
    <x v="11"/>
    <x v="48"/>
    <n v="100"/>
    <x v="26"/>
    <n v="4"/>
    <n v="10"/>
    <d v="2024-11-15T00:00:00"/>
    <n v="4"/>
    <s v="PAGO DE LA CUARTA LETRA"/>
  </r>
  <r>
    <n v="174"/>
    <x v="21"/>
    <x v="7"/>
    <x v="43"/>
    <n v="85.71"/>
    <x v="26"/>
    <n v="7"/>
    <n v="0"/>
    <d v="2024-11-15T00:00:00"/>
    <n v="7"/>
    <s v="PAGO DE LA ULTIMA LETRA QUE SALE DEL REPRESTAMO"/>
  </r>
  <r>
    <n v="175"/>
    <x v="21"/>
    <x v="7"/>
    <x v="43"/>
    <n v="0"/>
    <x v="26"/>
    <n v="7"/>
    <n v="12"/>
    <d v="2024-11-15T00:00:00"/>
    <n v="7"/>
    <s v="CANCELACION DEL PAGO DEL ULTIMO INTERES POR REEPRESTAMO"/>
  </r>
  <r>
    <s v="INGRESO8"/>
    <x v="27"/>
    <x v="14"/>
    <x v="53"/>
    <n v="13.35"/>
    <x v="26"/>
    <s v="REPOSICION"/>
    <n v="0"/>
    <d v="2024-11-15T00:00:00"/>
    <s v="REPOSICION"/>
    <s v="REPOSICION DEL DINERO PRESTADO A SOCIO CESAR TOAQUIZA POR ENFERMEDAD"/>
  </r>
  <r>
    <s v="INGRESO9"/>
    <x v="27"/>
    <x v="1"/>
    <x v="53"/>
    <n v="13.35"/>
    <x v="26"/>
    <s v="REPOSICION"/>
    <n v="0"/>
    <d v="2024-11-15T00:00:00"/>
    <s v="REPOSICION"/>
    <s v="REPOSICION DEL DINERO PRESTADO A SOCIO CESAR TOAQUIZA POR ENFERMEDAD"/>
  </r>
  <r>
    <s v="INGRESO10"/>
    <x v="27"/>
    <x v="10"/>
    <x v="53"/>
    <n v="13.35"/>
    <x v="26"/>
    <s v="REPOSICION"/>
    <n v="0"/>
    <d v="2024-11-15T00:00:00"/>
    <s v="REPOSICION"/>
    <s v="REPOSICION DEL DINERO PRESTADO A SOCIO CESAR TOAQUIZA POR ENFERMEDAD"/>
  </r>
  <r>
    <s v="INGRESO11"/>
    <x v="27"/>
    <x v="4"/>
    <x v="53"/>
    <n v="13.35"/>
    <x v="26"/>
    <s v="REPOSICION"/>
    <n v="0"/>
    <d v="2024-11-15T00:00:00"/>
    <s v="REPOSICION"/>
    <s v="REPOSICION DEL DINERO PRESTADO A SOCIO CESAR TOAQUIZA POR ENFERMEDAD"/>
  </r>
  <r>
    <s v="INGRESO12"/>
    <x v="27"/>
    <x v="7"/>
    <x v="53"/>
    <n v="13.35"/>
    <x v="26"/>
    <s v="REPOSICION"/>
    <n v="0"/>
    <d v="2024-11-15T00:00:00"/>
    <s v="REPOSICION"/>
    <s v="REPOSICION DEL DINERO PRESTADO A SOCIO CESAR TOAQUIZA POR ENFERMEDAD"/>
  </r>
  <r>
    <s v="INGRESO13"/>
    <x v="27"/>
    <x v="8"/>
    <x v="53"/>
    <n v="13.35"/>
    <x v="26"/>
    <s v="REPOSICION"/>
    <n v="0"/>
    <d v="2024-11-15T00:00:00"/>
    <s v="REPOSICION"/>
    <s v="REPOSICION DEL DINERO PRESTADO A SOCIO CESAR TOAQUIZA POR ENFERMEDAD"/>
  </r>
  <r>
    <s v="INGRESO14"/>
    <x v="27"/>
    <x v="9"/>
    <x v="53"/>
    <n v="13.35"/>
    <x v="26"/>
    <s v="REPOSICION"/>
    <n v="0"/>
    <d v="2024-11-15T00:00:00"/>
    <s v="REPOSICION"/>
    <s v="REPOSICION DEL DINERO PRESTADO A SOCIO CESAR TOAQUIZA POR ENFERMEDAD"/>
  </r>
  <r>
    <s v="INGRESO15"/>
    <x v="27"/>
    <x v="3"/>
    <x v="53"/>
    <n v="13.35"/>
    <x v="26"/>
    <s v="REPOSICION"/>
    <n v="0"/>
    <d v="2024-11-15T00:00:00"/>
    <s v="REPOSICION"/>
    <s v="REPOSICION DEL DINERO PRESTADO A SOCIO CESAR TOAQUIZA POR ENFERMEDAD"/>
  </r>
  <r>
    <n v="176"/>
    <x v="20"/>
    <x v="1"/>
    <x v="51"/>
    <n v="100"/>
    <x v="26"/>
    <n v="3"/>
    <n v="12"/>
    <d v="2024-11-15T00:00:00"/>
    <n v="3"/>
    <s v="PAGO DE LA TERCERA LETRA"/>
  </r>
  <r>
    <n v="177"/>
    <x v="15"/>
    <x v="9"/>
    <x v="42"/>
    <n v="50"/>
    <x v="27"/>
    <n v="9"/>
    <n v="12"/>
    <d v="2024-12-15T00:00:00"/>
    <n v="9"/>
    <s v="PAGO DE LA NOVENA LETRA"/>
  </r>
  <r>
    <n v="178"/>
    <x v="16"/>
    <x v="0"/>
    <x v="39"/>
    <n v="100"/>
    <x v="27"/>
    <n v="9"/>
    <n v="20"/>
    <d v="2024-12-15T00:00:00"/>
    <n v="9"/>
    <s v="PAGO DE LA NOVENA LETRA"/>
  </r>
  <r>
    <n v="179"/>
    <x v="21"/>
    <x v="7"/>
    <x v="57"/>
    <n v="100"/>
    <x v="27"/>
    <n v="1"/>
    <n v="20"/>
    <d v="2024-12-15T00:00:00"/>
    <n v="1"/>
    <s v="PAGO DE LA PRIMERA LETRA"/>
  </r>
  <r>
    <n v="180"/>
    <x v="22"/>
    <x v="3"/>
    <x v="49"/>
    <n v="41.67"/>
    <x v="27"/>
    <n v="5"/>
    <n v="10"/>
    <d v="2024-12-15T00:00:00"/>
    <n v="5"/>
    <s v="PAGO DE LA QUINTA LETRA"/>
  </r>
  <r>
    <n v="181"/>
    <x v="20"/>
    <x v="1"/>
    <x v="51"/>
    <n v="100"/>
    <x v="27"/>
    <n v="4"/>
    <n v="12"/>
    <d v="2024-12-15T00:00:00"/>
    <n v="4"/>
    <s v="PAGO DE LA CUARTA LETRA"/>
  </r>
  <r>
    <n v="182"/>
    <x v="24"/>
    <x v="6"/>
    <x v="50"/>
    <n v="50"/>
    <x v="27"/>
    <n v="4"/>
    <n v="6"/>
    <d v="2024-12-15T00:00:00"/>
    <n v="4"/>
    <s v="PAGO DE LA CUARTA LETRA"/>
  </r>
  <r>
    <n v="183"/>
    <x v="26"/>
    <x v="4"/>
    <x v="52"/>
    <n v="100"/>
    <x v="27"/>
    <n v="3"/>
    <n v="8"/>
    <d v="2024-12-15T00:00:00"/>
    <n v="3"/>
    <s v="PAGO DE LA TERCERA LETRA"/>
  </r>
  <r>
    <n v="184"/>
    <x v="18"/>
    <x v="2"/>
    <x v="54"/>
    <n v="62.5"/>
    <x v="27"/>
    <n v="2"/>
    <n v="5"/>
    <d v="2024-12-15T00:00:00"/>
    <n v="2"/>
    <s v="PAGO DE LA SEGUNDA LETRA"/>
  </r>
  <r>
    <n v="185"/>
    <x v="23"/>
    <x v="12"/>
    <x v="55"/>
    <n v="62.5"/>
    <x v="27"/>
    <n v="2"/>
    <n v="5"/>
    <d v="2024-12-15T00:00:00"/>
    <n v="2"/>
    <s v="PAGO DE LA SEGUNDA LETRA"/>
  </r>
  <r>
    <n v="186"/>
    <x v="19"/>
    <x v="8"/>
    <x v="56"/>
    <n v="125"/>
    <x v="27"/>
    <n v="2"/>
    <n v="10"/>
    <d v="2024-12-15T00:00:00"/>
    <n v="2"/>
    <s v="PAGO DE LA SEGUNDA LETRA"/>
  </r>
  <r>
    <n v="187"/>
    <x v="25"/>
    <x v="10"/>
    <x v="58"/>
    <n v="40"/>
    <x v="27"/>
    <n v="1"/>
    <n v="4"/>
    <d v="2024-12-15T00:00:00"/>
    <n v="1"/>
    <s v="PAGO DE LA PRIMERA LETRA"/>
  </r>
  <r>
    <s v="INGRESO16"/>
    <x v="27"/>
    <x v="11"/>
    <x v="53"/>
    <n v="13.35"/>
    <x v="27"/>
    <s v="REPOSICION"/>
    <n v="0"/>
    <d v="2024-12-15T00:00:00"/>
    <s v="REPOSICION"/>
    <s v="REPOSICION DEL DINERO PRESTADO A SOCIO CESAR TOAQUIZA POR ENFERMEDAD"/>
  </r>
  <r>
    <s v="INGRESO17"/>
    <x v="27"/>
    <x v="12"/>
    <x v="53"/>
    <n v="13.35"/>
    <x v="27"/>
    <s v="REPOSICION"/>
    <n v="0"/>
    <d v="2024-12-15T00:00:00"/>
    <s v="REPOSICION"/>
    <s v="REPOSICION DEL DINERO PRESTADO A SOCIO CESAR TOAQUIZA POR ENFERMEDAD"/>
  </r>
  <r>
    <n v="188"/>
    <x v="14"/>
    <x v="14"/>
    <x v="59"/>
    <n v="166.67"/>
    <x v="27"/>
    <n v="1"/>
    <n v="10"/>
    <d v="2024-12-15T00:00:00"/>
    <n v="1"/>
    <s v="PAGO DE LA PRIMERA LETRA"/>
  </r>
  <r>
    <s v="EGRESO13"/>
    <x v="17"/>
    <x v="11"/>
    <x v="48"/>
    <n v="100"/>
    <x v="27"/>
    <n v="5"/>
    <n v="0"/>
    <d v="2024-12-15T00:00:00"/>
    <n v="5"/>
    <s v="PAGO DE LA QUINTA CUOTA (REEPRESTAMO)"/>
  </r>
  <r>
    <s v="EGRESO14"/>
    <x v="17"/>
    <x v="11"/>
    <x v="48"/>
    <n v="0"/>
    <x v="27"/>
    <n v="5"/>
    <n v="10"/>
    <d v="2024-12-15T00:00:00"/>
    <n v="5"/>
    <s v="CANCELACION DEL PAGO DEL ULTIMO INTERES POR REEPRESTAMO"/>
  </r>
  <r>
    <s v="EGRESO15"/>
    <x v="26"/>
    <x v="4"/>
    <x v="52"/>
    <n v="100"/>
    <x v="27"/>
    <n v="4"/>
    <n v="0"/>
    <d v="2024-12-15T00:00:00"/>
    <n v="4"/>
    <s v="CANCELACION PAGO DE LA CUARTA LETRA (REEPRESTAMO)"/>
  </r>
  <r>
    <s v="EGRESO16"/>
    <x v="26"/>
    <x v="4"/>
    <x v="52"/>
    <n v="0"/>
    <x v="27"/>
    <n v="4"/>
    <n v="8"/>
    <d v="2024-12-15T00:00:00"/>
    <n v="4"/>
    <s v="CANCELACION DEL PAGO DEL ULTIMO INTERES POR (REEPRESTAMO)"/>
  </r>
  <r>
    <n v="189"/>
    <x v="15"/>
    <x v="9"/>
    <x v="42"/>
    <n v="50"/>
    <x v="28"/>
    <n v="10"/>
    <n v="12"/>
    <d v="2025-01-15T00:00:00"/>
    <n v="10"/>
    <s v="PAGO DE LA DECIMA CUOTA"/>
  </r>
  <r>
    <n v="190"/>
    <x v="22"/>
    <x v="3"/>
    <x v="49"/>
    <n v="41.67"/>
    <x v="28"/>
    <n v="6"/>
    <n v="10"/>
    <d v="2025-01-15T00:00:00"/>
    <n v="6"/>
    <s v="PAGO DE LA SEXTA CUOTA"/>
  </r>
  <r>
    <n v="191"/>
    <x v="24"/>
    <x v="6"/>
    <x v="50"/>
    <n v="50"/>
    <x v="28"/>
    <n v="5"/>
    <n v="6"/>
    <d v="2025-01-15T00:00:00"/>
    <n v="5"/>
    <s v="PAGO DE LA QUINTA CUOTA"/>
  </r>
  <r>
    <n v="192"/>
    <x v="18"/>
    <x v="2"/>
    <x v="54"/>
    <n v="62.5"/>
    <x v="28"/>
    <n v="3"/>
    <n v="5"/>
    <d v="2025-01-15T00:00:00"/>
    <n v="3"/>
    <s v="PAGO DE LA TERCERA LETRA "/>
  </r>
  <r>
    <n v="193"/>
    <x v="23"/>
    <x v="12"/>
    <x v="55"/>
    <n v="62.5"/>
    <x v="28"/>
    <n v="3"/>
    <n v="5"/>
    <d v="2025-01-15T00:00:00"/>
    <n v="3"/>
    <s v="PAGO DE LA TERCERA CUOTA"/>
  </r>
  <r>
    <n v="194"/>
    <x v="19"/>
    <x v="8"/>
    <x v="56"/>
    <n v="125"/>
    <x v="28"/>
    <n v="3"/>
    <n v="10"/>
    <d v="2025-01-15T00:00:00"/>
    <n v="3"/>
    <s v="PAGO DE LA TERCERA CUOTA"/>
  </r>
  <r>
    <n v="195"/>
    <x v="21"/>
    <x v="7"/>
    <x v="57"/>
    <n v="100"/>
    <x v="28"/>
    <n v="2"/>
    <n v="20"/>
    <d v="2025-01-15T00:00:00"/>
    <n v="2"/>
    <s v="PAGO DE LA SEGUNTA LETRA"/>
  </r>
  <r>
    <n v="196"/>
    <x v="17"/>
    <x v="11"/>
    <x v="60"/>
    <n v="100"/>
    <x v="28"/>
    <n v="1"/>
    <n v="20"/>
    <d v="2025-01-15T00:00:00"/>
    <n v="1"/>
    <s v="PAGO DE LA PRIMERA LETRA"/>
  </r>
  <r>
    <n v="197"/>
    <x v="26"/>
    <x v="4"/>
    <x v="61"/>
    <n v="100"/>
    <x v="28"/>
    <n v="1"/>
    <n v="10"/>
    <d v="2025-01-15T00:00:00"/>
    <n v="1"/>
    <s v="PAGO DE LA PRIMER LETRA"/>
  </r>
  <r>
    <n v="198"/>
    <x v="16"/>
    <x v="0"/>
    <x v="39"/>
    <n v="100"/>
    <x v="28"/>
    <n v="10"/>
    <n v="20"/>
    <d v="2025-01-15T00:00:00"/>
    <n v="10"/>
    <s v="PAGO DE LA DECIMA LETRA FIN"/>
  </r>
  <r>
    <n v="199"/>
    <x v="25"/>
    <x v="10"/>
    <x v="58"/>
    <n v="40"/>
    <x v="28"/>
    <n v="2"/>
    <n v="4"/>
    <d v="2025-01-15T00:00:00"/>
    <n v="2"/>
    <s v="PAGO DE LA SEGUNDA LETRA (CON PAGO DE UN REPRESTAMO)"/>
  </r>
  <r>
    <s v="EGRESO17"/>
    <x v="20"/>
    <x v="1"/>
    <x v="51"/>
    <n v="100"/>
    <x v="28"/>
    <n v="5"/>
    <n v="12"/>
    <d v="2025-01-15T00:00:00"/>
    <n v="5"/>
    <s v="PAGO DE LA QUINTA LETRA (PAGO CON REPRESTAMO)"/>
  </r>
  <r>
    <s v="EGRESO18"/>
    <x v="20"/>
    <x v="1"/>
    <x v="51"/>
    <n v="100"/>
    <x v="28"/>
    <n v="6"/>
    <n v="0"/>
    <d v="2025-01-15T00:00:00"/>
    <n v="6"/>
    <s v="PAGO DE LA SEXTA CUOTA (PAGO CON REPRESTAMO)"/>
  </r>
  <r>
    <s v="EGRESO19"/>
    <x v="20"/>
    <x v="1"/>
    <x v="51"/>
    <n v="0"/>
    <x v="28"/>
    <n v="6"/>
    <n v="12"/>
    <d v="2025-01-15T00:00:00"/>
    <n v="6"/>
    <s v="ANULACION DE PAGO DE INTERESES Y MONTO POR REPRESTAMO"/>
  </r>
  <r>
    <n v="200"/>
    <x v="14"/>
    <x v="14"/>
    <x v="59"/>
    <n v="166.67"/>
    <x v="28"/>
    <n v="2"/>
    <n v="10"/>
    <d v="2025-01-15T00:00:00"/>
    <n v="2"/>
    <s v="PAGO DE LA SEGUNDA LETRA (PAGO DE UN SOCIO CON REEPRESTAMO)"/>
  </r>
  <r>
    <s v="EGRESO20"/>
    <x v="19"/>
    <x v="8"/>
    <x v="56"/>
    <n v="125"/>
    <x v="28"/>
    <n v="4"/>
    <n v="0"/>
    <d v="2025-01-15T00:00:00"/>
    <n v="4"/>
    <s v="PAGO DE LA CUARTA LETRA PAGO CON REPRESTAMO"/>
  </r>
  <r>
    <s v="EGRESO21"/>
    <x v="19"/>
    <x v="8"/>
    <x v="56"/>
    <n v="0"/>
    <x v="28"/>
    <n v="4"/>
    <n v="10"/>
    <d v="2025-01-15T00:00:00"/>
    <n v="4"/>
    <s v="ANULACION DE PAGO DE INTERESES Y MONTO POR REPRESTAMO"/>
  </r>
  <r>
    <n v="201"/>
    <x v="22"/>
    <x v="3"/>
    <x v="62"/>
    <n v="80"/>
    <x v="28"/>
    <n v="1"/>
    <n v="1.6"/>
    <d v="2025-01-15T00:00:00"/>
    <n v="1"/>
    <s v="PAGO DE LA PRIMERA Y ULTIMA LETRA"/>
  </r>
  <r>
    <n v="202"/>
    <x v="15"/>
    <x v="9"/>
    <x v="42"/>
    <n v="50"/>
    <x v="29"/>
    <n v="11"/>
    <n v="12"/>
    <d v="2025-02-16T00:00:00"/>
    <n v="11"/>
    <s v="PAGO DE LA LETRA NUMERO 11"/>
  </r>
  <r>
    <n v="203"/>
    <x v="22"/>
    <x v="3"/>
    <x v="49"/>
    <n v="41.67"/>
    <x v="29"/>
    <n v="7"/>
    <n v="10"/>
    <d v="2025-02-16T00:00:00"/>
    <n v="7"/>
    <s v="PAGO DE LA SEPTIMA LETRA"/>
  </r>
  <r>
    <n v="204"/>
    <x v="24"/>
    <x v="6"/>
    <x v="50"/>
    <n v="50"/>
    <x v="29"/>
    <n v="6"/>
    <n v="6"/>
    <d v="2025-02-16T00:00:00"/>
    <n v="6"/>
    <s v="PAGO DE LA SEXTA Y ULTIMA CUOTA"/>
  </r>
  <r>
    <n v="205"/>
    <x v="18"/>
    <x v="2"/>
    <x v="54"/>
    <n v="62.5"/>
    <x v="29"/>
    <n v="4"/>
    <n v="5"/>
    <d v="2025-02-16T00:00:00"/>
    <n v="4"/>
    <s v="PAGO DE LA CUARTA Y ULTIMA CUOTA"/>
  </r>
  <r>
    <n v="206"/>
    <x v="23"/>
    <x v="12"/>
    <x v="55"/>
    <n v="62.5"/>
    <x v="29"/>
    <n v="4"/>
    <n v="5"/>
    <d v="2025-02-16T00:00:00"/>
    <n v="4"/>
    <s v="PAGO DE LA CUARTA CUOTA ULTIMA"/>
  </r>
  <r>
    <n v="207"/>
    <x v="14"/>
    <x v="14"/>
    <x v="59"/>
    <n v="166.67"/>
    <x v="29"/>
    <n v="3"/>
    <n v="10"/>
    <d v="2025-02-16T00:00:00"/>
    <n v="3"/>
    <s v="PAGO DE LA TERCERA ULTIMA LETRA"/>
  </r>
  <r>
    <n v="208"/>
    <x v="21"/>
    <x v="7"/>
    <x v="57"/>
    <n v="100"/>
    <x v="29"/>
    <n v="3"/>
    <n v="20"/>
    <d v="2025-02-16T00:00:00"/>
    <n v="3"/>
    <s v="PAGO DE LA TERCERA LETRA"/>
  </r>
  <r>
    <n v="209"/>
    <x v="25"/>
    <x v="10"/>
    <x v="58"/>
    <n v="40"/>
    <x v="29"/>
    <n v="3"/>
    <n v="4"/>
    <d v="2025-02-16T00:00:00"/>
    <n v="3"/>
    <s v="PAGO DE LA TERCERA LETRA"/>
  </r>
  <r>
    <n v="210"/>
    <x v="17"/>
    <x v="11"/>
    <x v="60"/>
    <n v="100"/>
    <x v="29"/>
    <n v="2"/>
    <n v="20"/>
    <d v="2025-02-16T00:00:00"/>
    <n v="2"/>
    <s v="PAGO DE LA SEGUNDA LETRA"/>
  </r>
  <r>
    <n v="211"/>
    <x v="26"/>
    <x v="4"/>
    <x v="61"/>
    <n v="100"/>
    <x v="29"/>
    <n v="2"/>
    <n v="10"/>
    <d v="2025-02-16T00:00:00"/>
    <n v="2"/>
    <s v="PAGO DE LA SEGUNDA LETRA"/>
  </r>
  <r>
    <n v="212"/>
    <x v="20"/>
    <x v="1"/>
    <x v="63"/>
    <n v="100"/>
    <x v="29"/>
    <n v="1"/>
    <n v="14"/>
    <d v="2025-02-16T00:00:00"/>
    <n v="1"/>
    <s v="PAGO DE LA PRIMERA LETRA"/>
  </r>
  <r>
    <n v="213"/>
    <x v="19"/>
    <x v="8"/>
    <x v="64"/>
    <n v="100"/>
    <x v="29"/>
    <n v="1"/>
    <n v="14"/>
    <d v="2025-02-16T00:00:00"/>
    <n v="1"/>
    <s v="PAGO DE LA PRIMERA LETRA"/>
  </r>
  <r>
    <s v="INGRESO18"/>
    <x v="4"/>
    <x v="5"/>
    <x v="5"/>
    <n v="0"/>
    <x v="29"/>
    <s v="MULTA"/>
    <n v="1"/>
    <d v="2025-02-16T00:00:00"/>
    <s v="MULTA"/>
    <s v="MULATA POR ATRASO DE MARLENE TOAQUIZA Y SEGUNDO GUAYTA"/>
  </r>
  <r>
    <n v="214"/>
    <x v="22"/>
    <x v="3"/>
    <x v="65"/>
    <n v="75"/>
    <x v="30"/>
    <n v="1"/>
    <n v="3"/>
    <d v="2025-03-07T00:00:00"/>
    <n v="1"/>
    <s v="PAGO DE LA PRIMERA CUOTA"/>
  </r>
  <r>
    <n v="215"/>
    <x v="15"/>
    <x v="9"/>
    <x v="42"/>
    <n v="50"/>
    <x v="31"/>
    <n v="11"/>
    <n v="12"/>
    <d v="2025-03-15T00:00:00"/>
    <n v="11"/>
    <s v="PAGO DE LA ONCEAVA CUOTA"/>
  </r>
  <r>
    <n v="216"/>
    <x v="22"/>
    <x v="3"/>
    <x v="49"/>
    <n v="41.67"/>
    <x v="31"/>
    <n v="7"/>
    <n v="10"/>
    <d v="2025-03-15T00:00:00"/>
    <n v="7"/>
    <s v="PAGO DE LA SEPTIMA CUOTA"/>
  </r>
  <r>
    <n v="217"/>
    <x v="21"/>
    <x v="7"/>
    <x v="57"/>
    <n v="100"/>
    <x v="31"/>
    <n v="4"/>
    <n v="20"/>
    <d v="2025-03-15T00:00:00"/>
    <n v="4"/>
    <s v="PAGO DE LA CUARTA LETRA"/>
  </r>
  <r>
    <n v="218"/>
    <x v="17"/>
    <x v="11"/>
    <x v="60"/>
    <n v="100"/>
    <x v="31"/>
    <n v="2"/>
    <n v="20"/>
    <d v="2025-03-15T00:00:00"/>
    <n v="2"/>
    <s v="PAGO DE LA SEGUNDA CUOTA"/>
  </r>
  <r>
    <n v="219"/>
    <x v="26"/>
    <x v="4"/>
    <x v="61"/>
    <n v="100"/>
    <x v="31"/>
    <n v="2"/>
    <n v="10"/>
    <d v="2025-03-15T00:00:00"/>
    <n v="2"/>
    <s v="PAGO DE LA SEGUNDA CUOTA"/>
  </r>
  <r>
    <n v="220"/>
    <x v="19"/>
    <x v="8"/>
    <x v="64"/>
    <n v="100"/>
    <x v="31"/>
    <n v="2"/>
    <n v="10"/>
    <d v="2025-03-15T00:00:00"/>
    <n v="2"/>
    <s v="PAGO DE LA SEGUNDA CUOTA"/>
  </r>
  <r>
    <n v="221"/>
    <x v="16"/>
    <x v="0"/>
    <x v="66"/>
    <n v="100"/>
    <x v="31"/>
    <n v="1"/>
    <n v="10"/>
    <d v="2025-03-15T00:00:00"/>
    <n v="1"/>
    <s v="PAGO DE LA PRIMERA LETRA"/>
  </r>
  <r>
    <n v="222"/>
    <x v="23"/>
    <x v="12"/>
    <x v="67"/>
    <n v="100"/>
    <x v="31"/>
    <n v="1"/>
    <n v="6"/>
    <d v="2025-03-15T00:00:00"/>
    <n v="1"/>
    <s v="PAGO DE LA SEGUNDA LETRA"/>
  </r>
  <r>
    <n v="223"/>
    <x v="22"/>
    <x v="3"/>
    <x v="65"/>
    <n v="75"/>
    <x v="32"/>
    <n v="2"/>
    <n v="3"/>
    <d v="2025-03-20T00:00:00"/>
    <n v="2"/>
    <s v="PAGO DE LA SEGUNDA CUOTA"/>
  </r>
  <r>
    <n v="224"/>
    <x v="22"/>
    <x v="3"/>
    <x v="68"/>
    <n v="400"/>
    <x v="32"/>
    <n v="1"/>
    <n v="8"/>
    <d v="2025-03-20T00:00:00"/>
    <n v="1"/>
    <s v="PAGO DE LA UNICA CUOTA"/>
  </r>
  <r>
    <n v="225"/>
    <x v="25"/>
    <x v="10"/>
    <x v="58"/>
    <n v="40"/>
    <x v="33"/>
    <n v="4"/>
    <n v="4"/>
    <d v="2025-03-30T00:00:00"/>
    <n v="4"/>
    <s v="PAGO DE LA TERCERA CUOTA"/>
  </r>
  <r>
    <n v="226"/>
    <x v="20"/>
    <x v="1"/>
    <x v="63"/>
    <n v="100"/>
    <x v="33"/>
    <n v="2"/>
    <n v="14"/>
    <d v="2025-03-30T00:00:00"/>
    <n v="2"/>
    <s v="PAGO DE LA SEGUNGA CUOTA"/>
  </r>
  <r>
    <n v="227"/>
    <x v="21"/>
    <x v="7"/>
    <x v="57"/>
    <n v="100"/>
    <x v="34"/>
    <n v="5"/>
    <n v="20"/>
    <d v="2025-04-15T00:00:00"/>
    <n v="5"/>
    <s v="PAGO DE LA QUINTA LETRA"/>
  </r>
  <r>
    <n v="228"/>
    <x v="17"/>
    <x v="11"/>
    <x v="60"/>
    <n v="100"/>
    <x v="34"/>
    <n v="4"/>
    <n v="20"/>
    <d v="2025-04-15T00:00:00"/>
    <n v="4"/>
    <s v="PAGO DE LA CUARTA LETRA"/>
  </r>
  <r>
    <n v="229"/>
    <x v="26"/>
    <x v="4"/>
    <x v="61"/>
    <n v="100"/>
    <x v="34"/>
    <n v="4"/>
    <n v="10"/>
    <d v="2025-04-15T00:00:00"/>
    <n v="4"/>
    <s v="PAGO DE LA CUARTA LETRA"/>
  </r>
  <r>
    <n v="230"/>
    <x v="19"/>
    <x v="8"/>
    <x v="64"/>
    <n v="100"/>
    <x v="34"/>
    <n v="3"/>
    <n v="14"/>
    <d v="2025-04-15T00:00:00"/>
    <n v="3"/>
    <s v="PAGO DE LA TERCERA LETRA"/>
  </r>
  <r>
    <n v="231"/>
    <x v="16"/>
    <x v="0"/>
    <x v="66"/>
    <n v="100"/>
    <x v="34"/>
    <n v="2"/>
    <n v="10"/>
    <d v="2025-04-15T00:00:00"/>
    <n v="2"/>
    <s v="PAGO DE LA SEGUNDA LETRA"/>
  </r>
  <r>
    <n v="232"/>
    <x v="23"/>
    <x v="12"/>
    <x v="67"/>
    <n v="100"/>
    <x v="34"/>
    <n v="2"/>
    <n v="6"/>
    <d v="2025-04-15T00:00:00"/>
    <n v="2"/>
    <s v="PAGO DE LA SEGUNDA LETRA"/>
  </r>
  <r>
    <s v="EGRESO22"/>
    <x v="25"/>
    <x v="10"/>
    <x v="58"/>
    <n v="40"/>
    <x v="34"/>
    <n v="5"/>
    <n v="0"/>
    <d v="2025-04-15T00:00:00"/>
    <n v="0"/>
    <s v="PAGO DE LA QUINTA CUOTA CON REEPRESTAMO"/>
  </r>
  <r>
    <s v="EGRESO23"/>
    <x v="25"/>
    <x v="10"/>
    <x v="58"/>
    <n v="0"/>
    <x v="34"/>
    <n v="5"/>
    <n v="4"/>
    <d v="2025-04-15T00:00:00"/>
    <n v="5"/>
    <s v="PAGO DEL QUINTO INTERES CANCELACION DEL INTERES POR REEPRESTAMO"/>
  </r>
  <r>
    <s v="EGRESO24"/>
    <x v="23"/>
    <x v="12"/>
    <x v="67"/>
    <n v="100"/>
    <x v="35"/>
    <n v="3"/>
    <n v="0"/>
    <d v="2025-04-17T00:00:00"/>
    <n v="3"/>
    <s v="PAGO DE LA TERCERA CUOTA CON REEPRESTAMO"/>
  </r>
  <r>
    <s v="EGRESO25"/>
    <x v="23"/>
    <x v="12"/>
    <x v="67"/>
    <n v="0"/>
    <x v="35"/>
    <n v="3"/>
    <n v="6"/>
    <d v="2025-04-17T00:00:00"/>
    <n v="3"/>
    <s v="PAGO DEL TERCER INTERES CANCELACION DEL PAGO DE INTERES POR REEPRESTAMO"/>
  </r>
  <r>
    <n v="233"/>
    <x v="22"/>
    <x v="3"/>
    <x v="49"/>
    <n v="41.67"/>
    <x v="35"/>
    <n v="9"/>
    <n v="10"/>
    <d v="2025-04-17T00:00:00"/>
    <n v="9"/>
    <s v="PAGO DE LA NOVENA CUOTA"/>
  </r>
  <r>
    <n v="234"/>
    <x v="20"/>
    <x v="1"/>
    <x v="63"/>
    <n v="100"/>
    <x v="35"/>
    <n v="3"/>
    <n v="14"/>
    <d v="2025-04-17T00:00:00"/>
    <n v="3"/>
    <s v="PAGO DE LA TERCERA LETRA"/>
  </r>
  <r>
    <s v="NUEVO2"/>
    <x v="27"/>
    <x v="15"/>
    <x v="25"/>
    <n v="0"/>
    <x v="35"/>
    <s v="APERTURA"/>
    <n v="0"/>
    <d v="2025-04-17T00:00:00"/>
    <s v="APERTURA"/>
    <s v="REGISTRO DEL SOCIO PARA PAGOS"/>
  </r>
  <r>
    <s v="NUEVO3"/>
    <x v="28"/>
    <x v="16"/>
    <x v="25"/>
    <n v="0"/>
    <x v="35"/>
    <s v="APERTURA"/>
    <n v="0"/>
    <d v="2025-04-17T00:00:00"/>
    <s v="APERTURA"/>
    <s v="REGISTRO DEL SOCIO PARA PAGOS"/>
  </r>
  <r>
    <s v="NUEVO4"/>
    <x v="29"/>
    <x v="17"/>
    <x v="25"/>
    <n v="0"/>
    <x v="35"/>
    <s v="APERTURA"/>
    <n v="0"/>
    <d v="2025-04-17T00:00:00"/>
    <s v="APERTURA"/>
    <s v="REGISTRO DEL SOCIO PARA PAGOS"/>
  </r>
  <r>
    <n v="235"/>
    <x v="18"/>
    <x v="2"/>
    <x v="69"/>
    <n v="1200"/>
    <x v="36"/>
    <n v="1"/>
    <n v="24"/>
    <d v="2025-05-11T00:00:00"/>
    <n v="1"/>
    <s v="PAGO TOTAL DEL PRESTAMO"/>
  </r>
  <r>
    <n v="236"/>
    <x v="22"/>
    <x v="3"/>
    <x v="49"/>
    <n v="41.67"/>
    <x v="37"/>
    <n v="10"/>
    <n v="10"/>
    <d v="2025-05-15T00:00:00"/>
    <n v="10"/>
    <s v="PAGO DE LA DECIMA CUOTA"/>
  </r>
  <r>
    <n v="237"/>
    <x v="17"/>
    <x v="11"/>
    <x v="60"/>
    <n v="100"/>
    <x v="37"/>
    <n v="5"/>
    <n v="20"/>
    <d v="2025-05-15T00:00:00"/>
    <n v="5"/>
    <s v="PAGO DE LA QUINTA LETRA"/>
  </r>
  <r>
    <n v="238"/>
    <x v="26"/>
    <x v="4"/>
    <x v="61"/>
    <n v="100"/>
    <x v="37"/>
    <n v="5"/>
    <n v="10"/>
    <d v="2025-05-15T00:00:00"/>
    <n v="5"/>
    <s v="PAAGO DE LA QUINTA LETRA"/>
  </r>
  <r>
    <n v="239"/>
    <x v="20"/>
    <x v="1"/>
    <x v="63"/>
    <n v="100"/>
    <x v="37"/>
    <n v="4"/>
    <n v="14"/>
    <d v="2025-05-15T00:00:00"/>
    <n v="4"/>
    <s v="PAGO DE LA CUARTA LETRA"/>
  </r>
  <r>
    <n v="240"/>
    <x v="19"/>
    <x v="8"/>
    <x v="64"/>
    <n v="100"/>
    <x v="37"/>
    <n v="4"/>
    <n v="14"/>
    <d v="2025-05-15T00:00:00"/>
    <n v="4"/>
    <s v="PAGO DE LA CUARTA LETRA"/>
  </r>
  <r>
    <n v="241"/>
    <x v="16"/>
    <x v="0"/>
    <x v="66"/>
    <n v="100"/>
    <x v="37"/>
    <n v="3"/>
    <n v="10"/>
    <d v="2025-05-15T00:00:00"/>
    <n v="3"/>
    <s v="PAGO DE LA TERCERA LETRA"/>
  </r>
  <r>
    <n v="242"/>
    <x v="25"/>
    <x v="10"/>
    <x v="70"/>
    <n v="40"/>
    <x v="37"/>
    <n v="1"/>
    <n v="4"/>
    <d v="2025-05-15T00:00:00"/>
    <n v="1"/>
    <s v="PAGO DE LA PRIMERA LETRA "/>
  </r>
  <r>
    <n v="243"/>
    <x v="23"/>
    <x v="12"/>
    <x v="71"/>
    <n v="100"/>
    <x v="37"/>
    <n v="1"/>
    <n v="10"/>
    <d v="2025-05-15T00:00:00"/>
    <n v="1"/>
    <s v="PAGO DE LA PRIMERA LETRA"/>
  </r>
  <r>
    <n v="244"/>
    <x v="21"/>
    <x v="7"/>
    <x v="57"/>
    <n v="100"/>
    <x v="37"/>
    <n v="6"/>
    <n v="20"/>
    <d v="2025-05-15T00:00:00"/>
    <n v="6"/>
    <s v="PAGO DE LA SEXTA LETRA"/>
  </r>
  <r>
    <n v="245"/>
    <x v="24"/>
    <x v="6"/>
    <x v="72"/>
    <n v="233.33"/>
    <x v="37"/>
    <n v="1"/>
    <n v="14"/>
    <d v="2025-05-15T00:00:00"/>
    <n v="1"/>
    <s v="PAGO DE LA PRIMERA  LETRA"/>
  </r>
  <r>
    <n v="246"/>
    <x v="14"/>
    <x v="14"/>
    <x v="73"/>
    <n v="200"/>
    <x v="37"/>
    <n v="1"/>
    <n v="12"/>
    <d v="2025-05-15T00:00:00"/>
    <n v="1"/>
    <s v="PAGO DE LA PRIMERA LETRA"/>
  </r>
  <r>
    <s v="EGRESO6"/>
    <x v="16"/>
    <x v="0"/>
    <x v="66"/>
    <n v="100"/>
    <x v="37"/>
    <n v="4"/>
    <n v="0"/>
    <d v="2025-05-15T00:00:00"/>
    <n v="4"/>
    <s v="PAGO DE LA CUARTA LETRA (PAGO CON REEPRESTAMO)"/>
  </r>
  <r>
    <s v="EGRESO27"/>
    <x v="16"/>
    <x v="0"/>
    <x v="66"/>
    <n v="100"/>
    <x v="37"/>
    <n v="5"/>
    <n v="0"/>
    <d v="2025-05-15T00:00:00"/>
    <n v="5"/>
    <s v="PAGO DE LA QUINTA LETRA (PAGO CON REEPRESTAMO)"/>
  </r>
  <r>
    <s v="EGRESO28"/>
    <x v="16"/>
    <x v="0"/>
    <x v="66"/>
    <n v="0"/>
    <x v="37"/>
    <n v="4"/>
    <n v="10"/>
    <d v="2025-05-15T00:00:00"/>
    <n v="4"/>
    <s v="CANCELACION DEL CUARTO INTERES POR REEPRESTAMO"/>
  </r>
  <r>
    <s v="EGRESO29"/>
    <x v="16"/>
    <x v="0"/>
    <x v="66"/>
    <n v="0"/>
    <x v="37"/>
    <n v="5"/>
    <n v="10"/>
    <d v="2025-05-15T00:00:00"/>
    <n v="5"/>
    <s v="CANCELACION DEL QUINTO INTERES POR REEPRESTAMO"/>
  </r>
  <r>
    <n v="247"/>
    <x v="22"/>
    <x v="3"/>
    <x v="74"/>
    <n v="40"/>
    <x v="38"/>
    <n v="1"/>
    <n v="0.8"/>
    <d v="2025-06-15T00:00:00"/>
    <n v="1"/>
    <s v="PAGO DE LA CUOTA DEL PRESTAMO"/>
  </r>
  <r>
    <n v="248"/>
    <x v="21"/>
    <x v="7"/>
    <x v="57"/>
    <n v="100"/>
    <x v="38"/>
    <n v="6"/>
    <n v="20"/>
    <d v="2025-06-15T00:00:00"/>
    <n v="6"/>
    <s v="PAGO DE LA SEPTIMA LETRA"/>
  </r>
  <r>
    <n v="249"/>
    <x v="17"/>
    <x v="11"/>
    <x v="60"/>
    <n v="100"/>
    <x v="38"/>
    <n v="6"/>
    <n v="20"/>
    <d v="2025-06-15T00:00:00"/>
    <n v="6"/>
    <s v="PAGO DE LA SEXTA LETRA"/>
  </r>
  <r>
    <n v="250"/>
    <x v="20"/>
    <x v="1"/>
    <x v="63"/>
    <n v="100"/>
    <x v="38"/>
    <n v="5"/>
    <n v="14"/>
    <d v="2025-06-15T00:00:00"/>
    <n v="5"/>
    <s v="PAGO DE LA QUINTA LETRA"/>
  </r>
  <r>
    <n v="251"/>
    <x v="19"/>
    <x v="8"/>
    <x v="64"/>
    <n v="100"/>
    <x v="38"/>
    <n v="5"/>
    <n v="14"/>
    <d v="2025-06-15T00:00:00"/>
    <n v="5"/>
    <s v="PAGO DE LA QUINTA LETRA"/>
  </r>
  <r>
    <n v="252"/>
    <x v="25"/>
    <x v="10"/>
    <x v="70"/>
    <n v="40"/>
    <x v="38"/>
    <n v="2"/>
    <n v="4"/>
    <d v="2025-06-15T00:00:00"/>
    <n v="2"/>
    <s v="PAGO DE LA SEGUNDA LETRA"/>
  </r>
  <r>
    <n v="253"/>
    <x v="23"/>
    <x v="12"/>
    <x v="71"/>
    <n v="100"/>
    <x v="38"/>
    <n v="2"/>
    <n v="10"/>
    <d v="2025-06-15T00:00:00"/>
    <n v="2"/>
    <s v="PAGO DE LA SEGUNDA LETRA"/>
  </r>
  <r>
    <n v="254"/>
    <x v="16"/>
    <x v="0"/>
    <x v="75"/>
    <n v="100"/>
    <x v="38"/>
    <n v="1"/>
    <n v="24"/>
    <d v="2025-06-15T00:00:00"/>
    <n v="1"/>
    <s v="PAGO DE LA PRIMERA LETRA"/>
  </r>
  <r>
    <n v="255"/>
    <x v="27"/>
    <x v="15"/>
    <x v="76"/>
    <n v="166.67"/>
    <x v="38"/>
    <n v="1"/>
    <n v="40"/>
    <d v="2025-06-15T00:00:00"/>
    <n v="1"/>
    <s v="PAGO DE LA PRIMERA LETRA"/>
  </r>
  <r>
    <n v="256"/>
    <x v="14"/>
    <x v="14"/>
    <x v="73"/>
    <n v="200"/>
    <x v="38"/>
    <n v="2"/>
    <n v="12"/>
    <d v="2025-06-15T00:00:00"/>
    <n v="2"/>
    <s v="PAGO DE LA TERCERA LETRA"/>
  </r>
  <r>
    <n v="257"/>
    <x v="24"/>
    <x v="6"/>
    <x v="72"/>
    <n v="233.33"/>
    <x v="38"/>
    <n v="2"/>
    <n v="14"/>
    <d v="2025-06-15T00:00:00"/>
    <n v="2"/>
    <s v="PAGO DE LA SEGUNDA LETRA"/>
  </r>
  <r>
    <n v="258"/>
    <x v="22"/>
    <x v="3"/>
    <x v="49"/>
    <n v="41.67"/>
    <x v="38"/>
    <n v="11"/>
    <n v="10"/>
    <d v="2025-06-15T00:00:00"/>
    <n v="11"/>
    <s v="PAGO DE LA ONCEAVA CUOTA"/>
  </r>
  <r>
    <n v="259"/>
    <x v="26"/>
    <x v="4"/>
    <x v="77"/>
    <n v="100"/>
    <x v="38"/>
    <n v="1"/>
    <n v="6"/>
    <d v="2025-06-15T00:00:00"/>
    <n v="1"/>
    <s v="PAGO DE LA PRIMERA LETRA"/>
  </r>
  <r>
    <n v="260"/>
    <x v="21"/>
    <x v="7"/>
    <x v="57"/>
    <n v="100"/>
    <x v="39"/>
    <n v="8"/>
    <n v="20"/>
    <d v="2025-07-15T00:00:00"/>
    <n v="8"/>
    <s v="PAGO DE LA OCTAVA LETRA"/>
  </r>
  <r>
    <n v="261"/>
    <x v="17"/>
    <x v="11"/>
    <x v="60"/>
    <n v="100"/>
    <x v="39"/>
    <n v="7"/>
    <n v="20"/>
    <d v="2025-07-15T00:00:00"/>
    <n v="7"/>
    <s v="PAGO DE LA SEPTIMA LETRA"/>
  </r>
  <r>
    <n v="262"/>
    <x v="20"/>
    <x v="1"/>
    <x v="63"/>
    <n v="100"/>
    <x v="39"/>
    <n v="6"/>
    <n v="14"/>
    <d v="2025-07-15T00:00:00"/>
    <n v="6"/>
    <s v="PAGO DE LA SEXTA LETRA"/>
  </r>
  <r>
    <n v="263"/>
    <x v="19"/>
    <x v="8"/>
    <x v="64"/>
    <n v="100"/>
    <x v="39"/>
    <n v="6"/>
    <n v="14"/>
    <d v="2025-07-15T00:00:00"/>
    <n v="6"/>
    <s v="PAGO DE LA SEXTA LETRA"/>
  </r>
  <r>
    <n v="264"/>
    <x v="25"/>
    <x v="10"/>
    <x v="70"/>
    <n v="40"/>
    <x v="39"/>
    <n v="3"/>
    <n v="4"/>
    <d v="2025-07-15T00:00:00"/>
    <n v="3"/>
    <s v="PAGO DE LA TERCERA LETRA"/>
  </r>
  <r>
    <n v="265"/>
    <x v="23"/>
    <x v="12"/>
    <x v="71"/>
    <n v="100"/>
    <x v="39"/>
    <n v="3"/>
    <n v="10"/>
    <d v="2025-07-15T00:00:00"/>
    <n v="3"/>
    <s v="PAGO DE LA TERCERA LETRA"/>
  </r>
  <r>
    <n v="266"/>
    <x v="16"/>
    <x v="0"/>
    <x v="75"/>
    <n v="100"/>
    <x v="39"/>
    <n v="2"/>
    <n v="24"/>
    <d v="2025-07-15T00:00:00"/>
    <n v="2"/>
    <s v="PAGO DE LA SEGUNDA LETRA"/>
  </r>
  <r>
    <n v="267"/>
    <x v="27"/>
    <x v="15"/>
    <x v="76"/>
    <n v="166.67"/>
    <x v="39"/>
    <n v="2"/>
    <n v="40"/>
    <d v="2025-07-15T00:00:00"/>
    <n v="2"/>
    <s v="PAGO DE LA SEGUNDA LETRA"/>
  </r>
  <r>
    <n v="268"/>
    <x v="24"/>
    <x v="6"/>
    <x v="72"/>
    <n v="233.34"/>
    <x v="39"/>
    <n v="3"/>
    <n v="14"/>
    <d v="2025-07-15T00:00:00"/>
    <n v="3"/>
    <s v="PAGO DE LA TERCERA LETRA"/>
  </r>
  <r>
    <n v="269"/>
    <x v="14"/>
    <x v="14"/>
    <x v="73"/>
    <n v="200"/>
    <x v="39"/>
    <n v="3"/>
    <n v="12"/>
    <d v="2025-07-15T00:00:00"/>
    <n v="3"/>
    <s v="PAGO DE LA TERCERA LETRA"/>
  </r>
  <r>
    <n v="270"/>
    <x v="22"/>
    <x v="3"/>
    <x v="49"/>
    <n v="41.67"/>
    <x v="39"/>
    <n v="12"/>
    <n v="10"/>
    <d v="2025-07-15T00:00:00"/>
    <n v="12"/>
    <s v="PAGO DE LA ULTIMA CUOTA"/>
  </r>
  <r>
    <n v="271"/>
    <x v="26"/>
    <x v="4"/>
    <x v="77"/>
    <n v="100"/>
    <x v="39"/>
    <n v="2"/>
    <n v="6"/>
    <d v="2025-07-15T00:00:00"/>
    <n v="2"/>
    <s v="PAGO DE LA SEGUNDA LETAR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">
  <r>
    <x v="0"/>
    <x v="0"/>
    <x v="0"/>
    <n v="60"/>
    <x v="0"/>
    <n v="2"/>
    <n v="0.02"/>
    <n v="2.4"/>
    <n v="62.4"/>
    <s v="LETRAS MENSUALES"/>
    <s v="PAGADO"/>
    <s v="PRESTAMO PAGADO"/>
  </r>
  <r>
    <x v="1"/>
    <x v="1"/>
    <x v="1"/>
    <n v="100"/>
    <x v="0"/>
    <n v="2"/>
    <n v="0.02"/>
    <n v="4"/>
    <n v="104"/>
    <s v="LETRAS MENSUALES"/>
    <s v="PAGADO"/>
    <s v="PRESTAMO PAGADO"/>
  </r>
  <r>
    <x v="2"/>
    <x v="2"/>
    <x v="2"/>
    <n v="100"/>
    <x v="0"/>
    <n v="0"/>
    <n v="0"/>
    <n v="0"/>
    <n v="100"/>
    <s v="AYUDA PARA EL SOCIO DIEGO TOAQUIZA POR ENFERMEDAD"/>
    <s v="PAGADO"/>
    <s v="PRESTAMO PAGADO"/>
  </r>
  <r>
    <x v="3"/>
    <x v="3"/>
    <x v="3"/>
    <n v="200"/>
    <x v="1"/>
    <n v="1"/>
    <n v="0.02"/>
    <n v="4"/>
    <n v="204"/>
    <s v="LETRAS MENSUALES"/>
    <s v="PAGADO"/>
    <s v="PRESTAMO PAGADO"/>
  </r>
  <r>
    <x v="4"/>
    <x v="4"/>
    <x v="4"/>
    <n v="200"/>
    <x v="2"/>
    <n v="2"/>
    <n v="0.02"/>
    <n v="8"/>
    <n v="208"/>
    <s v="LETRAS MENSUALES"/>
    <s v="PAGADO"/>
    <s v="PRESTAMO PAGADO"/>
  </r>
  <r>
    <x v="5"/>
    <x v="5"/>
    <x v="5"/>
    <n v="200"/>
    <x v="2"/>
    <n v="1"/>
    <n v="0.02"/>
    <n v="4"/>
    <n v="204"/>
    <s v="LETRAS MENSUALES"/>
    <s v="PAGADO"/>
    <s v="PRESTAMO PAGADO"/>
  </r>
  <r>
    <x v="6"/>
    <x v="6"/>
    <x v="6"/>
    <n v="100"/>
    <x v="3"/>
    <n v="4"/>
    <n v="0.02"/>
    <n v="8"/>
    <n v="108"/>
    <s v="LETRAS MENSUALES"/>
    <s v="PAGADO"/>
    <s v="PRESTAMO PAGADO"/>
  </r>
  <r>
    <x v="7"/>
    <x v="7"/>
    <x v="7"/>
    <n v="100"/>
    <x v="3"/>
    <n v="4"/>
    <n v="0.02"/>
    <n v="8"/>
    <n v="108"/>
    <s v="LETRAS MENSUALES"/>
    <s v="PAGADO"/>
    <s v="PRESTAMO PAGADO"/>
  </r>
  <r>
    <x v="8"/>
    <x v="8"/>
    <x v="8"/>
    <n v="170"/>
    <x v="3"/>
    <n v="5"/>
    <n v="0.02"/>
    <n v="17"/>
    <n v="187"/>
    <s v="LETRAS MENSUALES"/>
    <s v="PAGADO"/>
    <s v="PRESTAMO PAGADO"/>
  </r>
  <r>
    <x v="9"/>
    <x v="9"/>
    <x v="9"/>
    <n v="250"/>
    <x v="4"/>
    <n v="3"/>
    <n v="0.02"/>
    <n v="15"/>
    <n v="265"/>
    <s v="LETRAS MENSUALES"/>
    <s v="PAGADO"/>
    <s v="PRESTAMO PAGADO"/>
  </r>
  <r>
    <x v="10"/>
    <x v="0"/>
    <x v="0"/>
    <n v="100"/>
    <x v="4"/>
    <n v="4"/>
    <n v="0.02"/>
    <n v="8"/>
    <n v="108"/>
    <s v="LETRAS MENSUALES"/>
    <s v="PAGADO"/>
    <s v="PRESTAMO PAGADO"/>
  </r>
  <r>
    <x v="11"/>
    <x v="1"/>
    <x v="1"/>
    <n v="300"/>
    <x v="5"/>
    <n v="3"/>
    <n v="0.02"/>
    <n v="18"/>
    <n v="318"/>
    <s v="LETRAS MENSUALES"/>
    <s v="PAGADO"/>
    <s v="PRESTAMO PAGADO"/>
  </r>
  <r>
    <x v="12"/>
    <x v="10"/>
    <x v="10"/>
    <n v="100"/>
    <x v="5"/>
    <n v="4"/>
    <n v="0.02"/>
    <n v="8"/>
    <n v="108"/>
    <s v="LETRAS MENSUALES"/>
    <s v="PAGADO"/>
    <s v="PRESTAMO PAGADO"/>
  </r>
  <r>
    <x v="13"/>
    <x v="3"/>
    <x v="3"/>
    <n v="400"/>
    <x v="6"/>
    <n v="4"/>
    <n v="0.02"/>
    <n v="32"/>
    <n v="432"/>
    <s v="LETRAS MENSUALES"/>
    <s v="PAGADO"/>
    <s v="PRESTAMO PAGADO"/>
  </r>
  <r>
    <x v="14"/>
    <x v="11"/>
    <x v="11"/>
    <n v="80"/>
    <x v="6"/>
    <n v="1"/>
    <n v="0.02"/>
    <n v="1.6"/>
    <n v="81.599999999999994"/>
    <s v="LETRAS MENSUALES"/>
    <s v="PAGADO"/>
    <s v="PRESTAMO PAGADO"/>
  </r>
  <r>
    <x v="15"/>
    <x v="7"/>
    <x v="7"/>
    <n v="200"/>
    <x v="7"/>
    <n v="4"/>
    <n v="0.02"/>
    <n v="16"/>
    <n v="216"/>
    <s v="LETRAS MENSUALES"/>
    <s v="PAGADO"/>
    <s v="PRESTAMO PAGADO"/>
  </r>
  <r>
    <x v="16"/>
    <x v="6"/>
    <x v="6"/>
    <n v="100"/>
    <x v="7"/>
    <n v="4"/>
    <n v="0.02"/>
    <n v="8"/>
    <n v="108"/>
    <s v="LETRAS MENSUALES"/>
    <s v="PAGADO"/>
    <s v="PRESTAMO PAGADO"/>
  </r>
  <r>
    <x v="17"/>
    <x v="12"/>
    <x v="12"/>
    <n v="200"/>
    <x v="8"/>
    <n v="2"/>
    <n v="0.02"/>
    <n v="8"/>
    <n v="208"/>
    <s v="LETRAS MENSUALES"/>
    <s v="PAGADO"/>
    <s v="PRESTAMO PAGADO"/>
  </r>
  <r>
    <x v="18"/>
    <x v="0"/>
    <x v="0"/>
    <n v="100"/>
    <x v="8"/>
    <n v="4"/>
    <n v="0.02"/>
    <n v="8"/>
    <n v="108"/>
    <s v="LETRAS MENSUALES"/>
    <s v="PAGADO"/>
    <s v="PRESTAMO PAGADO"/>
  </r>
  <r>
    <x v="19"/>
    <x v="8"/>
    <x v="8"/>
    <n v="400"/>
    <x v="9"/>
    <n v="4"/>
    <n v="0.02"/>
    <n v="32"/>
    <n v="432"/>
    <s v="INTERES MENSUAL MONTO AL FINAL"/>
    <s v="PAGADO"/>
    <s v="PRESTAMO PAGADO"/>
  </r>
  <r>
    <x v="20"/>
    <x v="9"/>
    <x v="9"/>
    <n v="200"/>
    <x v="9"/>
    <n v="4"/>
    <n v="0.02"/>
    <n v="16"/>
    <n v="216"/>
    <s v="INTERES MENSUAL MONTO AL FINAL"/>
    <s v="PAGADO"/>
    <s v="PRESTAMO PAGADO"/>
  </r>
  <r>
    <x v="21"/>
    <x v="1"/>
    <x v="1"/>
    <n v="400"/>
    <x v="9"/>
    <n v="4"/>
    <n v="0.02"/>
    <n v="32"/>
    <n v="432"/>
    <s v="INTERES MENSUAL MONTO AL FINAL"/>
    <s v="PAGADO"/>
    <s v="PRESTAMO PAGADO"/>
  </r>
  <r>
    <x v="22"/>
    <x v="6"/>
    <x v="6"/>
    <n v="100"/>
    <x v="10"/>
    <n v="1"/>
    <n v="0.02"/>
    <n v="2"/>
    <n v="102"/>
    <s v="LETRAS MENSUALES"/>
    <s v="PAGADO"/>
    <s v="PRESTAMO PAGADO"/>
  </r>
  <r>
    <x v="23"/>
    <x v="3"/>
    <x v="3"/>
    <n v="200"/>
    <x v="10"/>
    <n v="1"/>
    <n v="0.02"/>
    <n v="4"/>
    <n v="204"/>
    <s v="LETRAS MENSUALES"/>
    <s v="PAGADO"/>
    <s v="PRESTAMO PAGADO"/>
  </r>
  <r>
    <x v="24"/>
    <x v="12"/>
    <x v="12"/>
    <n v="200"/>
    <x v="11"/>
    <n v="1"/>
    <n v="0.02"/>
    <n v="4"/>
    <n v="204"/>
    <s v="LETRAS MENSUALES"/>
    <s v="PAGADO"/>
    <s v="PRESTAMO PAGADO"/>
  </r>
  <r>
    <x v="25"/>
    <x v="11"/>
    <x v="11"/>
    <n v="500"/>
    <x v="12"/>
    <n v="6"/>
    <n v="0.02"/>
    <n v="60"/>
    <n v="560"/>
    <s v="INTERES MENSUAL MONTO AL FINAL"/>
    <s v="PAGADO"/>
    <s v="PRESTAMO PAGADO"/>
  </r>
  <r>
    <x v="26"/>
    <x v="3"/>
    <x v="3"/>
    <n v="100"/>
    <x v="12"/>
    <n v="1"/>
    <n v="0.02"/>
    <n v="2"/>
    <n v="102"/>
    <s v="PRESTAMO PARA UN MES PAGO LA CUOTA COMPLETA"/>
    <s v="PAGADO"/>
    <s v="PRESTAMO PAGADO"/>
  </r>
  <r>
    <x v="27"/>
    <x v="13"/>
    <x v="13"/>
    <n v="100"/>
    <x v="12"/>
    <n v="4"/>
    <n v="0.02"/>
    <n v="8"/>
    <n v="108"/>
    <s v="PAGO ME AMORTIZACION E INTERES MENSUAL"/>
    <s v="PAGADO"/>
    <s v="PRESTAMO PAGADO"/>
  </r>
  <r>
    <x v="28"/>
    <x v="0"/>
    <x v="0"/>
    <n v="600"/>
    <x v="13"/>
    <n v="4"/>
    <n v="0.02"/>
    <n v="48"/>
    <n v="648"/>
    <s v="INTERES MENSUAL MONTO AL FINAL"/>
    <s v="PAGADO"/>
    <s v="PRESTAMO PAGADO"/>
  </r>
  <r>
    <x v="29"/>
    <x v="4"/>
    <x v="4"/>
    <n v="200"/>
    <x v="13"/>
    <n v="4"/>
    <n v="0.02"/>
    <n v="16"/>
    <n v="216"/>
    <s v="CUOTAS MENSUALES "/>
    <s v="PAGADO"/>
    <s v="PRESTAMO PAGADO"/>
  </r>
  <r>
    <x v="30"/>
    <x v="7"/>
    <x v="7"/>
    <n v="400"/>
    <x v="13"/>
    <n v="7"/>
    <n v="0.02"/>
    <n v="56"/>
    <n v="456"/>
    <s v="PAGO DE CUOTA E INTERES MENSUAL"/>
    <s v="PAGADO"/>
    <s v="PRESTAMO PAGADO"/>
  </r>
  <r>
    <x v="31"/>
    <x v="1"/>
    <x v="1"/>
    <n v="200"/>
    <x v="14"/>
    <n v="4"/>
    <n v="0.02"/>
    <n v="16"/>
    <n v="216"/>
    <s v="PAGO DE INTERESES MENSUALES CAPITAL AL FINAL"/>
    <s v="PAGADO"/>
    <s v="PRESTAMO PAGADO"/>
  </r>
  <r>
    <x v="32"/>
    <x v="8"/>
    <x v="8"/>
    <n v="250"/>
    <x v="14"/>
    <n v="4"/>
    <n v="0.02"/>
    <n v="20"/>
    <n v="270"/>
    <s v="PAGO DE INTERESES MENSUALES CAPITAL AL FINAL"/>
    <s v="PAGADO"/>
    <s v="PRESTAMO PAGADO"/>
  </r>
  <r>
    <x v="33"/>
    <x v="8"/>
    <x v="8"/>
    <n v="500"/>
    <x v="15"/>
    <n v="2"/>
    <n v="0.02"/>
    <n v="20"/>
    <n v="520"/>
    <s v="REEPRESTAMO PAGO INTERESES MENSUALES Y EL MONTO AL FINAL"/>
    <s v="PAGADO"/>
    <s v="PRESTAMO PAGADO"/>
  </r>
  <r>
    <x v="34"/>
    <x v="9"/>
    <x v="9"/>
    <n v="100"/>
    <x v="16"/>
    <n v="5"/>
    <n v="0.02"/>
    <n v="10"/>
    <n v="110"/>
    <s v="PAGOS MENSULES DE LOS INTERESES MONTO AL FINAL"/>
    <s v="PAGADO"/>
    <s v="PRESTAMO PAGADO"/>
  </r>
  <r>
    <x v="35"/>
    <x v="0"/>
    <x v="0"/>
    <n v="600"/>
    <x v="17"/>
    <n v="5"/>
    <n v="0.02"/>
    <n v="60"/>
    <n v="660"/>
    <s v="RENOVACION DEL CREDITO PARA 5 MESES PAGO DE INTERES Y AMORT MENSUAL"/>
    <s v="PAGADO"/>
    <s v="PRESTAMO PAGADO"/>
  </r>
  <r>
    <x v="36"/>
    <x v="6"/>
    <x v="6"/>
    <n v="100"/>
    <x v="18"/>
    <n v="4"/>
    <n v="0.02"/>
    <n v="8"/>
    <n v="108"/>
    <s v="PAGO DE AMORTIZACION E INTERES MENSUAL"/>
    <s v="PAGADO"/>
    <s v="PRESTAMO PAGADO"/>
  </r>
  <r>
    <x v="37"/>
    <x v="1"/>
    <x v="1"/>
    <n v="1000"/>
    <x v="19"/>
    <n v="10"/>
    <n v="0.02"/>
    <n v="200"/>
    <n v="1200"/>
    <s v="PAGO DE INTERES Y MONTO MENSUAL"/>
    <s v="PAGADO"/>
    <s v="PRESTAMO PAGADO"/>
  </r>
  <r>
    <x v="38"/>
    <x v="9"/>
    <x v="9"/>
    <n v="600"/>
    <x v="19"/>
    <n v="12"/>
    <n v="0.02"/>
    <n v="144"/>
    <n v="744"/>
    <s v="PAGO DE INTERES Y MONTO MENSUAL"/>
    <s v="PAGADO"/>
    <s v="PRESTAMO PAGADO"/>
  </r>
  <r>
    <x v="39"/>
    <x v="8"/>
    <x v="8"/>
    <n v="400"/>
    <x v="19"/>
    <n v="4"/>
    <n v="0.02"/>
    <n v="32"/>
    <n v="432"/>
    <s v="PAGO DE INTERES Y CUOTA MENSUAL"/>
    <s v="PAGADO"/>
    <s v="PRESTAMO PAGADO"/>
  </r>
  <r>
    <x v="40"/>
    <x v="10"/>
    <x v="10"/>
    <n v="100"/>
    <x v="19"/>
    <n v="5"/>
    <n v="0.02"/>
    <n v="10"/>
    <n v="110"/>
    <s v="PAGO DE INTERES Y MONTO MENSUAL"/>
    <s v="PAGADO"/>
    <s v="PRESTAMO PAGADO"/>
  </r>
  <r>
    <x v="41"/>
    <x v="4"/>
    <x v="4"/>
    <n v="150"/>
    <x v="20"/>
    <n v="3"/>
    <n v="0.02"/>
    <n v="9"/>
    <n v="159"/>
    <s v="PAGO DE INTERES Y CAPITAL AL FINAL"/>
    <s v="PAGADO"/>
    <s v="PRESTAMO PAGADO"/>
  </r>
  <r>
    <x v="42"/>
    <x v="2"/>
    <x v="2"/>
    <n v="100"/>
    <x v="20"/>
    <n v="0"/>
    <n v="0"/>
    <n v="0"/>
    <n v="100"/>
    <s v="AYUDA PARA EL SOCIO ROCIO TOAQUIZA POR ENFERMEDAD"/>
    <s v="PAGADO"/>
    <s v="PRESTAMO PAGADO"/>
  </r>
  <r>
    <x v="43"/>
    <x v="7"/>
    <x v="7"/>
    <n v="600"/>
    <x v="21"/>
    <n v="7"/>
    <n v="0.02"/>
    <n v="84"/>
    <n v="684"/>
    <s v="PAGO DE INTERES Y MONTO MENSUAL"/>
    <s v="PAGADO"/>
    <s v="PRESTAMO PAGADO"/>
  </r>
  <r>
    <x v="44"/>
    <x v="3"/>
    <x v="3"/>
    <n v="400"/>
    <x v="21"/>
    <n v="4"/>
    <n v="0.02"/>
    <n v="32"/>
    <n v="432"/>
    <s v="PAGO DE MONTO E INTERES MENSUAL"/>
    <s v="PAGADO"/>
    <s v="PRESTAMO PAGADO"/>
  </r>
  <r>
    <x v="45"/>
    <x v="8"/>
    <x v="8"/>
    <n v="700"/>
    <x v="22"/>
    <n v="5"/>
    <n v="0.02"/>
    <n v="70"/>
    <n v="770"/>
    <s v="PAGO DE MONTO E INTERES MENSUAL"/>
    <s v="PAGADO"/>
    <s v="PRESTAMO PAGADO"/>
  </r>
  <r>
    <x v="46"/>
    <x v="12"/>
    <x v="12"/>
    <n v="300"/>
    <x v="22"/>
    <n v="3"/>
    <n v="0.02"/>
    <n v="18"/>
    <n v="318"/>
    <s v="PAGO DE MONTO E INTERES MENSUAL"/>
    <s v="PAGADO"/>
    <s v="PRESTAMO PAGADO"/>
  </r>
  <r>
    <x v="47"/>
    <x v="11"/>
    <x v="11"/>
    <n v="500"/>
    <x v="23"/>
    <n v="5"/>
    <n v="0.02"/>
    <n v="50"/>
    <n v="550"/>
    <s v="INTERES Y CAPITAL MENSUAL"/>
    <s v="PAGADO"/>
    <s v="PRESTAMO PAGADO"/>
  </r>
  <r>
    <x v="48"/>
    <x v="4"/>
    <x v="4"/>
    <n v="500"/>
    <x v="23"/>
    <n v="12"/>
    <n v="0.02"/>
    <n v="120"/>
    <n v="620"/>
    <s v="PAGO DE CUOTA E INTERES MENSUAL"/>
    <s v="PAGADO"/>
    <s v="PRESTAMO PAGADO"/>
  </r>
  <r>
    <x v="49"/>
    <x v="0"/>
    <x v="0"/>
    <n v="600"/>
    <x v="24"/>
    <n v="6"/>
    <n v="0.02"/>
    <n v="72"/>
    <n v="672"/>
    <s v="PAGOS MENSUALIZADOS"/>
    <s v="PAGADO"/>
    <s v="PRESTAMO PAGADO"/>
  </r>
  <r>
    <x v="50"/>
    <x v="6"/>
    <x v="6"/>
    <n v="300"/>
    <x v="24"/>
    <n v="6"/>
    <n v="0.02"/>
    <n v="36"/>
    <n v="336"/>
    <s v="PAGOS DE CUOTAS MENSUALES"/>
    <s v="PAGADO"/>
    <s v="PRESTAMO PAGADO"/>
  </r>
  <r>
    <x v="51"/>
    <x v="5"/>
    <x v="5"/>
    <n v="400"/>
    <x v="25"/>
    <n v="4"/>
    <n v="0.02"/>
    <n v="32"/>
    <n v="432"/>
    <s v="PAGO DE CUOTA E INTERES MENSUAL"/>
    <s v="PAGADO"/>
    <s v="PRESTAMO PAGADO"/>
  </r>
  <r>
    <x v="52"/>
    <x v="2"/>
    <x v="2"/>
    <n v="260"/>
    <x v="25"/>
    <n v="0"/>
    <n v="0"/>
    <n v="0"/>
    <n v="260"/>
    <s v="AYUDA PARA EL SOCIO CESAR TOAQUIZA POR ENFERMEDAD SE GASTO 260$ (160$ SE REPONE ENTRE LOS 12 SOCIOS A 13.35 C/U)"/>
    <s v="PAGADO"/>
    <s v="PRESTAMO PAGADO"/>
  </r>
  <r>
    <x v="53"/>
    <x v="3"/>
    <x v="3"/>
    <n v="250"/>
    <x v="26"/>
    <n v="4"/>
    <n v="0.02"/>
    <n v="20"/>
    <n v="270"/>
    <s v="PAGO DE CUOTA E INTERES MENSUAL"/>
    <s v="PAGADO"/>
    <s v="PRESTAMO PAGADO"/>
  </r>
  <r>
    <x v="54"/>
    <x v="12"/>
    <x v="12"/>
    <n v="250"/>
    <x v="26"/>
    <n v="4"/>
    <n v="0.02"/>
    <n v="20"/>
    <n v="270"/>
    <s v="PAGO DE INTERES Y CUOTA MENSUAL"/>
    <s v="PAGADO"/>
    <s v="PRESTAMO PAGADO"/>
  </r>
  <r>
    <x v="55"/>
    <x v="8"/>
    <x v="8"/>
    <n v="500"/>
    <x v="26"/>
    <n v="4"/>
    <n v="0.02"/>
    <n v="40"/>
    <n v="540"/>
    <s v="PAGO DE INTERES Y CUOTA MENSUAL"/>
    <s v="PAGADO"/>
    <s v="PRESTAMO PAGADO"/>
  </r>
  <r>
    <x v="56"/>
    <x v="13"/>
    <x v="13"/>
    <n v="500"/>
    <x v="27"/>
    <n v="3"/>
    <n v="0.02"/>
    <n v="30"/>
    <n v="530"/>
    <s v="PAGO DE LA CUOTA EL INTERES MENSUAL"/>
    <s v="PAGADO"/>
    <s v="PRESTAMO PAGADO"/>
  </r>
  <r>
    <x v="57"/>
    <x v="7"/>
    <x v="7"/>
    <n v="1000"/>
    <x v="27"/>
    <n v="10"/>
    <n v="0.02"/>
    <n v="200"/>
    <n v="1200"/>
    <s v="PAGO DE LA CUOTA Y EL INTERES MENSUAL"/>
    <s v="PENDIENTE"/>
    <s v="LETRAS FALTANTES: 02"/>
  </r>
  <r>
    <x v="58"/>
    <x v="10"/>
    <x v="10"/>
    <n v="200"/>
    <x v="27"/>
    <n v="5"/>
    <n v="0.02"/>
    <n v="20"/>
    <n v="220"/>
    <s v="PAGO DE LA CUOTA Y EL INTERES MENSUAL"/>
    <s v="PAGADO"/>
    <s v="PRESTAMO PAGADO"/>
  </r>
  <r>
    <x v="59"/>
    <x v="11"/>
    <x v="11"/>
    <n v="1000"/>
    <x v="28"/>
    <n v="10"/>
    <n v="0.02"/>
    <n v="200"/>
    <n v="1200"/>
    <s v="PAGO MENSUAL DE LA LETRA (REEPRESTAMO)"/>
    <s v="PENDIENTE"/>
    <s v="LETRAS FALTANTES: 03"/>
  </r>
  <r>
    <x v="60"/>
    <x v="5"/>
    <x v="5"/>
    <n v="500"/>
    <x v="28"/>
    <n v="5"/>
    <n v="0.02"/>
    <n v="50"/>
    <n v="550"/>
    <s v="PAGOS MENSUALES (REEPRESTAMO)"/>
    <s v="PAGADO"/>
    <s v="PRESTAMO PAGADO"/>
  </r>
  <r>
    <x v="61"/>
    <x v="4"/>
    <x v="4"/>
    <n v="80"/>
    <x v="29"/>
    <n v="1"/>
    <n v="0.02"/>
    <n v="1.6"/>
    <n v="81.599999999999994"/>
    <s v="PAGO DE CUOTA E INTERES AL FINAL DEL PERIODO (PRESTAMOS TERCEROS)"/>
    <s v="PAGADO"/>
    <s v="PRESTAMO PAGADO"/>
  </r>
  <r>
    <x v="62"/>
    <x v="0"/>
    <x v="0"/>
    <n v="700"/>
    <x v="30"/>
    <n v="7"/>
    <n v="0.02"/>
    <n v="98"/>
    <n v="798"/>
    <s v="PAGO DE CUOTA E INTERES MENSUALES (REEPRESTAMO)"/>
    <s v="PENDIENTE"/>
    <s v="LETRAS FALTANTES: 01"/>
  </r>
  <r>
    <x v="63"/>
    <x v="8"/>
    <x v="8"/>
    <n v="700"/>
    <x v="30"/>
    <n v="7"/>
    <n v="0.02"/>
    <n v="98"/>
    <n v="798"/>
    <s v="PAGO DE CUOTA E INTERES MENSUAL (REEPRESTAMO)"/>
    <s v="PENDIENTE"/>
    <s v="LETRAS FALTANTES: 01"/>
  </r>
  <r>
    <x v="64"/>
    <x v="4"/>
    <x v="4"/>
    <n v="150"/>
    <x v="31"/>
    <n v="2"/>
    <n v="0.02"/>
    <n v="6"/>
    <n v="156"/>
    <s v="PAGO DE MONTO E INTRES MENSUAL PRESTAMO A TERCEROS (LUIS ALEJANDRO ANTE CHIGUANGO)"/>
    <s v="PAGADO"/>
    <s v="PRESTAMO PAGADO"/>
  </r>
  <r>
    <x v="65"/>
    <x v="1"/>
    <x v="1"/>
    <n v="500"/>
    <x v="32"/>
    <n v="5"/>
    <n v="0.02"/>
    <n v="50"/>
    <n v="550"/>
    <s v="PAGO DE MONTO E INTERES MENSUAL"/>
    <s v="PAGADO"/>
    <s v="PRESTAMO PAGADO"/>
  </r>
  <r>
    <x v="66"/>
    <x v="12"/>
    <x v="12"/>
    <n v="300"/>
    <x v="32"/>
    <n v="3"/>
    <n v="0.02"/>
    <n v="18"/>
    <n v="318"/>
    <s v="PAGO DE MONTO E INTERES MENSUAL"/>
    <s v="PAGADO"/>
    <s v="PRESTAMO PAGADO"/>
  </r>
  <r>
    <x v="67"/>
    <x v="4"/>
    <x v="4"/>
    <n v="400"/>
    <x v="33"/>
    <n v="1"/>
    <n v="0.02"/>
    <n v="8"/>
    <n v="408"/>
    <s v="PAGO DE MONTO E INTRES MENSUAL PRESTAMO A TERCEROS (MAYRA LOGRO)"/>
    <s v="PAGADO"/>
    <s v="PRESTAMO PAGADO"/>
  </r>
  <r>
    <x v="68"/>
    <x v="6"/>
    <x v="6"/>
    <n v="700"/>
    <x v="34"/>
    <n v="3"/>
    <n v="0.02"/>
    <n v="42"/>
    <n v="742"/>
    <s v="DINERO ENTREGADO PARA RECUPERACION DE ROCIO TOAQUIZA PAGOS MENSUALES"/>
    <s v="PAGADO"/>
    <s v="PRESTAMO PAGADO"/>
  </r>
  <r>
    <x v="69"/>
    <x v="3"/>
    <x v="3"/>
    <n v="1200"/>
    <x v="35"/>
    <n v="1"/>
    <n v="0.02"/>
    <n v="24"/>
    <n v="1224"/>
    <s v="PACO DE CUOTA HE INTERES MENSUAL"/>
    <s v="PAGADO"/>
    <s v="PRESTAMO PAGADO"/>
  </r>
  <r>
    <x v="70"/>
    <x v="10"/>
    <x v="10"/>
    <n v="200"/>
    <x v="36"/>
    <n v="5"/>
    <n v="0.02"/>
    <n v="20"/>
    <n v="220"/>
    <s v="PAGO DE CUOTA MENSUAL (REEPRESTAMO)"/>
    <s v="PENDIENTE"/>
    <s v="LETRAS FALTANTES: 02"/>
  </r>
  <r>
    <x v="71"/>
    <x v="13"/>
    <x v="13"/>
    <n v="600"/>
    <x v="36"/>
    <n v="3"/>
    <n v="0.02"/>
    <n v="36"/>
    <n v="636"/>
    <s v="PAGO DE CUOTAS MENSUALES (PRESTAMO PARA FIESTA SUR-NORTE)"/>
    <s v="PAGADO"/>
    <s v="PRESTAMO PAGADO"/>
  </r>
  <r>
    <x v="72"/>
    <x v="14"/>
    <x v="14"/>
    <n v="0"/>
    <x v="36"/>
    <n v="0"/>
    <n v="0"/>
    <n v="0"/>
    <n v="0"/>
    <s v="INGRESO DE NUEVO SOCIO CON 330 DE CAPITAL"/>
    <s v="PAGADO"/>
    <s v="PRESTAMO PAGADO"/>
  </r>
  <r>
    <x v="73"/>
    <x v="15"/>
    <x v="15"/>
    <n v="0"/>
    <x v="36"/>
    <n v="0"/>
    <n v="0"/>
    <n v="0"/>
    <n v="0"/>
    <s v="INGRESO DE NUEVO SOCIO CON 80 DE CAPITAL"/>
    <s v="PAGADO"/>
    <s v="PRESTAMO PAGADO"/>
  </r>
  <r>
    <x v="74"/>
    <x v="16"/>
    <x v="16"/>
    <n v="0"/>
    <x v="36"/>
    <n v="0"/>
    <n v="0"/>
    <n v="0"/>
    <n v="0"/>
    <s v="INGRESO NUEVO SOCIO CON 110 DE CAPITAL"/>
    <s v="PAGADO"/>
    <s v="PRESTAMO PAGADO"/>
  </r>
  <r>
    <x v="75"/>
    <x v="12"/>
    <x v="12"/>
    <n v="500"/>
    <x v="37"/>
    <n v="5"/>
    <n v="0.02"/>
    <n v="50"/>
    <n v="550"/>
    <s v="PAGO DE CUOTAS MENSUALES"/>
    <s v="PENDIENTE"/>
    <s v="LETRAS FALTANTES: 02"/>
  </r>
  <r>
    <x v="76"/>
    <x v="1"/>
    <x v="1"/>
    <n v="1200"/>
    <x v="38"/>
    <n v="12"/>
    <n v="0.02"/>
    <n v="288"/>
    <n v="1488"/>
    <s v="PAGOS MENSUALES (REEPRESTAMO PREST063)"/>
    <s v="PENDIENTE"/>
    <s v="LETRAS FALTANTES: 10"/>
  </r>
  <r>
    <x v="77"/>
    <x v="14"/>
    <x v="14"/>
    <n v="2000"/>
    <x v="38"/>
    <n v="12"/>
    <n v="0.02"/>
    <n v="480"/>
    <n v="2480"/>
    <s v="PAGOS MESSUALES"/>
    <s v="PENDIENTE"/>
    <s v="LETRAS FALTANTES: 10"/>
  </r>
  <r>
    <x v="78"/>
    <x v="5"/>
    <x v="5"/>
    <n v="300"/>
    <x v="38"/>
    <n v="3"/>
    <n v="0.02"/>
    <n v="18"/>
    <n v="318"/>
    <s v="PAGO DE LA CUOTA E INTERES MENSUAL"/>
    <s v="PENDIENTE"/>
    <s v="LETRAS FALTANTES: 01"/>
  </r>
  <r>
    <x v="79"/>
    <x v="4"/>
    <x v="17"/>
    <n v="40"/>
    <x v="38"/>
    <n v="1"/>
    <n v="0.02"/>
    <n v="0.8"/>
    <n v="40.799999999999997"/>
    <s v="PAGO MENSUAL"/>
    <s v="PAGADO"/>
    <s v="PRESTAMO PAGADO"/>
  </r>
  <r>
    <x v="80"/>
    <x v="4"/>
    <x v="18"/>
    <n v="100"/>
    <x v="39"/>
    <n v="1"/>
    <n v="0.02"/>
    <n v="2"/>
    <n v="102"/>
    <s v="PRESTAMO A TERCEROS UN SOLO PAGO"/>
    <s v="PENDIENTE"/>
    <s v="LETRAS FALTANTES: 0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s v="01"/>
    <x v="0"/>
    <n v="360"/>
  </r>
  <r>
    <s v="02"/>
    <x v="1"/>
    <n v="360"/>
  </r>
  <r>
    <s v="03"/>
    <x v="2"/>
    <n v="360"/>
  </r>
  <r>
    <s v="04"/>
    <x v="3"/>
    <n v="360"/>
  </r>
  <r>
    <s v="05"/>
    <x v="4"/>
    <n v="360"/>
  </r>
  <r>
    <s v="06"/>
    <x v="5"/>
    <n v="360"/>
  </r>
  <r>
    <s v="07"/>
    <x v="6"/>
    <n v="360"/>
  </r>
  <r>
    <s v="08"/>
    <x v="7"/>
    <n v="360"/>
  </r>
  <r>
    <s v="09"/>
    <x v="8"/>
    <n v="360"/>
  </r>
  <r>
    <s v="10"/>
    <x v="9"/>
    <n v="360"/>
  </r>
  <r>
    <s v="11"/>
    <x v="10"/>
    <n v="360"/>
  </r>
  <r>
    <s v="12"/>
    <x v="11"/>
    <n v="360"/>
  </r>
  <r>
    <s v="13"/>
    <x v="12"/>
    <n v="360"/>
  </r>
  <r>
    <s v="14"/>
    <x v="13"/>
    <n v="360"/>
  </r>
  <r>
    <s v="15"/>
    <x v="14"/>
    <n v="360"/>
  </r>
  <r>
    <s v="16"/>
    <x v="15"/>
    <n v="360"/>
  </r>
  <r>
    <s v="17"/>
    <x v="16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51BCA3-E436-4B66-94BE-69294B0F58CD}" name="TablaDinámica2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rowHeaderCaption="SOCIO">
  <location ref="D5:F22" firstHeaderRow="0" firstDataRow="1" firstDataCol="1" rowPageCount="1" colPageCount="1"/>
  <pivotFields count="12">
    <pivotField axis="axisRow" multipleItemSelectionAllowed="1" showAll="0">
      <items count="82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h="1" x="2"/>
        <item x="31"/>
        <item x="32"/>
        <item x="33"/>
        <item x="34"/>
        <item x="35"/>
        <item x="36"/>
        <item x="37"/>
        <item x="38"/>
        <item x="39"/>
        <item x="40"/>
        <item x="41"/>
        <item h="1" x="42"/>
        <item x="43"/>
        <item x="44"/>
        <item x="45"/>
        <item x="46"/>
        <item x="47"/>
        <item x="48"/>
        <item x="49"/>
        <item x="50"/>
        <item x="51"/>
        <item h="1"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h="1" x="76"/>
        <item h="1" x="77"/>
        <item h="1" x="78"/>
        <item h="1" x="79"/>
        <item h="1" x="80"/>
        <item t="default"/>
      </items>
    </pivotField>
    <pivotField axis="axisPage" numFmtId="167" multipleItemSelectionAllowed="1" showAll="0">
      <items count="18">
        <item x="6"/>
        <item x="13"/>
        <item x="1"/>
        <item x="3"/>
        <item x="12"/>
        <item x="0"/>
        <item x="10"/>
        <item x="5"/>
        <item x="7"/>
        <item x="8"/>
        <item x="9"/>
        <item x="4"/>
        <item x="11"/>
        <item x="14"/>
        <item x="15"/>
        <item x="16"/>
        <item x="2"/>
        <item t="default"/>
      </items>
    </pivotField>
    <pivotField axis="axisRow" showAll="0" sortType="ascending">
      <items count="21">
        <item sd="0" x="1"/>
        <item sd="0" x="6"/>
        <item sd="0" x="15"/>
        <item sd="0" x="11"/>
        <item sd="0" x="14"/>
        <item sd="0" x="7"/>
        <item sd="0" x="9"/>
        <item sd="0" x="4"/>
        <item sd="0" m="1" x="19"/>
        <item sd="0" x="5"/>
        <item sd="0" x="10"/>
        <item sd="0" x="3"/>
        <item sd="0" x="16"/>
        <item sd="0" x="0"/>
        <item sd="0" x="8"/>
        <item sd="0" x="12"/>
        <item h="1" x="18"/>
        <item h="1" sd="0" x="2"/>
        <item h="1" x="17"/>
        <item sd="0" x="13"/>
        <item t="default" sd="0"/>
      </items>
    </pivotField>
    <pivotField dataField="1" numFmtId="164" showAll="0"/>
    <pivotField axis="axisRow" numFmtId="14"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  <pivotField showAll="0"/>
    <pivotField showAll="0"/>
    <pivotField dataField="1" numFmtId="164" showAll="0"/>
    <pivotField numFmtId="164" showAll="0"/>
    <pivotField showAll="0"/>
    <pivotField showAll="0"/>
    <pivotField showAll="0"/>
  </pivotFields>
  <rowFields count="3">
    <field x="2"/>
    <field x="0"/>
    <field x="4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9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AMORT" fld="3" baseField="0" baseItem="0"/>
    <dataField name="INTERESES" fld="7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A7F5B8-BCA7-423E-B133-94D83F3FD8DD}" name="TablaDinámica5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rowHeaderCaption="SOCIOS">
  <location ref="H5:J19" firstHeaderRow="0" firstDataRow="1" firstDataCol="1" rowPageCount="2" colPageCount="1"/>
  <pivotFields count="11">
    <pivotField multipleItemSelectionAllowed="1" showAll="0"/>
    <pivotField axis="axisPage" multipleItemSelectionAllowed="1" showAll="0">
      <items count="31">
        <item x="24"/>
        <item x="14"/>
        <item x="16"/>
        <item x="18"/>
        <item x="23"/>
        <item x="20"/>
        <item x="25"/>
        <item x="26"/>
        <item x="21"/>
        <item x="19"/>
        <item x="15"/>
        <item x="22"/>
        <item x="17"/>
        <item x="27"/>
        <item x="28"/>
        <item x="29"/>
        <item h="1" x="13"/>
        <item x="5"/>
        <item x="0"/>
        <item x="11"/>
        <item x="12"/>
        <item x="1"/>
        <item x="9"/>
        <item x="3"/>
        <item x="6"/>
        <item x="7"/>
        <item x="8"/>
        <item x="2"/>
        <item x="10"/>
        <item x="4"/>
        <item t="default"/>
      </items>
    </pivotField>
    <pivotField axis="axisRow" showAll="0" sortType="ascending">
      <items count="19">
        <item sd="0" x="0"/>
        <item sd="0" x="6"/>
        <item sd="0" x="16"/>
        <item sd="0" x="11"/>
        <item sd="0" x="15"/>
        <item sd="0" x="7"/>
        <item sd="0" x="9"/>
        <item sd="0" x="3"/>
        <item sd="0" x="4"/>
        <item sd="0" x="10"/>
        <item sd="0" x="2"/>
        <item sd="0" x="17"/>
        <item sd="0" x="1"/>
        <item sd="0" x="8"/>
        <item sd="0" x="12"/>
        <item h="1" sd="0" x="13"/>
        <item h="1" sd="0" x="5"/>
        <item sd="0" x="14"/>
        <item t="default" sd="0"/>
      </items>
    </pivotField>
    <pivotField axis="axisPage" multipleItemSelectionAllowed="1" showAll="0">
      <items count="79">
        <item x="1"/>
        <item x="0"/>
        <item x="2"/>
        <item x="3"/>
        <item x="4"/>
        <item x="6"/>
        <item x="7"/>
        <item x="8"/>
        <item x="10"/>
        <item x="9"/>
        <item x="12"/>
        <item x="11"/>
        <item x="14"/>
        <item x="13"/>
        <item x="16"/>
        <item x="15"/>
        <item x="18"/>
        <item x="17"/>
        <item x="21"/>
        <item x="20"/>
        <item x="19"/>
        <item x="24"/>
        <item x="22"/>
        <item x="26"/>
        <item x="27"/>
        <item x="28"/>
        <item x="29"/>
        <item x="30"/>
        <item x="32"/>
        <item x="31"/>
        <item x="33"/>
        <item x="34"/>
        <item x="36"/>
        <item x="35"/>
        <item x="37"/>
        <item x="38"/>
        <item x="39"/>
        <item x="42"/>
        <item x="41"/>
        <item x="40"/>
        <item x="45"/>
        <item x="43"/>
        <item x="44"/>
        <item x="47"/>
        <item x="46"/>
        <item x="48"/>
        <item x="49"/>
        <item x="51"/>
        <item x="50"/>
        <item x="52"/>
        <item x="54"/>
        <item x="55"/>
        <item x="56"/>
        <item x="59"/>
        <item x="57"/>
        <item x="58"/>
        <item x="60"/>
        <item x="61"/>
        <item x="62"/>
        <item x="63"/>
        <item x="64"/>
        <item x="65"/>
        <item x="66"/>
        <item x="67"/>
        <item x="68"/>
        <item h="1" x="5"/>
        <item h="1" x="53"/>
        <item h="1" x="23"/>
        <item h="1" x="25"/>
        <item h="1" x="69"/>
        <item h="1" x="70"/>
        <item h="1" x="71"/>
        <item h="1" x="72"/>
        <item h="1" x="73"/>
        <item h="1" x="74"/>
        <item h="1" x="75"/>
        <item h="1" x="76"/>
        <item h="1" x="77"/>
        <item t="default"/>
      </items>
    </pivotField>
    <pivotField dataField="1" showAll="0"/>
    <pivotField axis="axisRow" numFmtId="14" showAll="0">
      <items count="41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2"/>
        <item x="36"/>
        <item x="37"/>
        <item x="38"/>
        <item x="39"/>
        <item t="default"/>
      </items>
    </pivotField>
    <pivotField multipleItemSelectionAllowed="1" showAll="0"/>
    <pivotField dataField="1" showAll="0"/>
    <pivotField numFmtId="14" showAll="0"/>
    <pivotField showAll="0"/>
    <pivotField showAll="0"/>
  </pivotFields>
  <rowFields count="2">
    <field x="2"/>
    <field x="5"/>
  </rowFields>
  <rowItems count="14">
    <i>
      <x/>
    </i>
    <i>
      <x v="1"/>
    </i>
    <i>
      <x v="3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>
      <x v="17"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3" hier="-1"/>
  </pageFields>
  <dataFields count="2">
    <dataField name="AMORT" fld="4" baseField="0" baseItem="0"/>
    <dataField name="INTERES" fld="7" baseField="0" baseItem="0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37AF18-0BBF-4B37-874A-5BBCBCDC1922}" name="TablaDinámica6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rowHeaderCaption="SOCIO">
  <location ref="A5:B22" firstHeaderRow="1" firstDataRow="1" firstDataCol="1"/>
  <pivotFields count="3">
    <pivotField showAll="0"/>
    <pivotField axis="axisRow" showAll="0" sortType="ascending">
      <items count="18">
        <item x="2"/>
        <item x="0"/>
        <item x="14"/>
        <item x="12"/>
        <item x="13"/>
        <item x="8"/>
        <item x="10"/>
        <item x="11"/>
        <item x="7"/>
        <item x="6"/>
        <item x="3"/>
        <item h="1" x="16"/>
        <item x="15"/>
        <item x="5"/>
        <item x="9"/>
        <item x="4"/>
        <item x="1"/>
        <item t="default"/>
      </items>
    </pivotField>
    <pivotField dataField="1" numFmtId="164" showAll="0"/>
  </pivotFields>
  <rowFields count="1">
    <field x="1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APORTES" fld="2" baseField="1" baseItem="0" numFmtId="8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8236285-C4E5-4653-90A6-14B08A1DD790}" name="CLIENTES" displayName="CLIENTES" ref="B4:AN21" totalsRowShown="0" headerRowDxfId="85" dataDxfId="84" tableBorderDxfId="83">
  <autoFilter ref="B4:AN21" xr:uid="{18236285-C4E5-4653-90A6-14B08A1DD790}"/>
  <tableColumns count="39">
    <tableColumn id="1" xr3:uid="{C54CC487-2E41-43C1-97DF-271A018EB14F}" name="COD" dataDxfId="82"/>
    <tableColumn id="2" xr3:uid="{0CFCCF33-E1BD-4328-9E45-CEF1C2D20A1B}" name="NOMBRE" dataDxfId="81"/>
    <tableColumn id="3" xr3:uid="{1A86CCB3-4181-44BE-8BD8-DD286A9675BD}" name="APORTADO" dataDxfId="80">
      <calculatedColumnFormula>SUM(SOCIOS!$E5:$AN5)</calculatedColumnFormula>
    </tableColumn>
    <tableColumn id="4" xr3:uid="{8C3FDF92-169A-4C97-A2AB-97B7DC1A17AA}" name="1" dataDxfId="79">
      <calculatedColumnFormula>10-7.69</calculatedColumnFormula>
    </tableColumn>
    <tableColumn id="5" xr3:uid="{36EBBBCB-6A0D-4B04-A27D-89C315B248CC}" name="2" dataDxfId="78"/>
    <tableColumn id="6" xr3:uid="{7B2ED8D6-2F1B-41B4-B31E-7FA2DC31FBD5}" name="3" dataDxfId="77"/>
    <tableColumn id="7" xr3:uid="{87116DB9-8688-4373-A617-E84379BB3DAF}" name="4" dataDxfId="76"/>
    <tableColumn id="8" xr3:uid="{35F826FE-C2F4-4A28-A0C2-7AB103BEFA71}" name="5" dataDxfId="75"/>
    <tableColumn id="9" xr3:uid="{7065638B-DED7-4F57-AE4E-B0E22E4A8E4E}" name="6" dataDxfId="74"/>
    <tableColumn id="10" xr3:uid="{02510EF9-8BC3-4A90-855C-715AC56623EE}" name="7" dataDxfId="73"/>
    <tableColumn id="11" xr3:uid="{C0804463-63F0-4378-AC67-29B23074ED4A}" name="8" dataDxfId="72"/>
    <tableColumn id="12" xr3:uid="{6CD85A10-A4F9-4687-BD69-E53C3FB3B226}" name="9" dataDxfId="71"/>
    <tableColumn id="13" xr3:uid="{20C911E8-C3EC-4BA4-B7F1-4133B19DFE3E}" name="10" dataDxfId="70"/>
    <tableColumn id="14" xr3:uid="{65E836D6-7F8B-42E9-B661-2BA8F88EFC6A}" name="11" dataDxfId="69"/>
    <tableColumn id="15" xr3:uid="{8EF92F53-12C6-4A8A-974A-D10220BC7037}" name="12" dataDxfId="68"/>
    <tableColumn id="16" xr3:uid="{9905BDFC-371F-4252-BAB4-E25006AE39F8}" name="13" dataDxfId="67"/>
    <tableColumn id="17" xr3:uid="{351A2A05-1865-4F11-8FEA-5D603211CDEB}" name="14" dataDxfId="66"/>
    <tableColumn id="18" xr3:uid="{684CB385-740F-401E-9183-B51DC2E63E01}" name="15" dataDxfId="65"/>
    <tableColumn id="19" xr3:uid="{924B0C9A-6320-44ED-A684-51AE04265491}" name="16" dataDxfId="64"/>
    <tableColumn id="20" xr3:uid="{1DA02A1D-E4A0-42F7-927E-540B3E54EEDE}" name="17" dataDxfId="63"/>
    <tableColumn id="21" xr3:uid="{97EB78F6-E18B-45EF-B773-841848439A9A}" name="18" dataDxfId="62"/>
    <tableColumn id="22" xr3:uid="{EDEC7F5A-3A5C-4FF5-8DBF-A8E4B75BDE3B}" name="19" dataDxfId="61"/>
    <tableColumn id="23" xr3:uid="{04615CCB-32BD-4DE6-BB09-2A8F4A999174}" name="20" dataDxfId="60"/>
    <tableColumn id="24" xr3:uid="{93E7BBFE-A5AF-4848-9725-48F5CF22C6DE}" name="21" dataDxfId="59"/>
    <tableColumn id="25" xr3:uid="{06005CFA-C583-4B5F-BC84-CB65A7DFAE2B}" name="22" dataDxfId="58"/>
    <tableColumn id="26" xr3:uid="{2D901CF5-EF2B-43B6-BD33-D09718E8CF25}" name="23" dataDxfId="57"/>
    <tableColumn id="27" xr3:uid="{34F6C5BB-4B7C-4CA8-86F1-FD13CED3E035}" name="24" dataDxfId="56"/>
    <tableColumn id="28" xr3:uid="{A453E23A-7E68-4581-B7D5-4626DBEEC996}" name="25" dataDxfId="55"/>
    <tableColumn id="29" xr3:uid="{B310A440-F1FA-4034-9656-DD23DCC19567}" name="26" dataDxfId="54"/>
    <tableColumn id="30" xr3:uid="{D180E249-6856-4B85-B6DF-096698A3D696}" name="27" dataDxfId="53"/>
    <tableColumn id="31" xr3:uid="{91AA9D62-2BA3-4586-9537-C8F5F7FF4B80}" name="28" dataDxfId="52"/>
    <tableColumn id="32" xr3:uid="{E179F130-6E9F-40FB-8DC0-2DE2AA65D4AF}" name="29" dataDxfId="51"/>
    <tableColumn id="33" xr3:uid="{DACAB3CB-3273-4F88-8A1C-97D348FC1377}" name="30" dataDxfId="50"/>
    <tableColumn id="34" xr3:uid="{924D9513-691B-4CE5-91C7-FD58CC1254D8}" name="31" dataDxfId="49"/>
    <tableColumn id="35" xr3:uid="{FB3DAFDE-18D1-424F-9D72-1FC1517C1D0F}" name="32" dataDxfId="48"/>
    <tableColumn id="36" xr3:uid="{694EAF55-80B3-49EF-A003-28BEA32BB5F6}" name="33" dataDxfId="47"/>
    <tableColumn id="37" xr3:uid="{89717CB4-854F-480B-A3B7-0ACD2BEFEB97}" name="34" dataDxfId="46"/>
    <tableColumn id="38" xr3:uid="{4F8BDA40-4C1F-4BC3-AEF3-56D88E86E275}" name="35" dataDxfId="45"/>
    <tableColumn id="39" xr3:uid="{AB6E2A60-F045-4A01-A34D-AEFDB440B103}" name="36" dataDxfId="4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B24:D60" totalsRowShown="0" headerRowDxfId="43">
  <autoFilter ref="B24:D60" xr:uid="{F53503DF-644E-4A9A-8D0D-080AEC43F898}"/>
  <tableColumns count="3">
    <tableColumn id="1" xr3:uid="{6ED0DD16-597F-4657-B60B-E17AA9DAB89E}" name="#" dataDxfId="42">
      <calculatedColumnFormula>ROW()-ROW(APORTACIONESOCIOS[[#Headers],['#]])</calculatedColumnFormula>
    </tableColumn>
    <tableColumn id="2" xr3:uid="{47EBCF96-4711-43CB-9BE6-93ED477BB0A0}" name="FECHA" dataDxfId="41"/>
    <tableColumn id="3" xr3:uid="{16E6B2EE-7076-4DFF-A63F-B04A095B46B7}" name="MONTO" dataDxfId="40">
      <calculatedColumnFormula>$E$22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83" totalsRowShown="0" headerRowDxfId="39" dataDxfId="38" tableBorderDxfId="37">
  <autoFilter ref="A2:L83" xr:uid="{1EF07585-15E8-4C19-B5D8-0E7A84F4DBB0}">
    <filterColumn colId="4">
      <filters>
        <dateGroupItem year="2023" month="2" dateTimeGrouping="month"/>
      </filters>
    </filterColumn>
  </autoFilter>
  <tableColumns count="12">
    <tableColumn id="1" xr3:uid="{DF608173-1C1E-45BF-BDA6-4770479695D0}" name="REG" dataDxfId="36"/>
    <tableColumn id="10" xr3:uid="{A1710718-E81C-4FCA-8318-2D0241A13750}" name="CODIGOCLIENTE" dataDxfId="35"/>
    <tableColumn id="2" xr3:uid="{BF4B879C-1336-4BFF-A448-902F2E842778}" name="NOMBRE CLIENTE" dataDxfId="34"/>
    <tableColumn id="3" xr3:uid="{A4557FB7-A69D-41EA-ADDC-4CD851160E6F}" name="MONTO AMORTIZACION" dataDxfId="33"/>
    <tableColumn id="4" xr3:uid="{1059D7C6-771B-45CF-95FF-DE6753600468}" name="FECHA DEL PRESTAMO" dataDxfId="32"/>
    <tableColumn id="5" xr3:uid="{EC0679A2-BDC3-47B2-82B2-67CD1FDCEED2}" name="CUOTAS" dataDxfId="31"/>
    <tableColumn id="6" xr3:uid="{2AB3969A-7B77-4109-A6D4-36598A4DCC7B}" name="INTERES" dataDxfId="30"/>
    <tableColumn id="7" xr3:uid="{178CA326-5156-46D8-B147-36B8DAE7B0FB}" name="T. INT" dataDxfId="29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28">
      <calculatedColumnFormula>PRESTAMOS[[#This Row],[MONTO AMORTIZACION]]+PRESTAMOS[[#This Row],[T. INT]]</calculatedColumnFormula>
    </tableColumn>
    <tableColumn id="9" xr3:uid="{DAB7303D-AF54-4300-85B2-5A04DC344B2D}" name="OBSERVACION" dataDxfId="27"/>
    <tableColumn id="11" xr3:uid="{A7AC972D-5336-419F-9024-628A881B913D}" name="ESTATUS" dataDxfId="26">
      <calculatedColumnFormula>IF(LEN(PRESTAMOS[[#This Row],[REG]])=LEN("AYUDA**"),"PAGADO",IF(SUMIF(PAGOS!$D$3:$D$1048576,A3,PAGOS!$E$3:$E$1048576)-PRESTAMOS[[#This Row],[MONTO AMORTIZACION]]&gt;=-0.1,"PAGADO","PENDIENTE"))</calculatedColumnFormula>
    </tableColumn>
    <tableColumn id="12" xr3:uid="{AA2DAE7F-A11C-4FAF-BCFF-576DA9BCA472}" name="LETRAS" dataDxfId="25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K323" totalsRowShown="0" headerRowDxfId="24" dataDxfId="23" tableBorderDxfId="22">
  <autoFilter ref="A2:K323" xr:uid="{0B276B08-FDED-4D4B-9E03-4C4141C75BCE}">
    <filterColumn colId="3">
      <filters>
        <filter val="PREST002"/>
      </filters>
    </filterColumn>
  </autoFilter>
  <tableColumns count="11">
    <tableColumn id="1" xr3:uid="{291C7FF1-10B1-4601-BE6F-18338656E5ED}" name="REG" dataDxfId="21"/>
    <tableColumn id="10" xr3:uid="{7022746F-053D-483A-BA2A-73B3994A543A}" name="CODIGO CLIENTE" dataDxfId="20"/>
    <tableColumn id="2" xr3:uid="{FC13E43B-9874-4D30-9445-A72F47508A7C}" name="NOMBRE CLIENTE" dataDxfId="19"/>
    <tableColumn id="11" xr3:uid="{E88FA523-F814-4522-A262-68C8722599CB}" name="# PESTAMO" dataDxfId="18"/>
    <tableColumn id="3" xr3:uid="{002B3DB3-17B9-428D-A25A-72684C77E38B}" name="PAGO DEL MONTO" dataDxfId="17"/>
    <tableColumn id="4" xr3:uid="{1F8AE8A0-54D4-4B93-9CE3-86BC07F70024}" name="FECHA PAGO DEL MONTO" dataDxfId="16"/>
    <tableColumn id="5" xr3:uid="{F83E30F0-E156-48F7-9345-CAA3F5461D36}" name="# DE CUOTA DEL MONTO" dataDxfId="15"/>
    <tableColumn id="6" xr3:uid="{9DD87D8D-B930-4E29-9891-39897F2AED3F}" name="PAGO DEL INTERES" dataDxfId="14"/>
    <tableColumn id="7" xr3:uid="{D2503747-26C8-4B63-AB7A-B44C998F3273}" name="FECHA PAGO INTERES" dataDxfId="13"/>
    <tableColumn id="8" xr3:uid="{ACB52336-5F64-495D-A7C5-4F974CF9E959}" name="# DE CUOTA DE INTERES" dataDxfId="12"/>
    <tableColumn id="9" xr3:uid="{29B90C80-8506-4A3F-8557-A9FDCA0D07DB}" name="COMENTARIO" dataDxfId="11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37" totalsRowShown="0" headerRowDxfId="10" headerRowBorderDxfId="9" tableBorderDxfId="8" totalsRowBorderDxfId="7">
  <autoFilter ref="A1:D37" xr:uid="{04B7BB1B-ECEB-41CC-8D03-4A59D0FF3CBE}"/>
  <tableColumns count="4">
    <tableColumn id="1" xr3:uid="{C9871744-ADFB-4E6E-8064-EB19DBD32DD9}" name="#REGISTRO" dataDxfId="6">
      <calculatedColumnFormula array="1">IF(DENERO_CAJA[[#This Row],[MONTO]]&lt;&gt;"",ROW()-ROW(DENERO_CAJA[#Headers]),"")</calculatedColumnFormula>
    </tableColumn>
    <tableColumn id="2" xr3:uid="{8D9D85F4-7C58-411D-9F50-5DDD4F3C24B5}" name="FECHA" dataDxfId="5"/>
    <tableColumn id="3" xr3:uid="{F57D2212-4DEE-425B-919D-FA4FFA0A57FC}" name="MONTO" dataDxfId="4"/>
    <tableColumn id="4" xr3:uid="{2D0EDDF4-6390-4E2C-98CD-CE5E5523338F}" name="COMENTARIO" dataDxfId="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1"/>
  <sheetViews>
    <sheetView workbookViewId="0">
      <selection activeCell="A21" sqref="A21"/>
    </sheetView>
  </sheetViews>
  <sheetFormatPr baseColWidth="10" defaultColWidth="11.5546875" defaultRowHeight="14.4" x14ac:dyDescent="0.3"/>
  <cols>
    <col min="2" max="2" width="20.44140625" bestFit="1" customWidth="1"/>
  </cols>
  <sheetData>
    <row r="2" spans="1:2" x14ac:dyDescent="0.3">
      <c r="A2" s="37" t="s">
        <v>63</v>
      </c>
      <c r="B2" s="37" t="s">
        <v>55</v>
      </c>
    </row>
    <row r="3" spans="1:2" x14ac:dyDescent="0.3">
      <c r="A3" s="251" t="s">
        <v>0</v>
      </c>
      <c r="B3" s="59" t="s">
        <v>14</v>
      </c>
    </row>
    <row r="4" spans="1:2" x14ac:dyDescent="0.3">
      <c r="A4" s="251" t="s">
        <v>1</v>
      </c>
      <c r="B4" s="59" t="s">
        <v>15</v>
      </c>
    </row>
    <row r="5" spans="1:2" x14ac:dyDescent="0.3">
      <c r="A5" s="251" t="s">
        <v>2</v>
      </c>
      <c r="B5" s="59" t="s">
        <v>16</v>
      </c>
    </row>
    <row r="6" spans="1:2" x14ac:dyDescent="0.3">
      <c r="A6" s="251" t="s">
        <v>3</v>
      </c>
      <c r="B6" s="59" t="s">
        <v>17</v>
      </c>
    </row>
    <row r="7" spans="1:2" x14ac:dyDescent="0.3">
      <c r="A7" s="251" t="s">
        <v>4</v>
      </c>
      <c r="B7" s="59" t="s">
        <v>18</v>
      </c>
    </row>
    <row r="8" spans="1:2" x14ac:dyDescent="0.3">
      <c r="A8" s="251" t="s">
        <v>5</v>
      </c>
      <c r="B8" s="59" t="s">
        <v>19</v>
      </c>
    </row>
    <row r="9" spans="1:2" x14ac:dyDescent="0.3">
      <c r="A9" s="251" t="s">
        <v>6</v>
      </c>
      <c r="B9" s="59" t="s">
        <v>20</v>
      </c>
    </row>
    <row r="10" spans="1:2" x14ac:dyDescent="0.3">
      <c r="A10" s="251" t="s">
        <v>7</v>
      </c>
      <c r="B10" s="59" t="s">
        <v>21</v>
      </c>
    </row>
    <row r="11" spans="1:2" x14ac:dyDescent="0.3">
      <c r="A11" s="251" t="s">
        <v>8</v>
      </c>
      <c r="B11" s="59" t="s">
        <v>22</v>
      </c>
    </row>
    <row r="12" spans="1:2" x14ac:dyDescent="0.3">
      <c r="A12" s="251" t="s">
        <v>9</v>
      </c>
      <c r="B12" s="59" t="s">
        <v>23</v>
      </c>
    </row>
    <row r="13" spans="1:2" x14ac:dyDescent="0.3">
      <c r="A13" s="251" t="s">
        <v>10</v>
      </c>
      <c r="B13" s="59" t="s">
        <v>24</v>
      </c>
    </row>
    <row r="14" spans="1:2" x14ac:dyDescent="0.3">
      <c r="A14" s="251" t="s">
        <v>11</v>
      </c>
      <c r="B14" s="59" t="s">
        <v>25</v>
      </c>
    </row>
    <row r="15" spans="1:2" x14ac:dyDescent="0.3">
      <c r="A15" s="251" t="s">
        <v>12</v>
      </c>
      <c r="B15" s="59" t="s">
        <v>26</v>
      </c>
    </row>
    <row r="16" spans="1:2" x14ac:dyDescent="0.3">
      <c r="A16" s="251" t="s">
        <v>176</v>
      </c>
      <c r="B16" s="59" t="s">
        <v>389</v>
      </c>
    </row>
    <row r="17" spans="1:2" x14ac:dyDescent="0.3">
      <c r="A17" s="251" t="s">
        <v>178</v>
      </c>
      <c r="B17" s="59" t="s">
        <v>390</v>
      </c>
    </row>
    <row r="18" spans="1:2" x14ac:dyDescent="0.3">
      <c r="A18" s="251" t="s">
        <v>177</v>
      </c>
      <c r="B18" s="59" t="s">
        <v>391</v>
      </c>
    </row>
    <row r="19" spans="1:2" x14ac:dyDescent="0.3">
      <c r="A19" s="251" t="s">
        <v>179</v>
      </c>
      <c r="B19" s="59" t="s">
        <v>394</v>
      </c>
    </row>
    <row r="20" spans="1:2" x14ac:dyDescent="0.3">
      <c r="A20" s="251">
        <v>18</v>
      </c>
      <c r="B20" s="59" t="s">
        <v>74</v>
      </c>
    </row>
    <row r="21" spans="1:2" x14ac:dyDescent="0.3">
      <c r="A21" s="251">
        <v>19</v>
      </c>
      <c r="B21" s="59" t="s">
        <v>75</v>
      </c>
    </row>
  </sheetData>
  <pageMargins left="0.7" right="0.7" top="0.75" bottom="0.75" header="0.3" footer="0.3"/>
  <pageSetup orientation="portrait" r:id="rId1"/>
  <ignoredErrors>
    <ignoredError sqref="A3:A15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AN60"/>
  <sheetViews>
    <sheetView workbookViewId="0">
      <pane xSplit="4" ySplit="4" topLeftCell="AI11" activePane="bottomRight" state="frozen"/>
      <selection pane="topRight" activeCell="E1" sqref="E1"/>
      <selection pane="bottomLeft" activeCell="A5" sqref="A5"/>
      <selection pane="bottomRight"/>
    </sheetView>
  </sheetViews>
  <sheetFormatPr baseColWidth="10" defaultColWidth="10.88671875" defaultRowHeight="14.4" x14ac:dyDescent="0.3"/>
  <cols>
    <col min="1" max="1" width="5.5546875" style="2" customWidth="1"/>
    <col min="2" max="2" width="6.6640625" style="204" bestFit="1" customWidth="1"/>
    <col min="3" max="3" width="20.44140625" style="2" bestFit="1" customWidth="1"/>
    <col min="4" max="4" width="14.88671875" style="2" bestFit="1" customWidth="1"/>
    <col min="5" max="6" width="9.6640625" style="2" bestFit="1" customWidth="1"/>
    <col min="7" max="9" width="10.6640625" style="2" bestFit="1" customWidth="1"/>
    <col min="10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40" x14ac:dyDescent="0.3">
      <c r="B1" s="1"/>
    </row>
    <row r="2" spans="2:40" x14ac:dyDescent="0.3">
      <c r="B2" s="1"/>
    </row>
    <row r="3" spans="2:40" x14ac:dyDescent="0.3">
      <c r="B3" s="1"/>
      <c r="D3" s="7" t="s">
        <v>230</v>
      </c>
      <c r="E3" s="7">
        <v>44788</v>
      </c>
      <c r="F3" s="7">
        <v>44819</v>
      </c>
      <c r="G3" s="7">
        <v>44849</v>
      </c>
      <c r="H3" s="7">
        <v>44880</v>
      </c>
      <c r="I3" s="7">
        <v>44910</v>
      </c>
      <c r="J3" s="7">
        <v>44941</v>
      </c>
      <c r="K3" s="7">
        <v>44972</v>
      </c>
      <c r="L3" s="7">
        <v>45000</v>
      </c>
      <c r="M3" s="7">
        <v>45031</v>
      </c>
      <c r="N3" s="7">
        <v>45061</v>
      </c>
      <c r="O3" s="7">
        <v>45092</v>
      </c>
      <c r="P3" s="7">
        <v>45122</v>
      </c>
      <c r="Q3" s="7">
        <v>45153</v>
      </c>
      <c r="R3" s="7">
        <v>45184</v>
      </c>
      <c r="S3" s="7">
        <v>45214</v>
      </c>
      <c r="T3" s="129">
        <v>45245</v>
      </c>
      <c r="U3" s="129">
        <v>45275</v>
      </c>
      <c r="V3" s="129">
        <v>45306</v>
      </c>
      <c r="W3" s="129">
        <v>45337</v>
      </c>
      <c r="X3" s="129">
        <v>45366</v>
      </c>
      <c r="Y3" s="129">
        <v>45397</v>
      </c>
      <c r="Z3" s="129">
        <v>45427</v>
      </c>
      <c r="AA3" s="129">
        <v>45458</v>
      </c>
      <c r="AB3" s="129">
        <v>45488</v>
      </c>
      <c r="AC3" s="129">
        <v>45519</v>
      </c>
      <c r="AD3" s="129">
        <v>45550</v>
      </c>
      <c r="AE3" s="129">
        <v>45580</v>
      </c>
      <c r="AF3" s="129">
        <v>45611</v>
      </c>
      <c r="AG3" s="129">
        <v>45641</v>
      </c>
      <c r="AH3" s="129">
        <v>45672</v>
      </c>
      <c r="AI3" s="129">
        <v>45703</v>
      </c>
      <c r="AJ3" s="129">
        <v>45731</v>
      </c>
      <c r="AK3" s="129">
        <v>45762</v>
      </c>
      <c r="AL3" s="129">
        <v>45792</v>
      </c>
      <c r="AM3" s="129">
        <v>45823</v>
      </c>
      <c r="AN3" s="129">
        <v>45853</v>
      </c>
    </row>
    <row r="4" spans="2:40" x14ac:dyDescent="0.3">
      <c r="B4" s="11" t="s">
        <v>29</v>
      </c>
      <c r="C4" s="8" t="s">
        <v>13</v>
      </c>
      <c r="D4" s="12" t="s">
        <v>28</v>
      </c>
      <c r="E4" s="5" t="s">
        <v>167</v>
      </c>
      <c r="F4" s="5" t="s">
        <v>168</v>
      </c>
      <c r="G4" s="5" t="s">
        <v>169</v>
      </c>
      <c r="H4" s="5" t="s">
        <v>170</v>
      </c>
      <c r="I4" s="5" t="s">
        <v>171</v>
      </c>
      <c r="J4" s="5" t="s">
        <v>172</v>
      </c>
      <c r="K4" s="5" t="s">
        <v>173</v>
      </c>
      <c r="L4" s="5" t="s">
        <v>174</v>
      </c>
      <c r="M4" s="5" t="s">
        <v>175</v>
      </c>
      <c r="N4" s="5" t="s">
        <v>9</v>
      </c>
      <c r="O4" s="5" t="s">
        <v>10</v>
      </c>
      <c r="P4" s="5" t="s">
        <v>11</v>
      </c>
      <c r="Q4" s="5" t="s">
        <v>12</v>
      </c>
      <c r="R4" s="5" t="s">
        <v>176</v>
      </c>
      <c r="S4" s="128" t="s">
        <v>178</v>
      </c>
      <c r="T4" s="128" t="s">
        <v>177</v>
      </c>
      <c r="U4" s="128" t="s">
        <v>179</v>
      </c>
      <c r="V4" s="128" t="s">
        <v>180</v>
      </c>
      <c r="W4" s="128" t="s">
        <v>181</v>
      </c>
      <c r="X4" s="128" t="s">
        <v>207</v>
      </c>
      <c r="Y4" s="128" t="s">
        <v>219</v>
      </c>
      <c r="Z4" s="128" t="s">
        <v>224</v>
      </c>
      <c r="AA4" s="128" t="s">
        <v>231</v>
      </c>
      <c r="AB4" s="128" t="s">
        <v>236</v>
      </c>
      <c r="AC4" s="128" t="s">
        <v>242</v>
      </c>
      <c r="AD4" s="128" t="s">
        <v>252</v>
      </c>
      <c r="AE4" s="128" t="s">
        <v>260</v>
      </c>
      <c r="AF4" s="128" t="s">
        <v>299</v>
      </c>
      <c r="AG4" s="128" t="s">
        <v>321</v>
      </c>
      <c r="AH4" s="128" t="s">
        <v>339</v>
      </c>
      <c r="AI4" s="128" t="s">
        <v>359</v>
      </c>
      <c r="AJ4" s="128" t="s">
        <v>373</v>
      </c>
      <c r="AK4" s="128" t="s">
        <v>383</v>
      </c>
      <c r="AL4" s="128" t="s">
        <v>415</v>
      </c>
      <c r="AM4" s="128" t="s">
        <v>431</v>
      </c>
      <c r="AN4" s="128" t="s">
        <v>432</v>
      </c>
    </row>
    <row r="5" spans="2:40" x14ac:dyDescent="0.3">
      <c r="B5" s="13" t="s">
        <v>0</v>
      </c>
      <c r="C5" s="6" t="s">
        <v>14</v>
      </c>
      <c r="D5" s="10">
        <f>SUM(SOCIOS!$E5:$AN5)</f>
        <v>360</v>
      </c>
      <c r="E5" s="4">
        <v>10</v>
      </c>
      <c r="F5" s="4">
        <v>10</v>
      </c>
      <c r="G5" s="4">
        <v>10</v>
      </c>
      <c r="H5" s="4">
        <v>10</v>
      </c>
      <c r="I5" s="4">
        <v>10</v>
      </c>
      <c r="J5" s="4">
        <v>10</v>
      </c>
      <c r="K5" s="4">
        <v>10</v>
      </c>
      <c r="L5" s="4">
        <v>10</v>
      </c>
      <c r="M5" s="4">
        <v>10</v>
      </c>
      <c r="N5" s="4">
        <v>10</v>
      </c>
      <c r="O5" s="4">
        <v>10</v>
      </c>
      <c r="P5" s="4">
        <v>10</v>
      </c>
      <c r="Q5" s="4">
        <v>10</v>
      </c>
      <c r="R5" s="23">
        <v>10</v>
      </c>
      <c r="S5" s="23">
        <v>10</v>
      </c>
      <c r="T5" s="23">
        <v>10</v>
      </c>
      <c r="U5" s="23">
        <v>10</v>
      </c>
      <c r="V5" s="23">
        <v>10</v>
      </c>
      <c r="W5" s="23">
        <v>10</v>
      </c>
      <c r="X5" s="23">
        <v>10</v>
      </c>
      <c r="Y5" s="23">
        <v>10</v>
      </c>
      <c r="Z5" s="23">
        <v>10</v>
      </c>
      <c r="AA5" s="23">
        <v>10</v>
      </c>
      <c r="AB5" s="23">
        <v>10</v>
      </c>
      <c r="AC5" s="23">
        <v>10</v>
      </c>
      <c r="AD5" s="23">
        <v>10</v>
      </c>
      <c r="AE5" s="23">
        <v>10</v>
      </c>
      <c r="AF5" s="23">
        <v>10</v>
      </c>
      <c r="AG5" s="23">
        <v>10</v>
      </c>
      <c r="AH5" s="23">
        <v>10</v>
      </c>
      <c r="AI5" s="23">
        <v>10</v>
      </c>
      <c r="AJ5" s="23">
        <v>10</v>
      </c>
      <c r="AK5" s="23">
        <v>10</v>
      </c>
      <c r="AL5" s="23">
        <v>10</v>
      </c>
      <c r="AM5" s="23">
        <v>10</v>
      </c>
      <c r="AN5" s="23">
        <v>10</v>
      </c>
    </row>
    <row r="6" spans="2:40" x14ac:dyDescent="0.3">
      <c r="B6" s="13" t="s">
        <v>1</v>
      </c>
      <c r="C6" s="6" t="s">
        <v>15</v>
      </c>
      <c r="D6" s="10">
        <f>SUM(SOCIOS!$E6:$AN6)</f>
        <v>360</v>
      </c>
      <c r="E6" s="4">
        <v>10</v>
      </c>
      <c r="F6" s="4">
        <v>10</v>
      </c>
      <c r="G6" s="4">
        <v>10</v>
      </c>
      <c r="H6" s="4">
        <v>10</v>
      </c>
      <c r="I6" s="4">
        <v>10</v>
      </c>
      <c r="J6" s="4">
        <v>10</v>
      </c>
      <c r="K6" s="4">
        <v>10</v>
      </c>
      <c r="L6" s="4">
        <v>10</v>
      </c>
      <c r="M6" s="4">
        <v>10</v>
      </c>
      <c r="N6" s="4">
        <v>10</v>
      </c>
      <c r="O6" s="4">
        <v>10</v>
      </c>
      <c r="P6" s="4">
        <v>10</v>
      </c>
      <c r="Q6" s="4">
        <v>10</v>
      </c>
      <c r="R6" s="23">
        <v>10</v>
      </c>
      <c r="S6" s="23">
        <v>10</v>
      </c>
      <c r="T6" s="23">
        <v>10</v>
      </c>
      <c r="U6" s="23">
        <v>10</v>
      </c>
      <c r="V6" s="23">
        <v>10</v>
      </c>
      <c r="W6" s="23">
        <v>10</v>
      </c>
      <c r="X6" s="23">
        <v>10</v>
      </c>
      <c r="Y6" s="23">
        <v>10</v>
      </c>
      <c r="Z6" s="23">
        <v>10</v>
      </c>
      <c r="AA6" s="23">
        <v>10</v>
      </c>
      <c r="AB6" s="23">
        <v>10</v>
      </c>
      <c r="AC6" s="23">
        <v>10</v>
      </c>
      <c r="AD6" s="23">
        <v>10</v>
      </c>
      <c r="AE6" s="23">
        <v>10</v>
      </c>
      <c r="AF6" s="23">
        <v>10</v>
      </c>
      <c r="AG6" s="23">
        <v>10</v>
      </c>
      <c r="AH6" s="23">
        <v>10</v>
      </c>
      <c r="AI6" s="23">
        <v>10</v>
      </c>
      <c r="AJ6" s="253">
        <v>10</v>
      </c>
      <c r="AK6" s="23">
        <v>10</v>
      </c>
      <c r="AL6" s="23">
        <v>10</v>
      </c>
      <c r="AM6" s="23">
        <v>10</v>
      </c>
      <c r="AN6" s="23">
        <v>10</v>
      </c>
    </row>
    <row r="7" spans="2:40" x14ac:dyDescent="0.3">
      <c r="B7" s="13" t="s">
        <v>2</v>
      </c>
      <c r="C7" s="6" t="s">
        <v>16</v>
      </c>
      <c r="D7" s="10">
        <f>SUM(SOCIOS!$E7:$AN7)</f>
        <v>360</v>
      </c>
      <c r="E7" s="4">
        <v>10</v>
      </c>
      <c r="F7" s="4">
        <v>10</v>
      </c>
      <c r="G7" s="4">
        <v>10</v>
      </c>
      <c r="H7" s="4">
        <v>10</v>
      </c>
      <c r="I7" s="4">
        <v>10</v>
      </c>
      <c r="J7" s="4">
        <v>10</v>
      </c>
      <c r="K7" s="4">
        <v>10</v>
      </c>
      <c r="L7" s="4">
        <v>10</v>
      </c>
      <c r="M7" s="4">
        <v>10</v>
      </c>
      <c r="N7" s="4">
        <v>10</v>
      </c>
      <c r="O7" s="4">
        <v>10</v>
      </c>
      <c r="P7" s="4">
        <v>10</v>
      </c>
      <c r="Q7" s="4">
        <v>10</v>
      </c>
      <c r="R7" s="23">
        <v>10</v>
      </c>
      <c r="S7" s="23">
        <v>10</v>
      </c>
      <c r="T7" s="23">
        <v>10</v>
      </c>
      <c r="U7" s="23">
        <v>10</v>
      </c>
      <c r="V7" s="23">
        <v>10</v>
      </c>
      <c r="W7" s="23">
        <v>10</v>
      </c>
      <c r="X7" s="23">
        <v>10</v>
      </c>
      <c r="Y7" s="23">
        <v>10</v>
      </c>
      <c r="Z7" s="23">
        <v>10</v>
      </c>
      <c r="AA7" s="23">
        <v>10</v>
      </c>
      <c r="AB7" s="23">
        <v>10</v>
      </c>
      <c r="AC7" s="23">
        <v>10</v>
      </c>
      <c r="AD7" s="23">
        <v>10</v>
      </c>
      <c r="AE7" s="23">
        <v>10</v>
      </c>
      <c r="AF7" s="23">
        <v>10</v>
      </c>
      <c r="AG7" s="23">
        <v>10</v>
      </c>
      <c r="AH7" s="23">
        <v>10</v>
      </c>
      <c r="AI7" s="23">
        <v>10</v>
      </c>
      <c r="AJ7" s="23">
        <v>10</v>
      </c>
      <c r="AK7" s="23">
        <v>10</v>
      </c>
      <c r="AL7" s="23">
        <v>10</v>
      </c>
      <c r="AM7" s="23">
        <v>10</v>
      </c>
      <c r="AN7" s="23">
        <v>10</v>
      </c>
    </row>
    <row r="8" spans="2:40" x14ac:dyDescent="0.3">
      <c r="B8" s="13" t="s">
        <v>3</v>
      </c>
      <c r="C8" s="6" t="s">
        <v>17</v>
      </c>
      <c r="D8" s="10">
        <f>SUM(SOCIOS!$E8:$AN8)</f>
        <v>360</v>
      </c>
      <c r="E8" s="4">
        <v>10</v>
      </c>
      <c r="F8" s="4">
        <v>10</v>
      </c>
      <c r="G8" s="4">
        <v>10</v>
      </c>
      <c r="H8" s="4">
        <v>10</v>
      </c>
      <c r="I8" s="4">
        <v>10</v>
      </c>
      <c r="J8" s="4">
        <v>10</v>
      </c>
      <c r="K8" s="4">
        <v>10</v>
      </c>
      <c r="L8" s="4">
        <v>10</v>
      </c>
      <c r="M8" s="4">
        <v>10</v>
      </c>
      <c r="N8" s="4">
        <v>10</v>
      </c>
      <c r="O8" s="4">
        <v>10</v>
      </c>
      <c r="P8" s="4">
        <v>10</v>
      </c>
      <c r="Q8" s="4">
        <v>10</v>
      </c>
      <c r="R8" s="23">
        <v>10</v>
      </c>
      <c r="S8" s="23">
        <v>10</v>
      </c>
      <c r="T8" s="23">
        <v>10</v>
      </c>
      <c r="U8" s="23">
        <v>10</v>
      </c>
      <c r="V8" s="23">
        <v>10</v>
      </c>
      <c r="W8" s="23">
        <v>10</v>
      </c>
      <c r="X8" s="23">
        <v>10</v>
      </c>
      <c r="Y8" s="23">
        <v>10</v>
      </c>
      <c r="Z8" s="23">
        <v>10</v>
      </c>
      <c r="AA8" s="23">
        <v>10</v>
      </c>
      <c r="AB8" s="23">
        <v>10</v>
      </c>
      <c r="AC8" s="23">
        <v>10</v>
      </c>
      <c r="AD8" s="23">
        <v>10</v>
      </c>
      <c r="AE8" s="23">
        <v>10</v>
      </c>
      <c r="AF8" s="23">
        <v>10</v>
      </c>
      <c r="AG8" s="23">
        <v>10</v>
      </c>
      <c r="AH8" s="23">
        <v>10</v>
      </c>
      <c r="AI8" s="23">
        <v>10</v>
      </c>
      <c r="AJ8" s="23">
        <v>10</v>
      </c>
      <c r="AK8" s="23">
        <v>10</v>
      </c>
      <c r="AL8" s="23">
        <v>10</v>
      </c>
      <c r="AM8" s="23">
        <v>10</v>
      </c>
      <c r="AN8" s="23">
        <v>10</v>
      </c>
    </row>
    <row r="9" spans="2:40" x14ac:dyDescent="0.3">
      <c r="B9" s="13" t="s">
        <v>4</v>
      </c>
      <c r="C9" s="6" t="s">
        <v>18</v>
      </c>
      <c r="D9" s="10">
        <f>SUM(SOCIOS!$E9:$AN9)</f>
        <v>360</v>
      </c>
      <c r="E9" s="4">
        <v>10</v>
      </c>
      <c r="F9" s="4">
        <v>10</v>
      </c>
      <c r="G9" s="4">
        <v>10</v>
      </c>
      <c r="H9" s="4">
        <v>10</v>
      </c>
      <c r="I9" s="4">
        <v>10</v>
      </c>
      <c r="J9" s="4">
        <v>10</v>
      </c>
      <c r="K9" s="4">
        <v>10</v>
      </c>
      <c r="L9" s="4">
        <v>10</v>
      </c>
      <c r="M9" s="4">
        <v>10</v>
      </c>
      <c r="N9" s="4">
        <v>10</v>
      </c>
      <c r="O9" s="4">
        <v>10</v>
      </c>
      <c r="P9" s="4">
        <v>10</v>
      </c>
      <c r="Q9" s="4">
        <v>10</v>
      </c>
      <c r="R9" s="23">
        <v>10</v>
      </c>
      <c r="S9" s="23">
        <v>10</v>
      </c>
      <c r="T9" s="23">
        <v>10</v>
      </c>
      <c r="U9" s="23">
        <v>10</v>
      </c>
      <c r="V9" s="23">
        <v>10</v>
      </c>
      <c r="W9" s="23">
        <v>10</v>
      </c>
      <c r="X9" s="23">
        <v>10</v>
      </c>
      <c r="Y9" s="23">
        <v>10</v>
      </c>
      <c r="Z9" s="23">
        <v>10</v>
      </c>
      <c r="AA9" s="23">
        <v>10</v>
      </c>
      <c r="AB9" s="23">
        <v>10</v>
      </c>
      <c r="AC9" s="23">
        <v>10</v>
      </c>
      <c r="AD9" s="23">
        <v>10</v>
      </c>
      <c r="AE9" s="23">
        <v>10</v>
      </c>
      <c r="AF9" s="23">
        <v>10</v>
      </c>
      <c r="AG9" s="23">
        <v>10</v>
      </c>
      <c r="AH9" s="23">
        <v>10</v>
      </c>
      <c r="AI9" s="23">
        <v>10</v>
      </c>
      <c r="AJ9" s="23">
        <v>10</v>
      </c>
      <c r="AK9" s="23">
        <v>10</v>
      </c>
      <c r="AL9" s="23">
        <v>10</v>
      </c>
      <c r="AM9" s="23">
        <v>10</v>
      </c>
      <c r="AN9" s="23">
        <v>10</v>
      </c>
    </row>
    <row r="10" spans="2:40" x14ac:dyDescent="0.3">
      <c r="B10" s="13" t="s">
        <v>5</v>
      </c>
      <c r="C10" s="6" t="s">
        <v>19</v>
      </c>
      <c r="D10" s="10">
        <f>SUM(SOCIOS!$E10:$AN10)</f>
        <v>360</v>
      </c>
      <c r="E10" s="4">
        <v>10</v>
      </c>
      <c r="F10" s="4">
        <v>10</v>
      </c>
      <c r="G10" s="4">
        <v>10</v>
      </c>
      <c r="H10" s="4">
        <v>10</v>
      </c>
      <c r="I10" s="4">
        <v>10</v>
      </c>
      <c r="J10" s="4">
        <v>10</v>
      </c>
      <c r="K10" s="4">
        <v>10</v>
      </c>
      <c r="L10" s="4">
        <v>10</v>
      </c>
      <c r="M10" s="4">
        <v>10</v>
      </c>
      <c r="N10" s="4">
        <v>10</v>
      </c>
      <c r="O10" s="4">
        <v>10</v>
      </c>
      <c r="P10" s="4">
        <v>10</v>
      </c>
      <c r="Q10" s="4">
        <v>10</v>
      </c>
      <c r="R10" s="23">
        <v>10</v>
      </c>
      <c r="S10" s="23">
        <v>10</v>
      </c>
      <c r="T10" s="23">
        <v>10</v>
      </c>
      <c r="U10" s="23">
        <v>10</v>
      </c>
      <c r="V10" s="23">
        <v>10</v>
      </c>
      <c r="W10" s="23">
        <v>10</v>
      </c>
      <c r="X10" s="23">
        <v>10</v>
      </c>
      <c r="Y10" s="23">
        <v>10</v>
      </c>
      <c r="Z10" s="23">
        <v>10</v>
      </c>
      <c r="AA10" s="23">
        <v>10</v>
      </c>
      <c r="AB10" s="23">
        <v>10</v>
      </c>
      <c r="AC10" s="23">
        <v>10</v>
      </c>
      <c r="AD10" s="23">
        <v>10</v>
      </c>
      <c r="AE10" s="23">
        <v>10</v>
      </c>
      <c r="AF10" s="23">
        <v>10</v>
      </c>
      <c r="AG10" s="23">
        <v>10</v>
      </c>
      <c r="AH10" s="23">
        <v>10</v>
      </c>
      <c r="AI10" s="23">
        <v>10</v>
      </c>
      <c r="AJ10" s="23">
        <v>10</v>
      </c>
      <c r="AK10" s="23">
        <v>10</v>
      </c>
      <c r="AL10" s="23">
        <v>10</v>
      </c>
      <c r="AM10" s="23">
        <v>10</v>
      </c>
      <c r="AN10" s="23">
        <v>10</v>
      </c>
    </row>
    <row r="11" spans="2:40" x14ac:dyDescent="0.3">
      <c r="B11" s="13" t="s">
        <v>6</v>
      </c>
      <c r="C11" s="6" t="s">
        <v>20</v>
      </c>
      <c r="D11" s="10">
        <f>SUM(SOCIOS!$E11:$AN11)</f>
        <v>360</v>
      </c>
      <c r="E11" s="4">
        <v>10</v>
      </c>
      <c r="F11" s="4">
        <v>10</v>
      </c>
      <c r="G11" s="4">
        <v>10</v>
      </c>
      <c r="H11" s="4">
        <v>10</v>
      </c>
      <c r="I11" s="4">
        <v>10</v>
      </c>
      <c r="J11" s="4">
        <v>10</v>
      </c>
      <c r="K11" s="4">
        <v>10</v>
      </c>
      <c r="L11" s="4">
        <v>10</v>
      </c>
      <c r="M11" s="4">
        <v>10</v>
      </c>
      <c r="N11" s="4">
        <v>10</v>
      </c>
      <c r="O11" s="4">
        <v>10</v>
      </c>
      <c r="P11" s="4">
        <v>10</v>
      </c>
      <c r="Q11" s="4">
        <v>10</v>
      </c>
      <c r="R11" s="23">
        <v>10</v>
      </c>
      <c r="S11" s="23">
        <v>10</v>
      </c>
      <c r="T11" s="23">
        <v>10</v>
      </c>
      <c r="U11" s="23">
        <v>10</v>
      </c>
      <c r="V11" s="23">
        <v>10</v>
      </c>
      <c r="W11" s="23">
        <v>10</v>
      </c>
      <c r="X11" s="23">
        <v>10</v>
      </c>
      <c r="Y11" s="23">
        <v>10</v>
      </c>
      <c r="Z11" s="23">
        <v>10</v>
      </c>
      <c r="AA11" s="23">
        <v>10</v>
      </c>
      <c r="AB11" s="23">
        <v>10</v>
      </c>
      <c r="AC11" s="23">
        <v>10</v>
      </c>
      <c r="AD11" s="23">
        <v>10</v>
      </c>
      <c r="AE11" s="23">
        <v>10</v>
      </c>
      <c r="AF11" s="23">
        <v>10</v>
      </c>
      <c r="AG11" s="23">
        <v>10</v>
      </c>
      <c r="AH11" s="23">
        <v>10</v>
      </c>
      <c r="AI11" s="23">
        <v>10</v>
      </c>
      <c r="AJ11" s="23">
        <v>10</v>
      </c>
      <c r="AK11" s="23">
        <v>10</v>
      </c>
      <c r="AL11" s="23">
        <v>10</v>
      </c>
      <c r="AM11" s="23">
        <v>10</v>
      </c>
      <c r="AN11" s="23">
        <v>10</v>
      </c>
    </row>
    <row r="12" spans="2:40" x14ac:dyDescent="0.3">
      <c r="B12" s="13" t="s">
        <v>7</v>
      </c>
      <c r="C12" s="6" t="s">
        <v>21</v>
      </c>
      <c r="D12" s="10">
        <f>SUM(SOCIOS!$E12:$AN12)</f>
        <v>360</v>
      </c>
      <c r="E12" s="4">
        <v>10</v>
      </c>
      <c r="F12" s="4">
        <v>10</v>
      </c>
      <c r="G12" s="4">
        <v>10</v>
      </c>
      <c r="H12" s="4">
        <v>10</v>
      </c>
      <c r="I12" s="4">
        <v>10</v>
      </c>
      <c r="J12" s="4">
        <v>10</v>
      </c>
      <c r="K12" s="4">
        <v>10</v>
      </c>
      <c r="L12" s="4">
        <v>10</v>
      </c>
      <c r="M12" s="4">
        <v>10</v>
      </c>
      <c r="N12" s="4">
        <v>10</v>
      </c>
      <c r="O12" s="4">
        <v>10</v>
      </c>
      <c r="P12" s="4">
        <v>10</v>
      </c>
      <c r="Q12" s="4">
        <v>10</v>
      </c>
      <c r="R12" s="23">
        <v>10</v>
      </c>
      <c r="S12" s="23">
        <v>10</v>
      </c>
      <c r="T12" s="23">
        <v>10</v>
      </c>
      <c r="U12" s="23">
        <v>10</v>
      </c>
      <c r="V12" s="23">
        <v>10</v>
      </c>
      <c r="W12" s="23">
        <v>10</v>
      </c>
      <c r="X12" s="23">
        <v>10</v>
      </c>
      <c r="Y12" s="23">
        <v>10</v>
      </c>
      <c r="Z12" s="23">
        <v>10</v>
      </c>
      <c r="AA12" s="23">
        <v>10</v>
      </c>
      <c r="AB12" s="23">
        <v>10</v>
      </c>
      <c r="AC12" s="23">
        <v>10</v>
      </c>
      <c r="AD12" s="23">
        <v>10</v>
      </c>
      <c r="AE12" s="23">
        <v>10</v>
      </c>
      <c r="AF12" s="23">
        <v>10</v>
      </c>
      <c r="AG12" s="23">
        <v>10</v>
      </c>
      <c r="AH12" s="23">
        <v>10</v>
      </c>
      <c r="AI12" s="23">
        <v>10</v>
      </c>
      <c r="AJ12" s="23">
        <v>10</v>
      </c>
      <c r="AK12" s="23">
        <v>10</v>
      </c>
      <c r="AL12" s="23">
        <v>10</v>
      </c>
      <c r="AM12" s="23">
        <v>10</v>
      </c>
      <c r="AN12" s="23">
        <v>10</v>
      </c>
    </row>
    <row r="13" spans="2:40" x14ac:dyDescent="0.3">
      <c r="B13" s="13" t="s">
        <v>8</v>
      </c>
      <c r="C13" s="6" t="s">
        <v>22</v>
      </c>
      <c r="D13" s="10">
        <f>SUM(SOCIOS!$E13:$AN13)</f>
        <v>360</v>
      </c>
      <c r="E13" s="4">
        <v>10</v>
      </c>
      <c r="F13" s="4">
        <v>10</v>
      </c>
      <c r="G13" s="4">
        <v>10</v>
      </c>
      <c r="H13" s="4">
        <v>10</v>
      </c>
      <c r="I13" s="4">
        <v>10</v>
      </c>
      <c r="J13" s="4">
        <v>10</v>
      </c>
      <c r="K13" s="4">
        <v>10</v>
      </c>
      <c r="L13" s="4">
        <v>10</v>
      </c>
      <c r="M13" s="4">
        <v>10</v>
      </c>
      <c r="N13" s="4">
        <v>10</v>
      </c>
      <c r="O13" s="4">
        <v>10</v>
      </c>
      <c r="P13" s="4">
        <v>10</v>
      </c>
      <c r="Q13" s="4">
        <v>10</v>
      </c>
      <c r="R13" s="23">
        <v>10</v>
      </c>
      <c r="S13" s="23">
        <v>10</v>
      </c>
      <c r="T13" s="23">
        <v>10</v>
      </c>
      <c r="U13" s="23">
        <v>10</v>
      </c>
      <c r="V13" s="23">
        <v>10</v>
      </c>
      <c r="W13" s="23">
        <v>10</v>
      </c>
      <c r="X13" s="23">
        <v>10</v>
      </c>
      <c r="Y13" s="23">
        <v>10</v>
      </c>
      <c r="Z13" s="23">
        <v>10</v>
      </c>
      <c r="AA13" s="23">
        <v>10</v>
      </c>
      <c r="AB13" s="23">
        <v>10</v>
      </c>
      <c r="AC13" s="23">
        <v>10</v>
      </c>
      <c r="AD13" s="23">
        <v>10</v>
      </c>
      <c r="AE13" s="23">
        <v>10</v>
      </c>
      <c r="AF13" s="23">
        <v>10</v>
      </c>
      <c r="AG13" s="23">
        <v>10</v>
      </c>
      <c r="AH13" s="23">
        <v>10</v>
      </c>
      <c r="AI13" s="23">
        <v>10</v>
      </c>
      <c r="AJ13" s="23">
        <v>10</v>
      </c>
      <c r="AK13" s="23">
        <v>10</v>
      </c>
      <c r="AL13" s="23">
        <v>10</v>
      </c>
      <c r="AM13" s="23">
        <v>10</v>
      </c>
      <c r="AN13" s="23">
        <v>10</v>
      </c>
    </row>
    <row r="14" spans="2:40" x14ac:dyDescent="0.3">
      <c r="B14" s="13" t="s">
        <v>9</v>
      </c>
      <c r="C14" s="6" t="s">
        <v>23</v>
      </c>
      <c r="D14" s="10">
        <f>SUM(SOCIOS!$E14:$AN14)</f>
        <v>360</v>
      </c>
      <c r="E14" s="4">
        <v>10</v>
      </c>
      <c r="F14" s="4">
        <v>10</v>
      </c>
      <c r="G14" s="4">
        <v>10</v>
      </c>
      <c r="H14" s="4">
        <v>10</v>
      </c>
      <c r="I14" s="4">
        <v>10</v>
      </c>
      <c r="J14" s="4">
        <v>10</v>
      </c>
      <c r="K14" s="4">
        <v>10</v>
      </c>
      <c r="L14" s="4">
        <v>10</v>
      </c>
      <c r="M14" s="4">
        <v>10</v>
      </c>
      <c r="N14" s="4">
        <v>10</v>
      </c>
      <c r="O14" s="4">
        <v>10</v>
      </c>
      <c r="P14" s="4">
        <v>10</v>
      </c>
      <c r="Q14" s="4">
        <v>10</v>
      </c>
      <c r="R14" s="23">
        <v>10</v>
      </c>
      <c r="S14" s="23">
        <v>10</v>
      </c>
      <c r="T14" s="23">
        <v>10</v>
      </c>
      <c r="U14" s="23">
        <v>10</v>
      </c>
      <c r="V14" s="23">
        <v>10</v>
      </c>
      <c r="W14" s="23">
        <v>10</v>
      </c>
      <c r="X14" s="23">
        <v>10</v>
      </c>
      <c r="Y14" s="23">
        <v>10</v>
      </c>
      <c r="Z14" s="23">
        <v>10</v>
      </c>
      <c r="AA14" s="23">
        <v>10</v>
      </c>
      <c r="AB14" s="23">
        <v>10</v>
      </c>
      <c r="AC14" s="23">
        <v>10</v>
      </c>
      <c r="AD14" s="23">
        <v>10</v>
      </c>
      <c r="AE14" s="23">
        <v>10</v>
      </c>
      <c r="AF14" s="23">
        <v>10</v>
      </c>
      <c r="AG14" s="23">
        <v>10</v>
      </c>
      <c r="AH14" s="23">
        <v>10</v>
      </c>
      <c r="AI14" s="23">
        <v>10</v>
      </c>
      <c r="AJ14" s="23">
        <v>10</v>
      </c>
      <c r="AK14" s="23">
        <v>10</v>
      </c>
      <c r="AL14" s="23">
        <v>10</v>
      </c>
      <c r="AM14" s="23">
        <v>10</v>
      </c>
      <c r="AN14" s="23">
        <v>10</v>
      </c>
    </row>
    <row r="15" spans="2:40" x14ac:dyDescent="0.3">
      <c r="B15" s="13" t="s">
        <v>10</v>
      </c>
      <c r="C15" s="6" t="s">
        <v>24</v>
      </c>
      <c r="D15" s="10">
        <f>SUM(SOCIOS!$E15:$AN15)</f>
        <v>360</v>
      </c>
      <c r="E15" s="4">
        <v>10</v>
      </c>
      <c r="F15" s="4">
        <v>10</v>
      </c>
      <c r="G15" s="4">
        <v>10</v>
      </c>
      <c r="H15" s="4">
        <v>10</v>
      </c>
      <c r="I15" s="4">
        <v>10</v>
      </c>
      <c r="J15" s="4">
        <v>10</v>
      </c>
      <c r="K15" s="4">
        <v>10</v>
      </c>
      <c r="L15" s="4">
        <v>10</v>
      </c>
      <c r="M15" s="4">
        <v>10</v>
      </c>
      <c r="N15" s="4">
        <v>10</v>
      </c>
      <c r="O15" s="4">
        <v>10</v>
      </c>
      <c r="P15" s="4">
        <v>10</v>
      </c>
      <c r="Q15" s="4">
        <v>10</v>
      </c>
      <c r="R15" s="23">
        <v>10</v>
      </c>
      <c r="S15" s="23">
        <v>10</v>
      </c>
      <c r="T15" s="23">
        <v>10</v>
      </c>
      <c r="U15" s="23">
        <v>10</v>
      </c>
      <c r="V15" s="23">
        <v>10</v>
      </c>
      <c r="W15" s="23">
        <v>10</v>
      </c>
      <c r="X15" s="23">
        <v>10</v>
      </c>
      <c r="Y15" s="23">
        <v>10</v>
      </c>
      <c r="Z15" s="23">
        <v>10</v>
      </c>
      <c r="AA15" s="23">
        <v>10</v>
      </c>
      <c r="AB15" s="23">
        <v>10</v>
      </c>
      <c r="AC15" s="23">
        <v>10</v>
      </c>
      <c r="AD15" s="23">
        <v>10</v>
      </c>
      <c r="AE15" s="23">
        <v>10</v>
      </c>
      <c r="AF15" s="23">
        <v>10</v>
      </c>
      <c r="AG15" s="23">
        <v>10</v>
      </c>
      <c r="AH15" s="23">
        <v>10</v>
      </c>
      <c r="AI15" s="23">
        <v>10</v>
      </c>
      <c r="AJ15" s="23">
        <v>10</v>
      </c>
      <c r="AK15" s="23">
        <v>10</v>
      </c>
      <c r="AL15" s="23">
        <v>10</v>
      </c>
      <c r="AM15" s="23">
        <v>10</v>
      </c>
      <c r="AN15" s="23">
        <v>10</v>
      </c>
    </row>
    <row r="16" spans="2:40" x14ac:dyDescent="0.3">
      <c r="B16" s="13" t="s">
        <v>11</v>
      </c>
      <c r="C16" s="6" t="s">
        <v>25</v>
      </c>
      <c r="D16" s="10">
        <f>SUM(SOCIOS!$E16:$AN16)</f>
        <v>360</v>
      </c>
      <c r="E16" s="4">
        <v>10</v>
      </c>
      <c r="F16" s="4">
        <v>10</v>
      </c>
      <c r="G16" s="4">
        <v>10</v>
      </c>
      <c r="H16" s="4">
        <v>10</v>
      </c>
      <c r="I16" s="4">
        <v>10</v>
      </c>
      <c r="J16" s="4">
        <v>10</v>
      </c>
      <c r="K16" s="4">
        <v>10</v>
      </c>
      <c r="L16" s="4">
        <v>10</v>
      </c>
      <c r="M16" s="4">
        <v>10</v>
      </c>
      <c r="N16" s="4">
        <v>10</v>
      </c>
      <c r="O16" s="4">
        <v>10</v>
      </c>
      <c r="P16" s="4">
        <v>10</v>
      </c>
      <c r="Q16" s="4">
        <v>10</v>
      </c>
      <c r="R16" s="23">
        <v>10</v>
      </c>
      <c r="S16" s="23">
        <v>10</v>
      </c>
      <c r="T16" s="23">
        <v>10</v>
      </c>
      <c r="U16" s="23">
        <v>10</v>
      </c>
      <c r="V16" s="23">
        <v>10</v>
      </c>
      <c r="W16" s="23">
        <v>10</v>
      </c>
      <c r="X16" s="23">
        <v>10</v>
      </c>
      <c r="Y16" s="23">
        <v>10</v>
      </c>
      <c r="Z16" s="23">
        <v>10</v>
      </c>
      <c r="AA16" s="23">
        <v>10</v>
      </c>
      <c r="AB16" s="23">
        <v>10</v>
      </c>
      <c r="AC16" s="23">
        <v>10</v>
      </c>
      <c r="AD16" s="23">
        <v>10</v>
      </c>
      <c r="AE16" s="23">
        <v>10</v>
      </c>
      <c r="AF16" s="23">
        <v>10</v>
      </c>
      <c r="AG16" s="23">
        <v>10</v>
      </c>
      <c r="AH16" s="23">
        <v>10</v>
      </c>
      <c r="AI16" s="23">
        <v>10</v>
      </c>
      <c r="AJ16" s="23">
        <v>10</v>
      </c>
      <c r="AK16" s="23">
        <v>10</v>
      </c>
      <c r="AL16" s="23">
        <v>10</v>
      </c>
      <c r="AM16" s="23">
        <v>10</v>
      </c>
      <c r="AN16" s="23">
        <v>10</v>
      </c>
    </row>
    <row r="17" spans="1:40" x14ac:dyDescent="0.3">
      <c r="B17" s="13" t="s">
        <v>12</v>
      </c>
      <c r="C17" s="6" t="s">
        <v>26</v>
      </c>
      <c r="D17" s="10">
        <f>SUM(SOCIOS!$E17:$AN17)</f>
        <v>360</v>
      </c>
      <c r="E17" s="4">
        <v>10</v>
      </c>
      <c r="F17" s="4">
        <v>10</v>
      </c>
      <c r="G17" s="4">
        <v>10</v>
      </c>
      <c r="H17" s="4">
        <v>10</v>
      </c>
      <c r="I17" s="4">
        <v>10</v>
      </c>
      <c r="J17" s="4">
        <v>10</v>
      </c>
      <c r="K17" s="4">
        <v>10</v>
      </c>
      <c r="L17" s="4">
        <v>10</v>
      </c>
      <c r="M17" s="4">
        <v>10</v>
      </c>
      <c r="N17" s="4">
        <v>10</v>
      </c>
      <c r="O17" s="4">
        <v>10</v>
      </c>
      <c r="P17" s="4">
        <v>10</v>
      </c>
      <c r="Q17" s="4">
        <v>10</v>
      </c>
      <c r="R17" s="23">
        <v>10</v>
      </c>
      <c r="S17" s="23">
        <v>10</v>
      </c>
      <c r="T17" s="23">
        <v>10</v>
      </c>
      <c r="U17" s="23">
        <v>10</v>
      </c>
      <c r="V17" s="23">
        <v>10</v>
      </c>
      <c r="W17" s="23">
        <v>10</v>
      </c>
      <c r="X17" s="23">
        <v>10</v>
      </c>
      <c r="Y17" s="23">
        <v>10</v>
      </c>
      <c r="Z17" s="23">
        <v>10</v>
      </c>
      <c r="AA17" s="23">
        <v>10</v>
      </c>
      <c r="AB17" s="23">
        <v>10</v>
      </c>
      <c r="AC17" s="23">
        <v>10</v>
      </c>
      <c r="AD17" s="23">
        <v>10</v>
      </c>
      <c r="AE17" s="23">
        <v>10</v>
      </c>
      <c r="AF17" s="23">
        <v>10</v>
      </c>
      <c r="AG17" s="23">
        <v>10</v>
      </c>
      <c r="AH17" s="23">
        <v>10</v>
      </c>
      <c r="AI17" s="23">
        <v>10</v>
      </c>
      <c r="AJ17" s="23">
        <v>10</v>
      </c>
      <c r="AK17" s="23">
        <v>10</v>
      </c>
      <c r="AL17" s="23">
        <v>10</v>
      </c>
      <c r="AM17" s="23">
        <v>10</v>
      </c>
      <c r="AN17" s="23">
        <v>10</v>
      </c>
    </row>
    <row r="18" spans="1:40" x14ac:dyDescent="0.3">
      <c r="B18" s="273" t="s">
        <v>176</v>
      </c>
      <c r="C18" s="274" t="s">
        <v>389</v>
      </c>
      <c r="D18" s="10">
        <f>SUM(SOCIOS!$E18:$AN18)</f>
        <v>360</v>
      </c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>
        <v>330</v>
      </c>
      <c r="AL18" s="23">
        <v>10</v>
      </c>
      <c r="AM18" s="23">
        <v>10</v>
      </c>
      <c r="AN18" s="23">
        <v>10</v>
      </c>
    </row>
    <row r="19" spans="1:40" x14ac:dyDescent="0.3">
      <c r="B19" s="273" t="s">
        <v>178</v>
      </c>
      <c r="C19" s="274" t="s">
        <v>390</v>
      </c>
      <c r="D19" s="10">
        <f>SUM(SOCIOS!$E19:$AN19)</f>
        <v>360</v>
      </c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>
        <v>80</v>
      </c>
      <c r="AL19" s="23">
        <v>220</v>
      </c>
      <c r="AM19" s="23">
        <v>10</v>
      </c>
      <c r="AN19" s="23">
        <f>10+40</f>
        <v>50</v>
      </c>
    </row>
    <row r="20" spans="1:40" x14ac:dyDescent="0.3">
      <c r="B20" s="273" t="s">
        <v>177</v>
      </c>
      <c r="C20" s="274" t="s">
        <v>391</v>
      </c>
      <c r="D20" s="10">
        <f>SUM(SOCIOS!$E20:$AN20)</f>
        <v>360</v>
      </c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>
        <v>110</v>
      </c>
      <c r="AL20" s="23">
        <v>120</v>
      </c>
      <c r="AM20" s="23">
        <v>10</v>
      </c>
      <c r="AN20" s="23">
        <f>10+110</f>
        <v>120</v>
      </c>
    </row>
    <row r="21" spans="1:40" x14ac:dyDescent="0.3">
      <c r="B21" s="273" t="s">
        <v>179</v>
      </c>
      <c r="C21" s="274" t="s">
        <v>394</v>
      </c>
      <c r="D21" s="10">
        <f>SUM(SOCIOS!$E21:$AN21)</f>
        <v>0</v>
      </c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23"/>
      <c r="AM21" s="23"/>
      <c r="AN21" s="23"/>
    </row>
    <row r="22" spans="1:40" x14ac:dyDescent="0.3">
      <c r="B22" s="1"/>
      <c r="C22" s="9" t="s">
        <v>27</v>
      </c>
      <c r="D22" s="3">
        <f>SUM(D5:D21)</f>
        <v>5760</v>
      </c>
      <c r="E22" s="3">
        <f>SUM(SOCIOS!E5:E21)</f>
        <v>130</v>
      </c>
      <c r="F22" s="3">
        <f>SUM(SOCIOS!F5:F21)</f>
        <v>130</v>
      </c>
      <c r="G22" s="3">
        <f>SUM(SOCIOS!G5:G21)</f>
        <v>130</v>
      </c>
      <c r="H22" s="3">
        <f>SUM(SOCIOS!H5:H21)</f>
        <v>130</v>
      </c>
      <c r="I22" s="3">
        <f>SUM(SOCIOS!I5:I21)</f>
        <v>130</v>
      </c>
      <c r="J22" s="3">
        <f>SUM(SOCIOS!J5:J21)</f>
        <v>130</v>
      </c>
      <c r="K22" s="3">
        <f>SUM(SOCIOS!K5:K21)</f>
        <v>130</v>
      </c>
      <c r="L22" s="3">
        <f>SUM(SOCIOS!L5:L21)</f>
        <v>130</v>
      </c>
      <c r="M22" s="3">
        <f>SUM(SOCIOS!M5:M21)</f>
        <v>130</v>
      </c>
      <c r="N22" s="3">
        <f>SUM(SOCIOS!N5:N21)</f>
        <v>130</v>
      </c>
      <c r="O22" s="3">
        <f>SUM(SOCIOS!O5:O21)</f>
        <v>130</v>
      </c>
      <c r="P22" s="3">
        <f>SUM(SOCIOS!P5:P21)</f>
        <v>130</v>
      </c>
      <c r="Q22" s="3">
        <f>SUM(SOCIOS!Q5:Q21)</f>
        <v>130</v>
      </c>
      <c r="R22" s="3">
        <f>SUM(SOCIOS!R5:R21)</f>
        <v>130</v>
      </c>
      <c r="S22" s="3">
        <f>SUM(SOCIOS!S5:S21)</f>
        <v>130</v>
      </c>
      <c r="T22" s="3">
        <f>SUM(SOCIOS!T5:T21)</f>
        <v>130</v>
      </c>
      <c r="U22" s="3">
        <f>SUM(SOCIOS!U5:U21)</f>
        <v>130</v>
      </c>
      <c r="V22" s="3">
        <f>SUM(SOCIOS!V5:V21)</f>
        <v>130</v>
      </c>
      <c r="W22" s="3">
        <f>SUM(SOCIOS!W5:W21)</f>
        <v>130</v>
      </c>
      <c r="X22" s="3">
        <f>SUM(SOCIOS!X5:X21)</f>
        <v>130</v>
      </c>
      <c r="Y22" s="3">
        <f>SUM(SOCIOS!Y5:Y21)</f>
        <v>130</v>
      </c>
      <c r="Z22" s="3">
        <f>SUM(SOCIOS!Z5:Z21)</f>
        <v>130</v>
      </c>
      <c r="AA22" s="3">
        <f>SUM(SOCIOS!AA5:AA21)</f>
        <v>130</v>
      </c>
      <c r="AB22" s="3">
        <f>SUM(SOCIOS!AB5:AB21)</f>
        <v>130</v>
      </c>
      <c r="AC22" s="3">
        <f>SUM(SOCIOS!AC5:AC21)</f>
        <v>130</v>
      </c>
      <c r="AD22" s="3">
        <f>SUM(SOCIOS!AD5:AD21)</f>
        <v>130</v>
      </c>
      <c r="AE22" s="3">
        <f>SUM(SOCIOS!AE5:AE21)</f>
        <v>130</v>
      </c>
      <c r="AF22" s="3">
        <f>SUM(SOCIOS!AF5:AF21)</f>
        <v>130</v>
      </c>
      <c r="AG22" s="3">
        <f>SUM(SOCIOS!AG5:AG21)</f>
        <v>130</v>
      </c>
      <c r="AH22" s="3">
        <f>SUM(SOCIOS!AH5:AH21)</f>
        <v>130</v>
      </c>
      <c r="AI22" s="3">
        <f>SUM(SOCIOS!AI5:AI21)</f>
        <v>130</v>
      </c>
      <c r="AJ22" s="3">
        <f>SUM(SOCIOS!AJ5:AJ21)</f>
        <v>130</v>
      </c>
      <c r="AK22" s="3">
        <f>SUM(SOCIOS!AK5:AK21)</f>
        <v>650</v>
      </c>
      <c r="AL22" s="3">
        <f>SUM(SOCIOS!AL5:AL21)</f>
        <v>480</v>
      </c>
      <c r="AM22" s="3">
        <f>SUM(SOCIOS!AM5:AM21)</f>
        <v>160</v>
      </c>
      <c r="AN22" s="3">
        <f>SUM(SOCIOS!AN5:AN21)</f>
        <v>310</v>
      </c>
    </row>
    <row r="23" spans="1:40" x14ac:dyDescent="0.3">
      <c r="B23" s="1"/>
      <c r="D23" s="22"/>
    </row>
    <row r="24" spans="1:40" x14ac:dyDescent="0.3">
      <c r="A24" s="201"/>
      <c r="B24" s="203" t="s">
        <v>48</v>
      </c>
      <c r="C24" s="202" t="s">
        <v>50</v>
      </c>
      <c r="D24" s="202" t="s">
        <v>73</v>
      </c>
    </row>
    <row r="25" spans="1:40" x14ac:dyDescent="0.3">
      <c r="B25" s="204">
        <f>ROW()-ROW(APORTACIONESOCIOS[[#Headers],['#]])</f>
        <v>1</v>
      </c>
      <c r="C25" s="205">
        <f>E$3</f>
        <v>44788</v>
      </c>
      <c r="D25" s="22">
        <f t="shared" ref="D25:D49" si="0">$E$22</f>
        <v>130</v>
      </c>
    </row>
    <row r="26" spans="1:40" x14ac:dyDescent="0.3">
      <c r="B26" s="204">
        <f>ROW()-ROW(APORTACIONESOCIOS[[#Headers],['#]])</f>
        <v>2</v>
      </c>
      <c r="C26" s="205">
        <v>44819</v>
      </c>
      <c r="D26" s="22">
        <f t="shared" si="0"/>
        <v>130</v>
      </c>
    </row>
    <row r="27" spans="1:40" x14ac:dyDescent="0.3">
      <c r="B27" s="204">
        <f>ROW()-ROW(APORTACIONESOCIOS[[#Headers],['#]])</f>
        <v>3</v>
      </c>
      <c r="C27" s="205">
        <v>44849</v>
      </c>
      <c r="D27" s="22">
        <f t="shared" si="0"/>
        <v>130</v>
      </c>
    </row>
    <row r="28" spans="1:40" x14ac:dyDescent="0.3">
      <c r="B28" s="204">
        <f>ROW()-ROW(APORTACIONESOCIOS[[#Headers],['#]])</f>
        <v>4</v>
      </c>
      <c r="C28" s="205">
        <v>44880</v>
      </c>
      <c r="D28" s="22">
        <f t="shared" si="0"/>
        <v>130</v>
      </c>
    </row>
    <row r="29" spans="1:40" x14ac:dyDescent="0.3">
      <c r="B29" s="204">
        <f>ROW()-ROW(APORTACIONESOCIOS[[#Headers],['#]])</f>
        <v>5</v>
      </c>
      <c r="C29" s="205">
        <v>44910</v>
      </c>
      <c r="D29" s="22">
        <f t="shared" si="0"/>
        <v>130</v>
      </c>
    </row>
    <row r="30" spans="1:40" x14ac:dyDescent="0.3">
      <c r="B30" s="204">
        <f>ROW()-ROW(APORTACIONESOCIOS[[#Headers],['#]])</f>
        <v>6</v>
      </c>
      <c r="C30" s="205">
        <v>44941</v>
      </c>
      <c r="D30" s="22">
        <f t="shared" si="0"/>
        <v>130</v>
      </c>
    </row>
    <row r="31" spans="1:40" x14ac:dyDescent="0.3">
      <c r="B31" s="204">
        <f>ROW()-ROW(APORTACIONESOCIOS[[#Headers],['#]])</f>
        <v>7</v>
      </c>
      <c r="C31" s="205">
        <v>44972</v>
      </c>
      <c r="D31" s="22">
        <f t="shared" si="0"/>
        <v>130</v>
      </c>
    </row>
    <row r="32" spans="1:40" x14ac:dyDescent="0.3">
      <c r="B32" s="204">
        <f>ROW()-ROW(APORTACIONESOCIOS[[#Headers],['#]])</f>
        <v>8</v>
      </c>
      <c r="C32" s="205">
        <v>45000</v>
      </c>
      <c r="D32" s="22">
        <f t="shared" si="0"/>
        <v>130</v>
      </c>
    </row>
    <row r="33" spans="2:4" x14ac:dyDescent="0.3">
      <c r="B33" s="204">
        <f>ROW()-ROW(APORTACIONESOCIOS[[#Headers],['#]])</f>
        <v>9</v>
      </c>
      <c r="C33" s="205">
        <v>45031</v>
      </c>
      <c r="D33" s="22">
        <f t="shared" si="0"/>
        <v>130</v>
      </c>
    </row>
    <row r="34" spans="2:4" x14ac:dyDescent="0.3">
      <c r="B34" s="204">
        <f>ROW()-ROW(APORTACIONESOCIOS[[#Headers],['#]])</f>
        <v>10</v>
      </c>
      <c r="C34" s="205">
        <v>45061</v>
      </c>
      <c r="D34" s="22">
        <f t="shared" si="0"/>
        <v>130</v>
      </c>
    </row>
    <row r="35" spans="2:4" x14ac:dyDescent="0.3">
      <c r="B35" s="204">
        <f>ROW()-ROW(APORTACIONESOCIOS[[#Headers],['#]])</f>
        <v>11</v>
      </c>
      <c r="C35" s="205">
        <v>45092</v>
      </c>
      <c r="D35" s="22">
        <f t="shared" si="0"/>
        <v>130</v>
      </c>
    </row>
    <row r="36" spans="2:4" x14ac:dyDescent="0.3">
      <c r="B36" s="204">
        <f>ROW()-ROW(APORTACIONESOCIOS[[#Headers],['#]])</f>
        <v>12</v>
      </c>
      <c r="C36" s="205">
        <v>45122</v>
      </c>
      <c r="D36" s="22">
        <f t="shared" si="0"/>
        <v>130</v>
      </c>
    </row>
    <row r="37" spans="2:4" x14ac:dyDescent="0.3">
      <c r="B37" s="204">
        <f>ROW()-ROW(APORTACIONESOCIOS[[#Headers],['#]])</f>
        <v>13</v>
      </c>
      <c r="C37" s="205">
        <v>45153</v>
      </c>
      <c r="D37" s="22">
        <f t="shared" si="0"/>
        <v>130</v>
      </c>
    </row>
    <row r="38" spans="2:4" x14ac:dyDescent="0.3">
      <c r="B38" s="204">
        <f>ROW()-ROW(APORTACIONESOCIOS[[#Headers],['#]])</f>
        <v>14</v>
      </c>
      <c r="C38" s="205">
        <v>45184</v>
      </c>
      <c r="D38" s="22">
        <f t="shared" si="0"/>
        <v>130</v>
      </c>
    </row>
    <row r="39" spans="2:4" x14ac:dyDescent="0.3">
      <c r="B39" s="204">
        <f>ROW()-ROW(APORTACIONESOCIOS[[#Headers],['#]])</f>
        <v>15</v>
      </c>
      <c r="C39" s="205">
        <v>45214</v>
      </c>
      <c r="D39" s="22">
        <f t="shared" si="0"/>
        <v>130</v>
      </c>
    </row>
    <row r="40" spans="2:4" x14ac:dyDescent="0.3">
      <c r="B40" s="204">
        <f>ROW()-ROW(APORTACIONESOCIOS[[#Headers],['#]])</f>
        <v>16</v>
      </c>
      <c r="C40" s="205">
        <v>45245</v>
      </c>
      <c r="D40" s="22">
        <f t="shared" si="0"/>
        <v>130</v>
      </c>
    </row>
    <row r="41" spans="2:4" x14ac:dyDescent="0.3">
      <c r="B41" s="204">
        <f>ROW()-ROW(APORTACIONESOCIOS[[#Headers],['#]])</f>
        <v>17</v>
      </c>
      <c r="C41" s="205">
        <v>45275</v>
      </c>
      <c r="D41" s="22">
        <f t="shared" si="0"/>
        <v>130</v>
      </c>
    </row>
    <row r="42" spans="2:4" x14ac:dyDescent="0.3">
      <c r="B42" s="204">
        <f>ROW()-ROW(APORTACIONESOCIOS[[#Headers],['#]])</f>
        <v>18</v>
      </c>
      <c r="C42" s="205">
        <v>45306</v>
      </c>
      <c r="D42" s="22">
        <f t="shared" si="0"/>
        <v>130</v>
      </c>
    </row>
    <row r="43" spans="2:4" x14ac:dyDescent="0.3">
      <c r="B43" s="204">
        <f>ROW()-ROW(APORTACIONESOCIOS[[#Headers],['#]])</f>
        <v>19</v>
      </c>
      <c r="C43" s="205">
        <v>45337</v>
      </c>
      <c r="D43" s="22">
        <f t="shared" si="0"/>
        <v>130</v>
      </c>
    </row>
    <row r="44" spans="2:4" x14ac:dyDescent="0.3">
      <c r="B44" s="204">
        <f>ROW()-ROW(APORTACIONESOCIOS[[#Headers],['#]])</f>
        <v>20</v>
      </c>
      <c r="C44" s="205">
        <v>45366</v>
      </c>
      <c r="D44" s="22">
        <f t="shared" si="0"/>
        <v>130</v>
      </c>
    </row>
    <row r="45" spans="2:4" x14ac:dyDescent="0.3">
      <c r="B45" s="204">
        <f>ROW()-ROW(APORTACIONESOCIOS[[#Headers],['#]])</f>
        <v>21</v>
      </c>
      <c r="C45" s="205">
        <v>45397</v>
      </c>
      <c r="D45" s="22">
        <f t="shared" si="0"/>
        <v>130</v>
      </c>
    </row>
    <row r="46" spans="2:4" x14ac:dyDescent="0.3">
      <c r="B46" s="204">
        <f>ROW()-ROW(APORTACIONESOCIOS[[#Headers],['#]])</f>
        <v>22</v>
      </c>
      <c r="C46" s="205">
        <v>45427</v>
      </c>
      <c r="D46" s="22">
        <f t="shared" si="0"/>
        <v>130</v>
      </c>
    </row>
    <row r="47" spans="2:4" x14ac:dyDescent="0.3">
      <c r="B47" s="204">
        <f>ROW()-ROW(APORTACIONESOCIOS[[#Headers],['#]])</f>
        <v>23</v>
      </c>
      <c r="C47" s="205">
        <v>45458</v>
      </c>
      <c r="D47" s="22">
        <f t="shared" si="0"/>
        <v>130</v>
      </c>
    </row>
    <row r="48" spans="2:4" x14ac:dyDescent="0.3">
      <c r="B48" s="204">
        <f>ROW()-ROW(APORTACIONESOCIOS[[#Headers],['#]])</f>
        <v>24</v>
      </c>
      <c r="C48" s="205">
        <v>45488</v>
      </c>
      <c r="D48" s="22">
        <f t="shared" si="0"/>
        <v>130</v>
      </c>
    </row>
    <row r="49" spans="2:4" x14ac:dyDescent="0.3">
      <c r="B49" s="204">
        <f>ROW()-ROW(APORTACIONESOCIOS[[#Headers],['#]])</f>
        <v>25</v>
      </c>
      <c r="C49" s="205">
        <v>45519</v>
      </c>
      <c r="D49" s="22">
        <f t="shared" si="0"/>
        <v>130</v>
      </c>
    </row>
    <row r="50" spans="2:4" x14ac:dyDescent="0.3">
      <c r="B50" s="218">
        <f>ROW()-ROW(APORTACIONESOCIOS[[#Headers],['#]])</f>
        <v>26</v>
      </c>
      <c r="C50" s="219">
        <v>45550</v>
      </c>
      <c r="D50" s="220">
        <f t="shared" ref="D50:D56" si="1">$E$22</f>
        <v>130</v>
      </c>
    </row>
    <row r="51" spans="2:4" x14ac:dyDescent="0.3">
      <c r="B51" s="218">
        <f>ROW()-ROW(APORTACIONESOCIOS[[#Headers],['#]])</f>
        <v>27</v>
      </c>
      <c r="C51" s="219">
        <v>45580</v>
      </c>
      <c r="D51" s="220">
        <f t="shared" si="1"/>
        <v>130</v>
      </c>
    </row>
    <row r="52" spans="2:4" x14ac:dyDescent="0.3">
      <c r="B52" s="218">
        <f>ROW()-ROW(APORTACIONESOCIOS[[#Headers],['#]])</f>
        <v>28</v>
      </c>
      <c r="C52" s="219">
        <v>45611</v>
      </c>
      <c r="D52" s="220">
        <f t="shared" si="1"/>
        <v>130</v>
      </c>
    </row>
    <row r="53" spans="2:4" x14ac:dyDescent="0.3">
      <c r="B53" s="218">
        <v>29</v>
      </c>
      <c r="C53" s="219">
        <v>45641</v>
      </c>
      <c r="D53" s="220">
        <f t="shared" si="1"/>
        <v>130</v>
      </c>
    </row>
    <row r="54" spans="2:4" x14ac:dyDescent="0.3">
      <c r="B54" s="218">
        <v>30</v>
      </c>
      <c r="C54" s="205">
        <v>45672</v>
      </c>
      <c r="D54" s="220">
        <f t="shared" si="1"/>
        <v>130</v>
      </c>
    </row>
    <row r="55" spans="2:4" x14ac:dyDescent="0.3">
      <c r="B55" s="218">
        <f>ROW()-ROW(APORTACIONESOCIOS[[#Headers],['#]])</f>
        <v>31</v>
      </c>
      <c r="C55" s="219">
        <v>45703</v>
      </c>
      <c r="D55" s="220">
        <f t="shared" si="1"/>
        <v>130</v>
      </c>
    </row>
    <row r="56" spans="2:4" x14ac:dyDescent="0.3">
      <c r="B56" s="218">
        <f>ROW()-ROW(APORTACIONESOCIOS[[#Headers],['#]])</f>
        <v>32</v>
      </c>
      <c r="C56" s="219">
        <v>45731</v>
      </c>
      <c r="D56" s="220">
        <f t="shared" si="1"/>
        <v>130</v>
      </c>
    </row>
    <row r="57" spans="2:4" x14ac:dyDescent="0.3">
      <c r="B57" s="218">
        <f>ROW()-ROW(APORTACIONESOCIOS[[#Headers],['#]])</f>
        <v>33</v>
      </c>
      <c r="C57" s="219">
        <v>45762</v>
      </c>
      <c r="D57" s="327">
        <f>650</f>
        <v>650</v>
      </c>
    </row>
    <row r="58" spans="2:4" x14ac:dyDescent="0.3">
      <c r="B58" s="218">
        <f>ROW()-ROW(APORTACIONESOCIOS[[#Headers],['#]])</f>
        <v>34</v>
      </c>
      <c r="C58" s="219">
        <v>45792</v>
      </c>
      <c r="D58" s="327">
        <f>480</f>
        <v>480</v>
      </c>
    </row>
    <row r="59" spans="2:4" x14ac:dyDescent="0.3">
      <c r="B59" s="218">
        <f>ROW()-ROW(APORTACIONESOCIOS[[#Headers],['#]])</f>
        <v>35</v>
      </c>
      <c r="C59" s="219">
        <v>45823</v>
      </c>
      <c r="D59" s="327">
        <f>160</f>
        <v>160</v>
      </c>
    </row>
    <row r="60" spans="2:4" x14ac:dyDescent="0.3">
      <c r="B60" s="218">
        <f>ROW()-ROW(APORTACIONESOCIOS[[#Headers],['#]])</f>
        <v>36</v>
      </c>
      <c r="C60" s="219">
        <v>45853</v>
      </c>
      <c r="D60" s="327">
        <f>310</f>
        <v>310</v>
      </c>
    </row>
  </sheetData>
  <phoneticPr fontId="3" type="noConversion"/>
  <pageMargins left="0.7" right="0.7" top="0.75" bottom="0.75" header="0.3" footer="0.3"/>
  <pageSetup orientation="portrait" r:id="rId1"/>
  <ignoredErrors>
    <ignoredError sqref="B5:B17" numberStoredAsText="1"/>
  </ignoredErrors>
  <drawing r:id="rId2"/>
  <legacyDrawing r:id="rId3"/>
  <tableParts count="2"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S24"/>
  <sheetViews>
    <sheetView workbookViewId="0">
      <selection activeCell="E4" sqref="E4"/>
    </sheetView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6384" width="10.88671875" style="2"/>
  </cols>
  <sheetData>
    <row r="1" spans="2:19" ht="15" thickBot="1" x14ac:dyDescent="0.35"/>
    <row r="2" spans="2:19" ht="15" thickBot="1" x14ac:dyDescent="0.35">
      <c r="B2" s="332" t="s">
        <v>40</v>
      </c>
      <c r="C2" s="333"/>
      <c r="D2" s="333"/>
      <c r="E2" s="333"/>
      <c r="F2" s="333"/>
      <c r="G2" s="333"/>
      <c r="H2" s="334"/>
      <c r="I2" s="27"/>
      <c r="J2" s="335" t="s">
        <v>41</v>
      </c>
      <c r="K2" s="336"/>
      <c r="L2" s="336"/>
      <c r="M2" s="336"/>
      <c r="N2" s="336"/>
      <c r="O2" s="336"/>
      <c r="P2" s="336"/>
      <c r="Q2" s="337"/>
    </row>
    <row r="3" spans="2:19" ht="15" thickBot="1" x14ac:dyDescent="0.35">
      <c r="B3" s="184"/>
      <c r="C3" s="185"/>
      <c r="D3" s="185"/>
      <c r="E3" s="185"/>
      <c r="F3" s="185"/>
      <c r="G3" s="185"/>
      <c r="H3" s="189"/>
      <c r="J3" s="184"/>
      <c r="K3" s="185"/>
      <c r="L3" s="185"/>
      <c r="M3" s="185"/>
      <c r="N3" s="185"/>
      <c r="O3" s="185"/>
      <c r="P3" s="185"/>
      <c r="Q3" s="189"/>
    </row>
    <row r="4" spans="2:19" ht="15" thickBot="1" x14ac:dyDescent="0.35">
      <c r="B4" s="184"/>
      <c r="C4" s="185" t="s">
        <v>69</v>
      </c>
      <c r="D4" s="185"/>
      <c r="E4" s="38"/>
      <c r="F4" s="185"/>
      <c r="G4" s="185"/>
      <c r="H4" s="189"/>
      <c r="J4" s="184"/>
      <c r="K4" s="185" t="s">
        <v>70</v>
      </c>
      <c r="L4" s="185"/>
      <c r="M4" s="39"/>
      <c r="N4" s="254"/>
      <c r="O4" s="185"/>
      <c r="P4" s="185"/>
      <c r="Q4" s="189"/>
    </row>
    <row r="5" spans="2:19" x14ac:dyDescent="0.3">
      <c r="B5" s="186"/>
      <c r="C5" s="187"/>
      <c r="D5" s="187"/>
      <c r="E5" s="187"/>
      <c r="F5" s="187"/>
      <c r="G5" s="187"/>
      <c r="H5" s="190"/>
      <c r="J5" s="186"/>
      <c r="K5" s="187"/>
      <c r="L5" s="187"/>
      <c r="M5" s="187"/>
      <c r="N5" s="187"/>
      <c r="O5" s="187"/>
      <c r="P5" s="187"/>
      <c r="Q5" s="190"/>
    </row>
    <row r="6" spans="2:19" x14ac:dyDescent="0.3">
      <c r="B6" s="186"/>
      <c r="C6" s="188" t="s">
        <v>35</v>
      </c>
      <c r="D6" s="188"/>
      <c r="E6" s="188" t="s">
        <v>52</v>
      </c>
      <c r="F6" s="187"/>
      <c r="G6" s="187"/>
      <c r="H6" s="190"/>
      <c r="J6" s="186"/>
      <c r="K6" s="188" t="s">
        <v>35</v>
      </c>
      <c r="L6" s="188"/>
      <c r="M6" s="256" t="s">
        <v>52</v>
      </c>
      <c r="N6" s="187"/>
      <c r="O6" s="188" t="s">
        <v>274</v>
      </c>
      <c r="P6" s="187"/>
      <c r="Q6" s="190"/>
    </row>
    <row r="7" spans="2:19" ht="15" thickBot="1" x14ac:dyDescent="0.35">
      <c r="B7" s="186"/>
      <c r="C7" s="188"/>
      <c r="D7" s="187"/>
      <c r="E7" s="188"/>
      <c r="F7" s="187"/>
      <c r="H7" s="190"/>
      <c r="J7" s="186"/>
      <c r="K7" s="187"/>
      <c r="L7" s="187"/>
      <c r="M7" s="187"/>
      <c r="N7" s="187"/>
      <c r="O7" s="187"/>
      <c r="P7" s="187"/>
      <c r="Q7" s="190"/>
    </row>
    <row r="8" spans="2:19" ht="15" thickBot="1" x14ac:dyDescent="0.35">
      <c r="B8" s="186"/>
      <c r="C8" s="24" t="e">
        <f>_xlfn.XLOOKUP(E8,LINEAMIENTOS!$B$3:$B$21,LINEAMIENTOS!$A$3:$A$21)</f>
        <v>#N/A</v>
      </c>
      <c r="D8" s="187"/>
      <c r="E8" s="24"/>
      <c r="F8" s="187"/>
      <c r="G8" s="187"/>
      <c r="H8" s="190"/>
      <c r="J8" s="186"/>
      <c r="K8" s="24" t="e">
        <f>_xlfn.XLOOKUP(M8,LINEAMIENTOS!B3:B21,LINEAMIENTOS!$A$3:$A$21)</f>
        <v>#N/A</v>
      </c>
      <c r="L8" s="187"/>
      <c r="M8" s="24"/>
      <c r="N8" s="187"/>
      <c r="O8" s="222"/>
      <c r="P8" s="187"/>
      <c r="Q8" s="190"/>
    </row>
    <row r="9" spans="2:19" x14ac:dyDescent="0.3">
      <c r="B9" s="186"/>
      <c r="C9" s="193"/>
      <c r="D9" s="187"/>
      <c r="E9" s="187"/>
      <c r="F9" s="187"/>
      <c r="G9" s="187"/>
      <c r="H9" s="190"/>
      <c r="J9" s="186"/>
      <c r="K9" s="193"/>
      <c r="L9" s="187"/>
      <c r="M9" s="187"/>
      <c r="N9" s="187"/>
      <c r="O9" s="187"/>
      <c r="P9" s="187"/>
      <c r="Q9" s="190"/>
    </row>
    <row r="10" spans="2:19" x14ac:dyDescent="0.3">
      <c r="B10" s="186"/>
      <c r="C10" s="194" t="s">
        <v>73</v>
      </c>
      <c r="D10" s="187"/>
      <c r="E10" s="194" t="s">
        <v>32</v>
      </c>
      <c r="F10" s="187"/>
      <c r="G10" s="187"/>
      <c r="H10" s="190"/>
      <c r="J10" s="186"/>
      <c r="K10" s="188" t="s">
        <v>30</v>
      </c>
      <c r="L10" s="187"/>
      <c r="M10" s="188" t="s">
        <v>37</v>
      </c>
      <c r="N10" s="187"/>
      <c r="O10" s="188" t="s">
        <v>43</v>
      </c>
      <c r="P10" s="188"/>
      <c r="Q10" s="190"/>
    </row>
    <row r="11" spans="2:19" ht="15" thickBot="1" x14ac:dyDescent="0.35">
      <c r="B11" s="186"/>
      <c r="C11" s="233" t="str">
        <f>IFERROR(C15*C16,"")</f>
        <v/>
      </c>
      <c r="D11" s="187"/>
      <c r="E11" s="194"/>
      <c r="F11" s="187"/>
      <c r="G11" s="187"/>
      <c r="H11" s="190"/>
      <c r="J11" s="186"/>
      <c r="K11" s="187"/>
      <c r="L11" s="187"/>
      <c r="M11" s="187"/>
      <c r="N11" s="187"/>
      <c r="O11" s="187"/>
      <c r="P11" s="187"/>
      <c r="Q11" s="190"/>
    </row>
    <row r="12" spans="2:19" ht="15" thickBot="1" x14ac:dyDescent="0.35">
      <c r="B12" s="186"/>
      <c r="C12" s="44"/>
      <c r="D12" s="187"/>
      <c r="E12" s="25">
        <f ca="1">+TODAY()</f>
        <v>45865</v>
      </c>
      <c r="F12" s="187"/>
      <c r="G12" s="187"/>
      <c r="H12" s="190"/>
      <c r="J12" s="186"/>
      <c r="K12" s="43"/>
      <c r="L12" s="187"/>
      <c r="M12" s="25">
        <f ca="1">+TODAY()</f>
        <v>45865</v>
      </c>
      <c r="N12" s="187"/>
      <c r="O12" s="41" t="str">
        <f ca="1">IF($E$13&lt;&gt;"",MAX(0,MIN(DATEDIF($E$13,TODAY(),"m")-(DAY(TODAY())&lt;DAY($E$13)), $C$16)),"")</f>
        <v/>
      </c>
      <c r="P12" s="187"/>
      <c r="Q12" s="190"/>
    </row>
    <row r="13" spans="2:19" x14ac:dyDescent="0.3">
      <c r="B13" s="186"/>
      <c r="C13" s="225" t="str">
        <f>IFERROR(C12/C16,"")</f>
        <v/>
      </c>
      <c r="D13" s="187"/>
      <c r="E13" s="195"/>
      <c r="F13" s="187"/>
      <c r="G13" s="187"/>
      <c r="H13" s="190"/>
      <c r="J13" s="186"/>
      <c r="K13" s="187"/>
      <c r="L13" s="187"/>
      <c r="M13" s="195"/>
      <c r="N13" s="187"/>
      <c r="O13" s="187"/>
      <c r="P13" s="187"/>
      <c r="Q13" s="190"/>
      <c r="S13" s="331"/>
    </row>
    <row r="14" spans="2:19" x14ac:dyDescent="0.3">
      <c r="B14" s="186"/>
      <c r="C14" s="188" t="s">
        <v>57</v>
      </c>
      <c r="D14" s="187"/>
      <c r="E14" s="188" t="s">
        <v>34</v>
      </c>
      <c r="F14" s="187"/>
      <c r="G14" s="187"/>
      <c r="H14" s="190"/>
      <c r="J14" s="186"/>
      <c r="K14" s="188" t="s">
        <v>31</v>
      </c>
      <c r="L14" s="187"/>
      <c r="M14" s="188" t="s">
        <v>38</v>
      </c>
      <c r="N14" s="187"/>
      <c r="O14" s="188" t="s">
        <v>42</v>
      </c>
      <c r="P14" s="188"/>
      <c r="Q14" s="190"/>
    </row>
    <row r="15" spans="2:19" ht="15" thickBot="1" x14ac:dyDescent="0.35">
      <c r="B15" s="186"/>
      <c r="C15" s="225" t="str">
        <f>IFERROR(C13+E17,"")</f>
        <v/>
      </c>
      <c r="D15" s="187"/>
      <c r="E15" s="188"/>
      <c r="F15" s="187"/>
      <c r="G15" s="187"/>
      <c r="H15" s="190"/>
      <c r="J15" s="186"/>
      <c r="K15" s="188"/>
      <c r="L15" s="187"/>
      <c r="M15" s="188"/>
      <c r="N15" s="187"/>
      <c r="O15" s="187"/>
      <c r="P15" s="187"/>
      <c r="Q15" s="190"/>
    </row>
    <row r="16" spans="2:19" ht="15" thickBot="1" x14ac:dyDescent="0.35">
      <c r="B16" s="186"/>
      <c r="C16" s="45"/>
      <c r="D16" s="187"/>
      <c r="E16" s="198"/>
      <c r="F16" s="187"/>
      <c r="G16" s="187"/>
      <c r="H16" s="190"/>
      <c r="J16" s="186"/>
      <c r="K16" s="43"/>
      <c r="L16" s="187"/>
      <c r="M16" s="25">
        <f ca="1">+TODAY()</f>
        <v>45865</v>
      </c>
      <c r="N16" s="187"/>
      <c r="O16" s="42" t="str">
        <f ca="1">IF($E$13&lt;&gt;"",MAX(0,MIN(DATEDIF($E$13,TODAY(),"m")-(DAY(TODAY())&lt;DAY($E$13)), $C$16)),"")</f>
        <v/>
      </c>
      <c r="P16" s="187"/>
      <c r="Q16" s="190"/>
    </row>
    <row r="17" spans="2:17" x14ac:dyDescent="0.3">
      <c r="B17" s="186"/>
      <c r="C17" s="226"/>
      <c r="D17" s="187"/>
      <c r="E17" s="225" t="str">
        <f>IF(C12="","",C12*E16)</f>
        <v/>
      </c>
      <c r="F17" s="187"/>
      <c r="G17" s="187"/>
      <c r="H17" s="190"/>
      <c r="J17" s="186"/>
      <c r="K17" s="187"/>
      <c r="L17" s="187"/>
      <c r="M17" s="195"/>
      <c r="N17" s="187"/>
      <c r="O17" s="187"/>
      <c r="P17" s="187"/>
      <c r="Q17" s="190"/>
    </row>
    <row r="18" spans="2:17" x14ac:dyDescent="0.3">
      <c r="B18" s="186"/>
      <c r="C18" s="188" t="s">
        <v>39</v>
      </c>
      <c r="D18" s="187"/>
      <c r="E18" s="187" t="str">
        <f ca="1">IF($E$13&lt;&gt;"","LETRA NUMERO: "&amp;MAX(0,MIN(DATEDIF($E$13,TODAY(),"m")-(DAY(TODAY())&lt;DAY($E$13)), $C$16)),"")</f>
        <v/>
      </c>
      <c r="F18" s="187"/>
      <c r="G18" s="187"/>
      <c r="H18" s="190"/>
      <c r="I18" s="26"/>
      <c r="J18" s="186"/>
      <c r="K18" s="188" t="s">
        <v>39</v>
      </c>
      <c r="L18" s="187"/>
      <c r="M18" s="187"/>
      <c r="N18" s="187"/>
      <c r="O18" s="187"/>
      <c r="P18" s="187"/>
      <c r="Q18" s="190"/>
    </row>
    <row r="19" spans="2:17" ht="15" thickBot="1" x14ac:dyDescent="0.35">
      <c r="B19" s="186"/>
      <c r="C19" s="187"/>
      <c r="D19" s="187"/>
      <c r="E19" s="187" t="str">
        <f ca="1">IF($E$13&lt;&gt;"","LETRAS FALTANTES: "&amp;$C$16-MAX(0,MIN(DATEDIF($E$13,TODAY(),"m")-(DAY(TODAY())&lt;DAY($E$13)), $C$16)),"")</f>
        <v/>
      </c>
      <c r="F19" s="187"/>
      <c r="G19" s="187"/>
      <c r="H19" s="190"/>
      <c r="I19" s="26"/>
      <c r="J19" s="186"/>
      <c r="K19" s="187"/>
      <c r="L19" s="187"/>
      <c r="M19" s="187"/>
      <c r="N19" s="187"/>
      <c r="O19" s="187"/>
      <c r="P19" s="187"/>
      <c r="Q19" s="190"/>
    </row>
    <row r="20" spans="2:17" x14ac:dyDescent="0.3">
      <c r="B20" s="186"/>
      <c r="C20" s="338"/>
      <c r="D20" s="339"/>
      <c r="E20" s="340"/>
      <c r="F20" s="186"/>
      <c r="G20" s="187"/>
      <c r="H20" s="190"/>
      <c r="J20" s="186"/>
      <c r="K20" s="344"/>
      <c r="L20" s="345"/>
      <c r="M20" s="345"/>
      <c r="N20" s="345"/>
      <c r="O20" s="346"/>
      <c r="P20" s="186"/>
      <c r="Q20" s="190"/>
    </row>
    <row r="21" spans="2:17" ht="15" thickBot="1" x14ac:dyDescent="0.35">
      <c r="B21" s="186"/>
      <c r="C21" s="341"/>
      <c r="D21" s="342"/>
      <c r="E21" s="343"/>
      <c r="F21" s="186"/>
      <c r="G21" s="187"/>
      <c r="H21" s="190"/>
      <c r="J21" s="186"/>
      <c r="K21" s="347"/>
      <c r="L21" s="348"/>
      <c r="M21" s="348"/>
      <c r="N21" s="348"/>
      <c r="O21" s="349"/>
      <c r="P21" s="186"/>
      <c r="Q21" s="190"/>
    </row>
    <row r="22" spans="2:17" ht="15" thickBot="1" x14ac:dyDescent="0.35">
      <c r="B22" s="196"/>
      <c r="C22" s="192"/>
      <c r="D22" s="192"/>
      <c r="E22" s="192"/>
      <c r="F22" s="192"/>
      <c r="G22" s="192"/>
      <c r="H22" s="191"/>
      <c r="J22" s="196"/>
      <c r="K22" s="192"/>
      <c r="L22" s="192"/>
      <c r="M22" s="192"/>
      <c r="N22" s="192"/>
      <c r="O22" s="192"/>
      <c r="P22" s="192"/>
      <c r="Q22" s="191"/>
    </row>
    <row r="24" spans="2:17" x14ac:dyDescent="0.3">
      <c r="C24" s="291"/>
    </row>
  </sheetData>
  <sheetProtection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SOCIOS!$C$5:$C$17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LINEAMIENTOS!$B$3:$B$21</xm:f>
          </x14:formula1>
          <xm:sqref>M8 E8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83"/>
  <sheetViews>
    <sheetView zoomScale="124" zoomScaleNormal="124" workbookViewId="0">
      <selection activeCell="A4" sqref="A4:L4"/>
    </sheetView>
  </sheetViews>
  <sheetFormatPr baseColWidth="10" defaultColWidth="10.88671875" defaultRowHeight="14.4" x14ac:dyDescent="0.3"/>
  <cols>
    <col min="1" max="1" width="9.33203125" bestFit="1" customWidth="1"/>
    <col min="2" max="2" width="8.33203125" customWidth="1"/>
    <col min="3" max="3" width="24.6640625" customWidth="1"/>
    <col min="4" max="4" width="14.44140625" style="67" customWidth="1"/>
    <col min="5" max="5" width="14" customWidth="1"/>
    <col min="6" max="7" width="9.88671875" bestFit="1" customWidth="1"/>
    <col min="8" max="8" width="7.88671875" bestFit="1" customWidth="1"/>
    <col min="9" max="9" width="11.88671875" bestFit="1" customWidth="1"/>
    <col min="10" max="10" width="66.6640625" style="269" customWidth="1"/>
    <col min="11" max="11" width="12.6640625" style="2" customWidth="1"/>
    <col min="12" max="12" width="19.6640625" bestFit="1" customWidth="1"/>
    <col min="13" max="13" width="10.88671875" style="232"/>
    <col min="14" max="14" width="23.109375" style="265" bestFit="1" customWidth="1"/>
    <col min="15" max="16384" width="10.88671875" style="29"/>
  </cols>
  <sheetData>
    <row r="1" spans="1:14" s="30" customFormat="1" x14ac:dyDescent="0.3">
      <c r="A1" s="350" t="s">
        <v>46</v>
      </c>
      <c r="B1" s="350"/>
      <c r="C1" s="350"/>
      <c r="D1" s="350"/>
      <c r="E1" s="350"/>
      <c r="F1" s="350"/>
      <c r="G1" s="350"/>
      <c r="H1" s="350"/>
      <c r="I1" s="350"/>
      <c r="J1" s="350"/>
      <c r="K1" s="227"/>
      <c r="L1" s="28"/>
      <c r="M1" s="231"/>
      <c r="N1" s="264"/>
    </row>
    <row r="2" spans="1:14" s="30" customFormat="1" ht="43.2" x14ac:dyDescent="0.3">
      <c r="A2" s="257" t="s">
        <v>71</v>
      </c>
      <c r="B2" s="34" t="s">
        <v>72</v>
      </c>
      <c r="C2" s="35" t="s">
        <v>36</v>
      </c>
      <c r="D2" s="35" t="s">
        <v>56</v>
      </c>
      <c r="E2" s="35" t="s">
        <v>32</v>
      </c>
      <c r="F2" s="35" t="s">
        <v>33</v>
      </c>
      <c r="G2" s="35" t="s">
        <v>34</v>
      </c>
      <c r="H2" s="35" t="s">
        <v>53</v>
      </c>
      <c r="I2" s="35" t="s">
        <v>57</v>
      </c>
      <c r="J2" s="228" t="s">
        <v>39</v>
      </c>
      <c r="K2" s="229" t="s">
        <v>284</v>
      </c>
      <c r="L2" s="35" t="s">
        <v>377</v>
      </c>
      <c r="M2" s="231"/>
      <c r="N2" s="264"/>
    </row>
    <row r="3" spans="1:14" hidden="1" x14ac:dyDescent="0.3">
      <c r="A3" s="303">
        <v>1</v>
      </c>
      <c r="B3" s="52">
        <v>6</v>
      </c>
      <c r="C3" s="53" t="s">
        <v>19</v>
      </c>
      <c r="D3" s="54">
        <v>60</v>
      </c>
      <c r="E3" s="55">
        <v>44819</v>
      </c>
      <c r="F3" s="56">
        <v>2</v>
      </c>
      <c r="G3" s="68">
        <v>0.02</v>
      </c>
      <c r="H3" s="57">
        <f>PRESTAMOS[[#This Row],[MONTO AMORTIZACION]]*PRESTAMOS[[#This Row],[INTERES]]*PRESTAMOS[[#This Row],[CUOTAS]]</f>
        <v>2.4</v>
      </c>
      <c r="I3" s="57">
        <f>PRESTAMOS[[#This Row],[MONTO AMORTIZACION]]+PRESTAMOS[[#This Row],[T. INT]]</f>
        <v>62.4</v>
      </c>
      <c r="J3" s="258" t="s">
        <v>441</v>
      </c>
      <c r="K3" s="230" t="str">
        <f>IF(LEN(PRESTAMOS[[#This Row],[REG]])=LEN("AYUDA**"),"PAGADO",IF(SUMIF(PAGOS!$D$3:$D$1048576,A3,PAGOS!$E$3:$E$1048576)-PRESTAMOS[[#This Row],[MONTO AMORTIZACION]]&gt;=-0.1,"PAGADO","PENDIENTE"))</f>
        <v>PAGADO</v>
      </c>
      <c r="L3" s="26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265" t="s">
        <v>378</v>
      </c>
    </row>
    <row r="4" spans="1:14" hidden="1" x14ac:dyDescent="0.3">
      <c r="A4" s="305">
        <v>2</v>
      </c>
      <c r="B4" s="52">
        <v>3</v>
      </c>
      <c r="C4" s="53" t="s">
        <v>16</v>
      </c>
      <c r="D4" s="54">
        <v>100</v>
      </c>
      <c r="E4" s="58">
        <v>44819</v>
      </c>
      <c r="F4" s="101">
        <v>2</v>
      </c>
      <c r="G4" s="102">
        <v>0.02</v>
      </c>
      <c r="H4" s="57">
        <f>PRESTAMOS[[#This Row],[MONTO AMORTIZACION]]*PRESTAMOS[[#This Row],[INTERES]]*PRESTAMOS[[#This Row],[CUOTAS]]</f>
        <v>4</v>
      </c>
      <c r="I4" s="57">
        <f>PRESTAMOS[[#This Row],[MONTO AMORTIZACION]]+PRESTAMOS[[#This Row],[T. INT]]</f>
        <v>104</v>
      </c>
      <c r="J4" s="258" t="s">
        <v>441</v>
      </c>
      <c r="K4" s="230" t="str">
        <f>IF(LEN(PRESTAMOS[[#This Row],[REG]])=LEN("AYUDA**"),"PAGADO",IF(SUMIF(PAGOS!$D$3:$D$1048576,A4,PAGOS!$E$3:$E$1048576)-PRESTAMOS[[#This Row],[MONTO AMORTIZACION]]&gt;=-0.1,"PAGADO","PENDIENTE"))</f>
        <v>PAGADO</v>
      </c>
      <c r="L4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266" t="str" cm="1">
        <f t="array" ref="N4:N13">_xlfn._xlws.FILTER(PRESTAMOS[REG],PRESTAMOS[ESTATUS]="PENDIENTE")&amp;"-"&amp;_xlfn._xlws.FILTER(PRESTAMOS[NOMBRE CLIENTE],PRESTAMOS[ESTATUS]="PENDIENTE")</f>
        <v>55-DIEGO TOAQUIZA</v>
      </c>
    </row>
    <row r="5" spans="1:14" hidden="1" x14ac:dyDescent="0.3">
      <c r="A5" s="60" t="s">
        <v>285</v>
      </c>
      <c r="B5" s="61">
        <v>19</v>
      </c>
      <c r="C5" s="51" t="s">
        <v>75</v>
      </c>
      <c r="D5" s="62">
        <v>100</v>
      </c>
      <c r="E5" s="63">
        <v>44819</v>
      </c>
      <c r="F5" s="64">
        <v>0</v>
      </c>
      <c r="G5" s="65">
        <v>0</v>
      </c>
      <c r="H5" s="66">
        <f>PRESTAMOS[[#This Row],[MONTO AMORTIZACION]]*PRESTAMOS[[#This Row],[INTERES]]*PRESTAMOS[[#This Row],[CUOTAS]]</f>
        <v>0</v>
      </c>
      <c r="I5" s="66">
        <f>PRESTAMOS[[#This Row],[MONTO AMORTIZACION]]+PRESTAMOS[[#This Row],[T. INT]]</f>
        <v>100</v>
      </c>
      <c r="J5" s="259" t="s">
        <v>268</v>
      </c>
      <c r="K5" s="230" t="str">
        <f>IF(LEN(PRESTAMOS[[#This Row],[REG]])=LEN("AYUDA**"),"PAGADO",IF(SUMIF(PAGOS!$D$3:$D$1048576,A5,PAGOS!$E$3:$E$1048576)-PRESTAMOS[[#This Row],[MONTO AMORTIZACION]]&gt;=-0.1,"PAGADO","PENDIENTE"))</f>
        <v>PAGADO</v>
      </c>
      <c r="L5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266" t="str">
        <v>57-DANNY ALMACHI</v>
      </c>
    </row>
    <row r="6" spans="1:14" hidden="1" x14ac:dyDescent="0.3">
      <c r="A6" s="302">
        <v>3</v>
      </c>
      <c r="B6" s="61">
        <v>4</v>
      </c>
      <c r="C6" s="51" t="s">
        <v>17</v>
      </c>
      <c r="D6" s="62">
        <v>200</v>
      </c>
      <c r="E6" s="63">
        <v>44849</v>
      </c>
      <c r="F6" s="64">
        <v>1</v>
      </c>
      <c r="G6" s="65">
        <v>0.02</v>
      </c>
      <c r="H6" s="66">
        <f>PRESTAMOS[[#This Row],[MONTO AMORTIZACION]]*PRESTAMOS[[#This Row],[INTERES]]*PRESTAMOS[[#This Row],[CUOTAS]]</f>
        <v>4</v>
      </c>
      <c r="I6" s="66">
        <f>PRESTAMOS[[#This Row],[MONTO AMORTIZACION]]+PRESTAMOS[[#This Row],[T. INT]]</f>
        <v>204</v>
      </c>
      <c r="J6" s="259" t="s">
        <v>441</v>
      </c>
      <c r="K6" s="230" t="str">
        <f>IF(LEN(PRESTAMOS[[#This Row],[REG]])=LEN("AYUDA**"),"PAGADO",IF(SUMIF(PAGOS!$D$3:$D$1048576,A6,PAGOS!$E$3:$E$1048576)-PRESTAMOS[[#This Row],[MONTO AMORTIZACION]]&gt;=-0.1,"PAGADO","PENDIENTE"))</f>
        <v>PAGADO</v>
      </c>
      <c r="L6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266" t="str">
        <v>60-MAYRA TOAQUIZA</v>
      </c>
    </row>
    <row r="7" spans="1:14" hidden="1" x14ac:dyDescent="0.3">
      <c r="A7" s="302">
        <v>4</v>
      </c>
      <c r="B7" s="61">
        <v>12</v>
      </c>
      <c r="C7" s="51" t="s">
        <v>25</v>
      </c>
      <c r="D7" s="62">
        <v>200</v>
      </c>
      <c r="E7" s="63">
        <v>44880</v>
      </c>
      <c r="F7" s="64">
        <v>2</v>
      </c>
      <c r="G7" s="65">
        <v>0.02</v>
      </c>
      <c r="H7" s="66">
        <f>PRESTAMOS[[#This Row],[MONTO AMORTIZACION]]*PRESTAMOS[[#This Row],[INTERES]]*PRESTAMOS[[#This Row],[CUOTAS]]</f>
        <v>8</v>
      </c>
      <c r="I7" s="66">
        <f>PRESTAMOS[[#This Row],[MONTO AMORTIZACION]]+PRESTAMOS[[#This Row],[T. INT]]</f>
        <v>208</v>
      </c>
      <c r="J7" s="259" t="s">
        <v>441</v>
      </c>
      <c r="K7" s="230" t="str">
        <f>IF(LEN(PRESTAMOS[[#This Row],[REG]])=LEN("AYUDA**"),"PAGADO",IF(SUMIF(PAGOS!$D$3:$D$1048576,A7,PAGOS!$E$3:$E$1048576)-PRESTAMOS[[#This Row],[MONTO AMORTIZACION]]&gt;=-0.1,"PAGADO","PENDIENTE"))</f>
        <v>PAGADO</v>
      </c>
      <c r="L7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267" t="str">
        <v>61-ROCIO TOAQUIZA</v>
      </c>
    </row>
    <row r="8" spans="1:14" hidden="1" x14ac:dyDescent="0.3">
      <c r="A8" s="302">
        <v>5</v>
      </c>
      <c r="B8" s="61">
        <v>8</v>
      </c>
      <c r="C8" s="51" t="s">
        <v>21</v>
      </c>
      <c r="D8" s="62">
        <v>200</v>
      </c>
      <c r="E8" s="63">
        <v>44880</v>
      </c>
      <c r="F8" s="64">
        <v>1</v>
      </c>
      <c r="G8" s="65">
        <v>0.02</v>
      </c>
      <c r="H8" s="66">
        <f>PRESTAMOS[[#This Row],[MONTO AMORTIZACION]]*PRESTAMOS[[#This Row],[INTERES]]*PRESTAMOS[[#This Row],[CUOTAS]]</f>
        <v>4</v>
      </c>
      <c r="I8" s="66">
        <f>PRESTAMOS[[#This Row],[MONTO AMORTIZACION]]+PRESTAMOS[[#This Row],[T. INT]]</f>
        <v>204</v>
      </c>
      <c r="J8" s="259" t="s">
        <v>441</v>
      </c>
      <c r="K8" s="230" t="str">
        <f>IF(LEN(PRESTAMOS[[#This Row],[REG]])=LEN("AYUDA**"),"PAGADO",IF(SUMIF(PAGOS!$D$3:$D$1048576,A8,PAGOS!$E$3:$E$1048576)-PRESTAMOS[[#This Row],[MONTO AMORTIZACION]]&gt;=-0.1,"PAGADO","PENDIENTE"))</f>
        <v>PAGADO</v>
      </c>
      <c r="L8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267" t="str">
        <v>68-MARCIAL CHILIQUINGA</v>
      </c>
    </row>
    <row r="9" spans="1:14" hidden="1" x14ac:dyDescent="0.3">
      <c r="A9" s="302">
        <v>6</v>
      </c>
      <c r="B9" s="61">
        <v>1</v>
      </c>
      <c r="C9" s="51" t="s">
        <v>14</v>
      </c>
      <c r="D9" s="62">
        <v>100</v>
      </c>
      <c r="E9" s="63">
        <v>44910</v>
      </c>
      <c r="F9" s="64">
        <v>4</v>
      </c>
      <c r="G9" s="65">
        <v>0.02</v>
      </c>
      <c r="H9" s="66">
        <f>PRESTAMOS[[#This Row],[MONTO AMORTIZACION]]*PRESTAMOS[[#This Row],[INTERES]]*PRESTAMOS[[#This Row],[CUOTAS]]</f>
        <v>8</v>
      </c>
      <c r="I9" s="66">
        <f>PRESTAMOS[[#This Row],[MONTO AMORTIZACION]]+PRESTAMOS[[#This Row],[T. INT]]</f>
        <v>108</v>
      </c>
      <c r="J9" s="259" t="s">
        <v>441</v>
      </c>
      <c r="K9" s="230" t="str">
        <f>IF(LEN(PRESTAMOS[[#This Row],[REG]])=LEN("AYUDA**"),"PAGADO",IF(SUMIF(PAGOS!$D$3:$D$1048576,A9,PAGOS!$E$3:$E$1048576)-PRESTAMOS[[#This Row],[MONTO AMORTIZACION]]&gt;=-0.1,"PAGADO","PENDIENTE"))</f>
        <v>PAGADO</v>
      </c>
      <c r="L9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267" t="str">
        <v xml:space="preserve">70-SEGUNDO GUAYTA </v>
      </c>
    </row>
    <row r="10" spans="1:14" hidden="1" x14ac:dyDescent="0.3">
      <c r="A10" s="302">
        <v>7</v>
      </c>
      <c r="B10" s="61">
        <v>9</v>
      </c>
      <c r="C10" s="51" t="s">
        <v>22</v>
      </c>
      <c r="D10" s="62">
        <v>100</v>
      </c>
      <c r="E10" s="63">
        <v>44910</v>
      </c>
      <c r="F10" s="64">
        <v>4</v>
      </c>
      <c r="G10" s="65">
        <v>0.02</v>
      </c>
      <c r="H10" s="66">
        <f>PRESTAMOS[[#This Row],[MONTO AMORTIZACION]]*PRESTAMOS[[#This Row],[INTERES]]*PRESTAMOS[[#This Row],[CUOTAS]]</f>
        <v>8</v>
      </c>
      <c r="I10" s="66">
        <f>PRESTAMOS[[#This Row],[MONTO AMORTIZACION]]+PRESTAMOS[[#This Row],[T. INT]]</f>
        <v>108</v>
      </c>
      <c r="J10" s="259" t="s">
        <v>441</v>
      </c>
      <c r="K10" s="230" t="str">
        <f>IF(LEN(PRESTAMOS[[#This Row],[REG]])=LEN("AYUDA**"),"PAGADO",IF(SUMIF(PAGOS!$D$3:$D$1048576,A10,PAGOS!$E$3:$E$1048576)-PRESTAMOS[[#This Row],[MONTO AMORTIZACION]]&gt;=-0.1,"PAGADO","PENDIENTE"))</f>
        <v>PAGADO</v>
      </c>
      <c r="L10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267" t="str">
        <v>71-ANA TOAQUIZA</v>
      </c>
    </row>
    <row r="11" spans="1:14" hidden="1" x14ac:dyDescent="0.3">
      <c r="A11" s="302">
        <v>8</v>
      </c>
      <c r="B11" s="61">
        <v>10</v>
      </c>
      <c r="C11" s="51" t="s">
        <v>23</v>
      </c>
      <c r="D11" s="62">
        <v>170</v>
      </c>
      <c r="E11" s="63">
        <v>44910</v>
      </c>
      <c r="F11" s="64">
        <v>5</v>
      </c>
      <c r="G11" s="65">
        <v>0.02</v>
      </c>
      <c r="H11" s="66">
        <f>PRESTAMOS[[#This Row],[MONTO AMORTIZACION]]*PRESTAMOS[[#This Row],[INTERES]]*PRESTAMOS[[#This Row],[CUOTAS]]</f>
        <v>17</v>
      </c>
      <c r="I11" s="66">
        <f>PRESTAMOS[[#This Row],[MONTO AMORTIZACION]]+PRESTAMOS[[#This Row],[T. INT]]</f>
        <v>187</v>
      </c>
      <c r="J11" s="259" t="s">
        <v>441</v>
      </c>
      <c r="K11" s="230" t="str">
        <f>IF(LEN(PRESTAMOS[[#This Row],[REG]])=LEN("AYUDA**"),"PAGADO",IF(SUMIF(PAGOS!$D$3:$D$1048576,A11,PAGOS!$E$3:$E$1048576)-PRESTAMOS[[#This Row],[MONTO AMORTIZACION]]&gt;=-0.1,"PAGADO","PENDIENTE"))</f>
        <v>PAGADO</v>
      </c>
      <c r="L11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267" t="str">
        <v>72-DIANA TOAQUIZA</v>
      </c>
    </row>
    <row r="12" spans="1:14" hidden="1" x14ac:dyDescent="0.3">
      <c r="A12" s="302">
        <v>9</v>
      </c>
      <c r="B12" s="61">
        <v>11</v>
      </c>
      <c r="C12" s="51" t="s">
        <v>24</v>
      </c>
      <c r="D12" s="62">
        <v>250</v>
      </c>
      <c r="E12" s="63">
        <v>44941</v>
      </c>
      <c r="F12" s="64">
        <v>3</v>
      </c>
      <c r="G12" s="65">
        <v>0.02</v>
      </c>
      <c r="H12" s="66">
        <f>PRESTAMOS[[#This Row],[MONTO AMORTIZACION]]*PRESTAMOS[[#This Row],[INTERES]]*PRESTAMOS[[#This Row],[CUOTAS]]</f>
        <v>15</v>
      </c>
      <c r="I12" s="66">
        <f>PRESTAMOS[[#This Row],[MONTO AMORTIZACION]]+PRESTAMOS[[#This Row],[T. INT]]</f>
        <v>265</v>
      </c>
      <c r="J12" s="259" t="s">
        <v>441</v>
      </c>
      <c r="K12" s="230" t="str">
        <f>IF(LEN(PRESTAMOS[[#This Row],[REG]])=LEN("AYUDA**"),"PAGADO",IF(SUMIF(PAGOS!$D$3:$D$1048576,A12,PAGOS!$E$3:$E$1048576)-PRESTAMOS[[#This Row],[MONTO AMORTIZACION]]&gt;=-0.1,"PAGADO","PENDIENTE"))</f>
        <v>PAGADO</v>
      </c>
      <c r="L12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267" t="str">
        <v>73-LUIS TOAQUIZA</v>
      </c>
    </row>
    <row r="13" spans="1:14" hidden="1" x14ac:dyDescent="0.3">
      <c r="A13" s="302">
        <v>10</v>
      </c>
      <c r="B13" s="61">
        <v>6</v>
      </c>
      <c r="C13" s="51" t="s">
        <v>19</v>
      </c>
      <c r="D13" s="62">
        <v>100</v>
      </c>
      <c r="E13" s="63">
        <v>44941</v>
      </c>
      <c r="F13" s="64">
        <v>4</v>
      </c>
      <c r="G13" s="65">
        <v>0.02</v>
      </c>
      <c r="H13" s="66">
        <f>PRESTAMOS[[#This Row],[MONTO AMORTIZACION]]*PRESTAMOS[[#This Row],[INTERES]]*PRESTAMOS[[#This Row],[CUOTAS]]</f>
        <v>8</v>
      </c>
      <c r="I13" s="66">
        <f>PRESTAMOS[[#This Row],[MONTO AMORTIZACION]]+PRESTAMOS[[#This Row],[T. INT]]</f>
        <v>108</v>
      </c>
      <c r="J13" s="259" t="s">
        <v>441</v>
      </c>
      <c r="K13" s="230" t="str">
        <f>IF(LEN(PRESTAMOS[[#This Row],[REG]])=LEN("AYUDA**"),"PAGADO",IF(SUMIF(PAGOS!$D$3:$D$1048576,A13,PAGOS!$E$3:$E$1048576)-PRESTAMOS[[#This Row],[MONTO AMORTIZACION]]&gt;=-0.1,"PAGADO","PENDIENTE"))</f>
        <v>PAGADO</v>
      </c>
      <c r="L13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267" t="str">
        <v>75-SEVASTIAN VELEMA</v>
      </c>
    </row>
    <row r="14" spans="1:14" x14ac:dyDescent="0.3">
      <c r="A14" s="302">
        <v>11</v>
      </c>
      <c r="B14" s="61">
        <v>3</v>
      </c>
      <c r="C14" s="51" t="s">
        <v>16</v>
      </c>
      <c r="D14" s="62">
        <v>300</v>
      </c>
      <c r="E14" s="63">
        <v>44972</v>
      </c>
      <c r="F14" s="64">
        <v>3</v>
      </c>
      <c r="G14" s="65">
        <v>0.02</v>
      </c>
      <c r="H14" s="66">
        <f>PRESTAMOS[[#This Row],[MONTO AMORTIZACION]]*PRESTAMOS[[#This Row],[INTERES]]*PRESTAMOS[[#This Row],[CUOTAS]]</f>
        <v>18</v>
      </c>
      <c r="I14" s="66">
        <f>PRESTAMOS[[#This Row],[MONTO AMORTIZACION]]+PRESTAMOS[[#This Row],[T. INT]]</f>
        <v>318</v>
      </c>
      <c r="J14" s="259" t="s">
        <v>441</v>
      </c>
      <c r="K14" s="230" t="str">
        <f>IF(LEN(PRESTAMOS[[#This Row],[REG]])=LEN("AYUDA**"),"PAGADO",IF(SUMIF(PAGOS!$D$3:$D$1048576,A14,PAGOS!$E$3:$E$1048576)-PRESTAMOS[[#This Row],[MONTO AMORTIZACION]]&gt;=-0.1,"PAGADO","PENDIENTE"))</f>
        <v>PAGADO</v>
      </c>
      <c r="L14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267"/>
    </row>
    <row r="15" spans="1:14" x14ac:dyDescent="0.3">
      <c r="A15" s="302">
        <v>12</v>
      </c>
      <c r="B15" s="61">
        <v>7</v>
      </c>
      <c r="C15" s="51" t="s">
        <v>20</v>
      </c>
      <c r="D15" s="62">
        <v>100</v>
      </c>
      <c r="E15" s="63">
        <v>44972</v>
      </c>
      <c r="F15" s="64">
        <v>4</v>
      </c>
      <c r="G15" s="65">
        <v>0.02</v>
      </c>
      <c r="H15" s="66">
        <f>PRESTAMOS[[#This Row],[MONTO AMORTIZACION]]*PRESTAMOS[[#This Row],[INTERES]]*PRESTAMOS[[#This Row],[CUOTAS]]</f>
        <v>8</v>
      </c>
      <c r="I15" s="66">
        <f>PRESTAMOS[[#This Row],[MONTO AMORTIZACION]]+PRESTAMOS[[#This Row],[T. INT]]</f>
        <v>108</v>
      </c>
      <c r="J15" s="259" t="s">
        <v>441</v>
      </c>
      <c r="K15" s="230" t="str">
        <f>IF(LEN(PRESTAMOS[[#This Row],[REG]])=LEN("AYUDA**"),"PAGADO",IF(SUMIF(PAGOS!$D$3:$D$1048576,A15,PAGOS!$E$3:$E$1048576)-PRESTAMOS[[#This Row],[MONTO AMORTIZACION]]&gt;=-0.1,"PAGADO","PENDIENTE"))</f>
        <v>PAGADO</v>
      </c>
      <c r="L15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267"/>
    </row>
    <row r="16" spans="1:14" hidden="1" x14ac:dyDescent="0.3">
      <c r="A16" s="302">
        <v>13</v>
      </c>
      <c r="B16" s="61">
        <v>4</v>
      </c>
      <c r="C16" s="51" t="s">
        <v>17</v>
      </c>
      <c r="D16" s="62">
        <v>400</v>
      </c>
      <c r="E16" s="63">
        <v>45000</v>
      </c>
      <c r="F16" s="64">
        <v>4</v>
      </c>
      <c r="G16" s="65">
        <v>0.02</v>
      </c>
      <c r="H16" s="66">
        <f>PRESTAMOS[[#This Row],[MONTO AMORTIZACION]]*PRESTAMOS[[#This Row],[INTERES]]*PRESTAMOS[[#This Row],[CUOTAS]]</f>
        <v>32</v>
      </c>
      <c r="I16" s="66">
        <f>PRESTAMOS[[#This Row],[MONTO AMORTIZACION]]+PRESTAMOS[[#This Row],[T. INT]]</f>
        <v>432</v>
      </c>
      <c r="J16" s="259" t="s">
        <v>441</v>
      </c>
      <c r="K16" s="230" t="str">
        <f>IF(LEN(PRESTAMOS[[#This Row],[REG]])=LEN("AYUDA**"),"PAGADO",IF(SUMIF(PAGOS!$D$3:$D$1048576,A16,PAGOS!$E$3:$E$1048576)-PRESTAMOS[[#This Row],[MONTO AMORTIZACION]]&gt;=-0.1,"PAGADO","PENDIENTE"))</f>
        <v>PAGADO</v>
      </c>
      <c r="L16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267"/>
    </row>
    <row r="17" spans="1:15" hidden="1" x14ac:dyDescent="0.3">
      <c r="A17" s="302">
        <v>14</v>
      </c>
      <c r="B17" s="61">
        <v>13</v>
      </c>
      <c r="C17" s="51" t="s">
        <v>26</v>
      </c>
      <c r="D17" s="62">
        <v>80</v>
      </c>
      <c r="E17" s="63">
        <v>45000</v>
      </c>
      <c r="F17" s="64">
        <v>1</v>
      </c>
      <c r="G17" s="65">
        <v>0.02</v>
      </c>
      <c r="H17" s="66">
        <f>PRESTAMOS[[#This Row],[MONTO AMORTIZACION]]*PRESTAMOS[[#This Row],[INTERES]]*PRESTAMOS[[#This Row],[CUOTAS]]</f>
        <v>1.6</v>
      </c>
      <c r="I17" s="66">
        <f>PRESTAMOS[[#This Row],[MONTO AMORTIZACION]]+PRESTAMOS[[#This Row],[T. INT]]</f>
        <v>81.599999999999994</v>
      </c>
      <c r="J17" s="259" t="s">
        <v>441</v>
      </c>
      <c r="K17" s="230" t="str">
        <f>IF(LEN(PRESTAMOS[[#This Row],[REG]])=LEN("AYUDA**"),"PAGADO",IF(SUMIF(PAGOS!$D$3:$D$1048576,A17,PAGOS!$E$3:$E$1048576)-PRESTAMOS[[#This Row],[MONTO AMORTIZACION]]&gt;=-0.1,"PAGADO","PENDIENTE"))</f>
        <v>PAGADO</v>
      </c>
      <c r="L17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267"/>
    </row>
    <row r="18" spans="1:15" hidden="1" x14ac:dyDescent="0.3">
      <c r="A18" s="302">
        <v>15</v>
      </c>
      <c r="B18" s="61">
        <v>9</v>
      </c>
      <c r="C18" s="51" t="s">
        <v>22</v>
      </c>
      <c r="D18" s="62">
        <v>200</v>
      </c>
      <c r="E18" s="63">
        <v>45031</v>
      </c>
      <c r="F18" s="64">
        <v>4</v>
      </c>
      <c r="G18" s="65">
        <v>0.02</v>
      </c>
      <c r="H18" s="66">
        <f>PRESTAMOS[[#This Row],[MONTO AMORTIZACION]]*PRESTAMOS[[#This Row],[INTERES]]*PRESTAMOS[[#This Row],[CUOTAS]]</f>
        <v>16</v>
      </c>
      <c r="I18" s="66">
        <f>PRESTAMOS[[#This Row],[MONTO AMORTIZACION]]+PRESTAMOS[[#This Row],[T. INT]]</f>
        <v>216</v>
      </c>
      <c r="J18" s="259" t="s">
        <v>441</v>
      </c>
      <c r="K18" s="230" t="str">
        <f>IF(LEN(PRESTAMOS[[#This Row],[REG]])=LEN("AYUDA**"),"PAGADO",IF(SUMIF(PAGOS!$D$3:$D$1048576,A18,PAGOS!$E$3:$E$1048576)-PRESTAMOS[[#This Row],[MONTO AMORTIZACION]]&gt;=-0.1,"PAGADO","PENDIENTE"))</f>
        <v>PAGADO</v>
      </c>
      <c r="L18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8" s="232"/>
    </row>
    <row r="19" spans="1:15" hidden="1" x14ac:dyDescent="0.3">
      <c r="A19" s="302">
        <v>16</v>
      </c>
      <c r="B19" s="61">
        <v>1</v>
      </c>
      <c r="C19" s="51" t="s">
        <v>14</v>
      </c>
      <c r="D19" s="62">
        <v>100</v>
      </c>
      <c r="E19" s="63">
        <v>45031</v>
      </c>
      <c r="F19" s="64">
        <v>4</v>
      </c>
      <c r="G19" s="65">
        <v>0.02</v>
      </c>
      <c r="H19" s="66">
        <f>PRESTAMOS[[#This Row],[MONTO AMORTIZACION]]*PRESTAMOS[[#This Row],[INTERES]]*PRESTAMOS[[#This Row],[CUOTAS]]</f>
        <v>8</v>
      </c>
      <c r="I19" s="66">
        <f>PRESTAMOS[[#This Row],[MONTO AMORTIZACION]]+PRESTAMOS[[#This Row],[T. INT]]</f>
        <v>108</v>
      </c>
      <c r="J19" s="259" t="s">
        <v>441</v>
      </c>
      <c r="K19" s="230" t="str">
        <f>IF(LEN(PRESTAMOS[[#This Row],[REG]])=LEN("AYUDA**"),"PAGADO",IF(SUMIF(PAGOS!$D$3:$D$1048576,A19,PAGOS!$E$3:$E$1048576)-PRESTAMOS[[#This Row],[MONTO AMORTIZACION]]&gt;=-0.1,"PAGADO","PENDIENTE"))</f>
        <v>PAGADO</v>
      </c>
      <c r="L19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232"/>
    </row>
    <row r="20" spans="1:15" hidden="1" x14ac:dyDescent="0.3">
      <c r="A20" s="302">
        <v>17</v>
      </c>
      <c r="B20" s="61">
        <v>5</v>
      </c>
      <c r="C20" s="51" t="s">
        <v>18</v>
      </c>
      <c r="D20" s="62">
        <v>200</v>
      </c>
      <c r="E20" s="63">
        <v>45061</v>
      </c>
      <c r="F20" s="64">
        <v>2</v>
      </c>
      <c r="G20" s="65">
        <v>0.02</v>
      </c>
      <c r="H20" s="66">
        <f>PRESTAMOS[[#This Row],[MONTO AMORTIZACION]]*PRESTAMOS[[#This Row],[INTERES]]*PRESTAMOS[[#This Row],[CUOTAS]]</f>
        <v>8</v>
      </c>
      <c r="I20" s="66">
        <f>PRESTAMOS[[#This Row],[MONTO AMORTIZACION]]+PRESTAMOS[[#This Row],[T. INT]]</f>
        <v>208</v>
      </c>
      <c r="J20" s="259" t="s">
        <v>441</v>
      </c>
      <c r="K20" s="230" t="str">
        <f>IF(LEN(PRESTAMOS[[#This Row],[REG]])=LEN("AYUDA**"),"PAGADO",IF(SUMIF(PAGOS!$D$3:$D$1048576,A20,PAGOS!$E$3:$E$1048576)-PRESTAMOS[[#This Row],[MONTO AMORTIZACION]]&gt;=-0.1,"PAGADO","PENDIENTE"))</f>
        <v>PAGADO</v>
      </c>
      <c r="L20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hidden="1" x14ac:dyDescent="0.3">
      <c r="A21" s="302">
        <v>18</v>
      </c>
      <c r="B21" s="61">
        <v>6</v>
      </c>
      <c r="C21" s="51" t="s">
        <v>19</v>
      </c>
      <c r="D21" s="62">
        <v>100</v>
      </c>
      <c r="E21" s="63">
        <v>45061</v>
      </c>
      <c r="F21" s="64">
        <v>4</v>
      </c>
      <c r="G21" s="65">
        <v>0.02</v>
      </c>
      <c r="H21" s="66">
        <f>PRESTAMOS[[#This Row],[MONTO AMORTIZACION]]*PRESTAMOS[[#This Row],[INTERES]]*PRESTAMOS[[#This Row],[CUOTAS]]</f>
        <v>8</v>
      </c>
      <c r="I21" s="66">
        <f>PRESTAMOS[[#This Row],[MONTO AMORTIZACION]]+PRESTAMOS[[#This Row],[T. INT]]</f>
        <v>108</v>
      </c>
      <c r="J21" s="259" t="s">
        <v>441</v>
      </c>
      <c r="K21" s="230" t="str">
        <f>IF(LEN(PRESTAMOS[[#This Row],[REG]])=LEN("AYUDA**"),"PAGADO",IF(SUMIF(PAGOS!$D$3:$D$1048576,A21,PAGOS!$E$3:$E$1048576)-PRESTAMOS[[#This Row],[MONTO AMORTIZACION]]&gt;=-0.1,"PAGADO","PENDIENTE"))</f>
        <v>PAGADO</v>
      </c>
      <c r="L21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hidden="1" x14ac:dyDescent="0.3">
      <c r="A22" s="302">
        <v>19</v>
      </c>
      <c r="B22" s="61">
        <v>10</v>
      </c>
      <c r="C22" s="51" t="s">
        <v>23</v>
      </c>
      <c r="D22" s="62">
        <v>400</v>
      </c>
      <c r="E22" s="63">
        <v>45092</v>
      </c>
      <c r="F22" s="64">
        <v>4</v>
      </c>
      <c r="G22" s="65">
        <v>0.02</v>
      </c>
      <c r="H22" s="66">
        <f>PRESTAMOS[[#This Row],[MONTO AMORTIZACION]]*PRESTAMOS[[#This Row],[INTERES]]*PRESTAMOS[[#This Row],[CUOTAS]]</f>
        <v>32</v>
      </c>
      <c r="I22" s="66">
        <f>PRESTAMOS[[#This Row],[MONTO AMORTIZACION]]+PRESTAMOS[[#This Row],[T. INT]]</f>
        <v>432</v>
      </c>
      <c r="J22" s="259" t="s">
        <v>445</v>
      </c>
      <c r="K22" s="230" t="str">
        <f>IF(LEN(PRESTAMOS[[#This Row],[REG]])=LEN("AYUDA**"),"PAGADO",IF(SUMIF(PAGOS!$D$3:$D$1048576,A22,PAGOS!$E$3:$E$1048576)-PRESTAMOS[[#This Row],[MONTO AMORTIZACION]]&gt;=-0.1,"PAGADO","PENDIENTE"))</f>
        <v>PAGADO</v>
      </c>
      <c r="L22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hidden="1" x14ac:dyDescent="0.3">
      <c r="A23" s="302">
        <v>20</v>
      </c>
      <c r="B23" s="61">
        <v>11</v>
      </c>
      <c r="C23" s="51" t="s">
        <v>24</v>
      </c>
      <c r="D23" s="62">
        <v>200</v>
      </c>
      <c r="E23" s="63">
        <v>45092</v>
      </c>
      <c r="F23" s="64">
        <v>4</v>
      </c>
      <c r="G23" s="65">
        <v>0.02</v>
      </c>
      <c r="H23" s="66">
        <f>PRESTAMOS[[#This Row],[MONTO AMORTIZACION]]*PRESTAMOS[[#This Row],[INTERES]]*PRESTAMOS[[#This Row],[CUOTAS]]</f>
        <v>16</v>
      </c>
      <c r="I23" s="66">
        <f>PRESTAMOS[[#This Row],[MONTO AMORTIZACION]]+PRESTAMOS[[#This Row],[T. INT]]</f>
        <v>216</v>
      </c>
      <c r="J23" s="259" t="s">
        <v>445</v>
      </c>
      <c r="K23" s="230" t="str">
        <f>IF(LEN(PRESTAMOS[[#This Row],[REG]])=LEN("AYUDA**"),"PAGADO",IF(SUMIF(PAGOS!$D$3:$D$1048576,A23,PAGOS!$E$3:$E$1048576)-PRESTAMOS[[#This Row],[MONTO AMORTIZACION]]&gt;=-0.1,"PAGADO","PENDIENTE"))</f>
        <v>PAGADO</v>
      </c>
      <c r="L23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hidden="1" x14ac:dyDescent="0.3">
      <c r="A24" s="302">
        <v>21</v>
      </c>
      <c r="B24" s="61">
        <v>3</v>
      </c>
      <c r="C24" s="51" t="s">
        <v>16</v>
      </c>
      <c r="D24" s="62">
        <v>400</v>
      </c>
      <c r="E24" s="63">
        <v>45092</v>
      </c>
      <c r="F24" s="64">
        <v>4</v>
      </c>
      <c r="G24" s="65">
        <v>0.02</v>
      </c>
      <c r="H24" s="66">
        <f>PRESTAMOS[[#This Row],[MONTO AMORTIZACION]]*PRESTAMOS[[#This Row],[INTERES]]*PRESTAMOS[[#This Row],[CUOTAS]]</f>
        <v>32</v>
      </c>
      <c r="I24" s="66">
        <f>PRESTAMOS[[#This Row],[MONTO AMORTIZACION]]+PRESTAMOS[[#This Row],[T. INT]]</f>
        <v>432</v>
      </c>
      <c r="J24" s="259" t="s">
        <v>445</v>
      </c>
      <c r="K24" s="230" t="str">
        <f>IF(LEN(PRESTAMOS[[#This Row],[REG]])=LEN("AYUDA**"),"PAGADO",IF(SUMIF(PAGOS!$D$3:$D$1048576,A24,PAGOS!$E$3:$E$1048576)-PRESTAMOS[[#This Row],[MONTO AMORTIZACION]]&gt;=-0.1,"PAGADO","PENDIENTE"))</f>
        <v>PAGADO</v>
      </c>
      <c r="L24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hidden="1" x14ac:dyDescent="0.3">
      <c r="A25" s="302">
        <v>22</v>
      </c>
      <c r="B25" s="61">
        <v>1</v>
      </c>
      <c r="C25" s="51" t="s">
        <v>14</v>
      </c>
      <c r="D25" s="62">
        <v>100</v>
      </c>
      <c r="E25" s="63">
        <v>45128</v>
      </c>
      <c r="F25" s="64">
        <v>1</v>
      </c>
      <c r="G25" s="65">
        <v>0.02</v>
      </c>
      <c r="H25" s="66">
        <f>PRESTAMOS[[#This Row],[MONTO AMORTIZACION]]*PRESTAMOS[[#This Row],[INTERES]]*PRESTAMOS[[#This Row],[CUOTAS]]</f>
        <v>2</v>
      </c>
      <c r="I25" s="66">
        <f>PRESTAMOS[[#This Row],[MONTO AMORTIZACION]]+PRESTAMOS[[#This Row],[T. INT]]</f>
        <v>102</v>
      </c>
      <c r="J25" s="259" t="s">
        <v>441</v>
      </c>
      <c r="K25" s="230" t="str">
        <f>IF(LEN(PRESTAMOS[[#This Row],[REG]])=LEN("AYUDA**"),"PAGADO",IF(SUMIF(PAGOS!$D$3:$D$1048576,A25,PAGOS!$E$3:$E$1048576)-PRESTAMOS[[#This Row],[MONTO AMORTIZACION]]&gt;=-0.1,"PAGADO","PENDIENTE"))</f>
        <v>PAGADO</v>
      </c>
      <c r="L25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hidden="1" x14ac:dyDescent="0.3">
      <c r="A26" s="302">
        <v>23</v>
      </c>
      <c r="B26" s="61">
        <v>4</v>
      </c>
      <c r="C26" s="51" t="s">
        <v>17</v>
      </c>
      <c r="D26" s="62">
        <v>200</v>
      </c>
      <c r="E26" s="63">
        <v>45128</v>
      </c>
      <c r="F26" s="64">
        <v>1</v>
      </c>
      <c r="G26" s="65">
        <v>0.02</v>
      </c>
      <c r="H26" s="66">
        <f>PRESTAMOS[[#This Row],[MONTO AMORTIZACION]]*PRESTAMOS[[#This Row],[INTERES]]*PRESTAMOS[[#This Row],[CUOTAS]]</f>
        <v>4</v>
      </c>
      <c r="I26" s="66">
        <f>PRESTAMOS[[#This Row],[MONTO AMORTIZACION]]+PRESTAMOS[[#This Row],[T. INT]]</f>
        <v>204</v>
      </c>
      <c r="J26" s="259" t="s">
        <v>441</v>
      </c>
      <c r="K26" s="230" t="str">
        <f>IF(LEN(PRESTAMOS[[#This Row],[REG]])=LEN("AYUDA**"),"PAGADO",IF(SUMIF(PAGOS!$D$3:$D$1048576,A26,PAGOS!$E$3:$E$1048576)-PRESTAMOS[[#This Row],[MONTO AMORTIZACION]]&gt;=-0.1,"PAGADO","PENDIENTE"))</f>
        <v>PAGADO</v>
      </c>
      <c r="L26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hidden="1" x14ac:dyDescent="0.3">
      <c r="A27" s="302">
        <v>24</v>
      </c>
      <c r="B27" s="61">
        <v>5</v>
      </c>
      <c r="C27" s="51" t="s">
        <v>18</v>
      </c>
      <c r="D27" s="62">
        <v>200</v>
      </c>
      <c r="E27" s="63">
        <v>45153</v>
      </c>
      <c r="F27" s="64">
        <v>1</v>
      </c>
      <c r="G27" s="65">
        <v>0.02</v>
      </c>
      <c r="H27" s="66">
        <f>PRESTAMOS[[#This Row],[MONTO AMORTIZACION]]*PRESTAMOS[[#This Row],[INTERES]]*PRESTAMOS[[#This Row],[CUOTAS]]</f>
        <v>4</v>
      </c>
      <c r="I27" s="66">
        <f>PRESTAMOS[[#This Row],[MONTO AMORTIZACION]]+PRESTAMOS[[#This Row],[T. INT]]</f>
        <v>204</v>
      </c>
      <c r="J27" s="259" t="s">
        <v>441</v>
      </c>
      <c r="K27" s="230" t="str">
        <f>IF(LEN(PRESTAMOS[[#This Row],[REG]])=LEN("AYUDA**"),"PAGADO",IF(SUMIF(PAGOS!$D$3:$D$1048576,A27,PAGOS!$E$3:$E$1048576)-PRESTAMOS[[#This Row],[MONTO AMORTIZACION]]&gt;=-0.1,"PAGADO","PENDIENTE"))</f>
        <v>PAGADO</v>
      </c>
      <c r="L27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hidden="1" x14ac:dyDescent="0.3">
      <c r="A28" s="309">
        <v>25</v>
      </c>
      <c r="B28" s="61">
        <v>13</v>
      </c>
      <c r="C28" s="51" t="s">
        <v>26</v>
      </c>
      <c r="D28" s="62">
        <v>500</v>
      </c>
      <c r="E28" s="63">
        <v>45184</v>
      </c>
      <c r="F28" s="64">
        <v>6</v>
      </c>
      <c r="G28" s="65">
        <v>0.02</v>
      </c>
      <c r="H28" s="66">
        <f>PRESTAMOS[[#This Row],[MONTO AMORTIZACION]]*PRESTAMOS[[#This Row],[INTERES]]*PRESTAMOS[[#This Row],[CUOTAS]]</f>
        <v>60</v>
      </c>
      <c r="I28" s="66">
        <f>PRESTAMOS[[#This Row],[MONTO AMORTIZACION]]+PRESTAMOS[[#This Row],[T. INT]]</f>
        <v>560</v>
      </c>
      <c r="J28" s="259" t="s">
        <v>445</v>
      </c>
      <c r="K28" s="230" t="str">
        <f>IF(LEN(PRESTAMOS[[#This Row],[REG]])=LEN("AYUDA**"),"PAGADO",IF(SUMIF(PAGOS!$D$3:$D$1048576,A28,PAGOS!$E$3:$E$1048576)-PRESTAMOS[[#This Row],[MONTO AMORTIZACION]]&gt;=-0.1,"PAGADO","PENDIENTE"))</f>
        <v>PAGADO</v>
      </c>
      <c r="L28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hidden="1" x14ac:dyDescent="0.3">
      <c r="A29" s="302">
        <v>26</v>
      </c>
      <c r="B29" s="61">
        <v>4</v>
      </c>
      <c r="C29" s="51" t="s">
        <v>17</v>
      </c>
      <c r="D29" s="62">
        <v>100</v>
      </c>
      <c r="E29" s="63">
        <v>45184</v>
      </c>
      <c r="F29" s="64">
        <v>1</v>
      </c>
      <c r="G29" s="65">
        <v>0.02</v>
      </c>
      <c r="H29" s="66">
        <f>PRESTAMOS[[#This Row],[MONTO AMORTIZACION]]*PRESTAMOS[[#This Row],[INTERES]]*PRESTAMOS[[#This Row],[CUOTAS]]</f>
        <v>2</v>
      </c>
      <c r="I29" s="66">
        <f>PRESTAMOS[[#This Row],[MONTO AMORTIZACION]]+PRESTAMOS[[#This Row],[T. INT]]</f>
        <v>102</v>
      </c>
      <c r="J29" s="259" t="s">
        <v>77</v>
      </c>
      <c r="K29" s="230" t="str">
        <f>IF(LEN(PRESTAMOS[[#This Row],[REG]])=LEN("AYUDA**"),"PAGADO",IF(SUMIF(PAGOS!$D$3:$D$1048576,A29,PAGOS!$E$3:$E$1048576)-PRESTAMOS[[#This Row],[MONTO AMORTIZACION]]&gt;=-0.1,"PAGADO","PENDIENTE"))</f>
        <v>PAGADO</v>
      </c>
      <c r="L29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hidden="1" x14ac:dyDescent="0.3">
      <c r="A30" s="302">
        <v>27</v>
      </c>
      <c r="B30" s="61">
        <v>2</v>
      </c>
      <c r="C30" s="51" t="s">
        <v>15</v>
      </c>
      <c r="D30" s="62">
        <v>100</v>
      </c>
      <c r="E30" s="63">
        <v>45184</v>
      </c>
      <c r="F30" s="64">
        <v>4</v>
      </c>
      <c r="G30" s="65">
        <v>0.02</v>
      </c>
      <c r="H30" s="66">
        <f>PRESTAMOS[[#This Row],[MONTO AMORTIZACION]]*PRESTAMOS[[#This Row],[INTERES]]*PRESTAMOS[[#This Row],[CUOTAS]]</f>
        <v>8</v>
      </c>
      <c r="I30" s="66">
        <f>PRESTAMOS[[#This Row],[MONTO AMORTIZACION]]+PRESTAMOS[[#This Row],[T. INT]]</f>
        <v>108</v>
      </c>
      <c r="J30" s="259" t="s">
        <v>78</v>
      </c>
      <c r="K30" s="230" t="str">
        <f>IF(LEN(PRESTAMOS[[#This Row],[REG]])=LEN("AYUDA**"),"PAGADO",IF(SUMIF(PAGOS!$D$3:$D$1048576,A30,PAGOS!$E$3:$E$1048576)-PRESTAMOS[[#This Row],[MONTO AMORTIZACION]]&gt;=-0.1,"PAGADO","PENDIENTE"))</f>
        <v>PAGADO</v>
      </c>
      <c r="L30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hidden="1" x14ac:dyDescent="0.3">
      <c r="A31" s="302">
        <v>28</v>
      </c>
      <c r="B31" s="61">
        <v>6</v>
      </c>
      <c r="C31" s="51" t="s">
        <v>19</v>
      </c>
      <c r="D31" s="62">
        <v>600</v>
      </c>
      <c r="E31" s="63">
        <v>45214</v>
      </c>
      <c r="F31" s="64">
        <v>4</v>
      </c>
      <c r="G31" s="65">
        <v>0.02</v>
      </c>
      <c r="H31" s="66">
        <f>PRESTAMOS[[#This Row],[MONTO AMORTIZACION]]*PRESTAMOS[[#This Row],[INTERES]]*PRESTAMOS[[#This Row],[CUOTAS]]</f>
        <v>48</v>
      </c>
      <c r="I31" s="66">
        <f>PRESTAMOS[[#This Row],[MONTO AMORTIZACION]]+PRESTAMOS[[#This Row],[T. INT]]</f>
        <v>648</v>
      </c>
      <c r="J31" s="259" t="s">
        <v>445</v>
      </c>
      <c r="K31" s="230" t="str">
        <f>IF(LEN(PRESTAMOS[[#This Row],[REG]])=LEN("AYUDA**"),"PAGADO",IF(SUMIF(PAGOS!$D$3:$D$1048576,A31,PAGOS!$E$3:$E$1048576)-PRESTAMOS[[#This Row],[MONTO AMORTIZACION]]&gt;=-0.1,"PAGADO","PENDIENTE"))</f>
        <v>PAGADO</v>
      </c>
      <c r="L31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hidden="1" x14ac:dyDescent="0.3">
      <c r="A32" s="302">
        <v>29</v>
      </c>
      <c r="B32" s="61">
        <v>12</v>
      </c>
      <c r="C32" s="51" t="s">
        <v>25</v>
      </c>
      <c r="D32" s="62">
        <v>200</v>
      </c>
      <c r="E32" s="63">
        <v>45214</v>
      </c>
      <c r="F32" s="64">
        <v>4</v>
      </c>
      <c r="G32" s="65">
        <v>0.02</v>
      </c>
      <c r="H32" s="66">
        <f>PRESTAMOS[[#This Row],[MONTO AMORTIZACION]]*PRESTAMOS[[#This Row],[INTERES]]*PRESTAMOS[[#This Row],[CUOTAS]]</f>
        <v>16</v>
      </c>
      <c r="I32" s="66">
        <f>PRESTAMOS[[#This Row],[MONTO AMORTIZACION]]+PRESTAMOS[[#This Row],[T. INT]]</f>
        <v>216</v>
      </c>
      <c r="J32" s="259" t="s">
        <v>116</v>
      </c>
      <c r="K32" s="230" t="str">
        <f>IF(LEN(PRESTAMOS[[#This Row],[REG]])=LEN("AYUDA**"),"PAGADO",IF(SUMIF(PAGOS!$D$3:$D$1048576,A32,PAGOS!$E$3:$E$1048576)-PRESTAMOS[[#This Row],[MONTO AMORTIZACION]]&gt;=-0.1,"PAGADO","PENDIENTE"))</f>
        <v>PAGADO</v>
      </c>
      <c r="L32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hidden="1" x14ac:dyDescent="0.3">
      <c r="A33" s="302">
        <v>30</v>
      </c>
      <c r="B33" s="61">
        <v>9</v>
      </c>
      <c r="C33" s="51" t="s">
        <v>22</v>
      </c>
      <c r="D33" s="62">
        <v>400</v>
      </c>
      <c r="E33" s="63">
        <v>45214</v>
      </c>
      <c r="F33" s="64">
        <v>7</v>
      </c>
      <c r="G33" s="65">
        <v>0.02</v>
      </c>
      <c r="H33" s="66">
        <f>PRESTAMOS[[#This Row],[MONTO AMORTIZACION]]*PRESTAMOS[[#This Row],[INTERES]]*PRESTAMOS[[#This Row],[CUOTAS]]</f>
        <v>56</v>
      </c>
      <c r="I33" s="66">
        <f>PRESTAMOS[[#This Row],[MONTO AMORTIZACION]]+PRESTAMOS[[#This Row],[T. INT]]</f>
        <v>456</v>
      </c>
      <c r="J33" s="259" t="s">
        <v>117</v>
      </c>
      <c r="K33" s="230" t="str">
        <f>IF(LEN(PRESTAMOS[[#This Row],[REG]])=LEN("AYUDA**"),"PAGADO",IF(SUMIF(PAGOS!$D$3:$D$1048576,A33,PAGOS!$E$3:$E$1048576)-PRESTAMOS[[#This Row],[MONTO AMORTIZACION]]&gt;=-0.1,"PAGADO","PENDIENTE"))</f>
        <v>PAGADO</v>
      </c>
      <c r="L33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hidden="1" x14ac:dyDescent="0.3">
      <c r="A34" s="302">
        <v>31</v>
      </c>
      <c r="B34" s="61">
        <v>3</v>
      </c>
      <c r="C34" s="51" t="s">
        <v>16</v>
      </c>
      <c r="D34" s="62">
        <v>200</v>
      </c>
      <c r="E34" s="63">
        <v>45245</v>
      </c>
      <c r="F34" s="64">
        <v>4</v>
      </c>
      <c r="G34" s="65">
        <v>0.02</v>
      </c>
      <c r="H34" s="66">
        <f>PRESTAMOS[[#This Row],[MONTO AMORTIZACION]]*PRESTAMOS[[#This Row],[INTERES]]*PRESTAMOS[[#This Row],[CUOTAS]]</f>
        <v>16</v>
      </c>
      <c r="I34" s="66">
        <f>PRESTAMOS[[#This Row],[MONTO AMORTIZACION]]+PRESTAMOS[[#This Row],[T. INT]]</f>
        <v>216</v>
      </c>
      <c r="J34" s="259" t="s">
        <v>126</v>
      </c>
      <c r="K34" s="230" t="str">
        <f>IF(LEN(PRESTAMOS[[#This Row],[REG]])=LEN("AYUDA**"),"PAGADO",IF(SUMIF(PAGOS!$D$3:$D$1048576,A34,PAGOS!$E$3:$E$1048576)-PRESTAMOS[[#This Row],[MONTO AMORTIZACION]]&gt;=-0.1,"PAGADO","PENDIENTE"))</f>
        <v>PAGADO</v>
      </c>
      <c r="L34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hidden="1" x14ac:dyDescent="0.3">
      <c r="A35" s="302">
        <v>32</v>
      </c>
      <c r="B35" s="61">
        <v>10</v>
      </c>
      <c r="C35" s="51" t="s">
        <v>23</v>
      </c>
      <c r="D35" s="62">
        <v>250</v>
      </c>
      <c r="E35" s="63">
        <v>45245</v>
      </c>
      <c r="F35" s="64">
        <v>4</v>
      </c>
      <c r="G35" s="65">
        <v>0.02</v>
      </c>
      <c r="H35" s="66">
        <f>PRESTAMOS[[#This Row],[MONTO AMORTIZACION]]*PRESTAMOS[[#This Row],[INTERES]]*PRESTAMOS[[#This Row],[CUOTAS]]</f>
        <v>20</v>
      </c>
      <c r="I35" s="66">
        <f>PRESTAMOS[[#This Row],[MONTO AMORTIZACION]]+PRESTAMOS[[#This Row],[T. INT]]</f>
        <v>270</v>
      </c>
      <c r="J35" s="259" t="s">
        <v>126</v>
      </c>
      <c r="K35" s="230" t="str">
        <f>IF(LEN(PRESTAMOS[[#This Row],[REG]])=LEN("AYUDA**"),"PAGADO",IF(SUMIF(PAGOS!$D$3:$D$1048576,A35,PAGOS!$E$3:$E$1048576)-PRESTAMOS[[#This Row],[MONTO AMORTIZACION]]&gt;=-0.1,"PAGADO","PENDIENTE"))</f>
        <v>PAGADO</v>
      </c>
      <c r="L35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hidden="1" x14ac:dyDescent="0.3">
      <c r="A36" s="302">
        <v>33</v>
      </c>
      <c r="B36" s="61">
        <v>10</v>
      </c>
      <c r="C36" s="51" t="s">
        <v>23</v>
      </c>
      <c r="D36" s="62">
        <v>500</v>
      </c>
      <c r="E36" s="63">
        <v>45306</v>
      </c>
      <c r="F36" s="64">
        <v>2</v>
      </c>
      <c r="G36" s="65">
        <v>0.02</v>
      </c>
      <c r="H36" s="66">
        <f>PRESTAMOS[[#This Row],[MONTO AMORTIZACION]]*PRESTAMOS[[#This Row],[INTERES]]*PRESTAMOS[[#This Row],[CUOTAS]]</f>
        <v>20</v>
      </c>
      <c r="I36" s="66">
        <f>PRESTAMOS[[#This Row],[MONTO AMORTIZACION]]+PRESTAMOS[[#This Row],[T. INT]]</f>
        <v>520</v>
      </c>
      <c r="J36" s="259" t="s">
        <v>131</v>
      </c>
      <c r="K36" s="230" t="str">
        <f>IF(LEN(PRESTAMOS[[#This Row],[REG]])=LEN("AYUDA**"),"PAGADO",IF(SUMIF(PAGOS!$D$3:$D$1048576,A36,PAGOS!$E$3:$E$1048576)-PRESTAMOS[[#This Row],[MONTO AMORTIZACION]]&gt;=-0.1,"PAGADO","PENDIENTE"))</f>
        <v>PAGADO</v>
      </c>
      <c r="L36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hidden="1" x14ac:dyDescent="0.3">
      <c r="A37" s="302">
        <v>34</v>
      </c>
      <c r="B37" s="61">
        <v>11</v>
      </c>
      <c r="C37" s="51" t="s">
        <v>24</v>
      </c>
      <c r="D37" s="62">
        <v>100</v>
      </c>
      <c r="E37" s="63">
        <v>45311</v>
      </c>
      <c r="F37" s="64">
        <v>5</v>
      </c>
      <c r="G37" s="65">
        <v>0.02</v>
      </c>
      <c r="H37" s="66">
        <f>PRESTAMOS[[#This Row],[MONTO AMORTIZACION]]*PRESTAMOS[[#This Row],[INTERES]]*PRESTAMOS[[#This Row],[CUOTAS]]</f>
        <v>10</v>
      </c>
      <c r="I37" s="66">
        <f>PRESTAMOS[[#This Row],[MONTO AMORTIZACION]]+PRESTAMOS[[#This Row],[T. INT]]</f>
        <v>110</v>
      </c>
      <c r="J37" s="259" t="s">
        <v>135</v>
      </c>
      <c r="K37" s="230" t="str">
        <f>IF(LEN(PRESTAMOS[[#This Row],[REG]])=LEN("AYUDA**"),"PAGADO",IF(SUMIF(PAGOS!$D$3:$D$1048576,A37,PAGOS!$E$3:$E$1048576)-PRESTAMOS[[#This Row],[MONTO AMORTIZACION]]&gt;=-0.1,"PAGADO","PENDIENTE"))</f>
        <v>PAGADO</v>
      </c>
      <c r="L37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hidden="1" x14ac:dyDescent="0.3">
      <c r="A38" s="302">
        <v>35</v>
      </c>
      <c r="B38" s="61">
        <v>6</v>
      </c>
      <c r="C38" s="51" t="s">
        <v>19</v>
      </c>
      <c r="D38" s="62">
        <v>600</v>
      </c>
      <c r="E38" s="63">
        <v>45337</v>
      </c>
      <c r="F38" s="64">
        <v>5</v>
      </c>
      <c r="G38" s="65">
        <v>0.02</v>
      </c>
      <c r="H38" s="66">
        <f>PRESTAMOS[[#This Row],[MONTO AMORTIZACION]]*PRESTAMOS[[#This Row],[INTERES]]*PRESTAMOS[[#This Row],[CUOTAS]]</f>
        <v>60</v>
      </c>
      <c r="I38" s="66">
        <f>PRESTAMOS[[#This Row],[MONTO AMORTIZACION]]+PRESTAMOS[[#This Row],[T. INT]]</f>
        <v>660</v>
      </c>
      <c r="J38" s="259" t="s">
        <v>182</v>
      </c>
      <c r="K38" s="230" t="str">
        <f>IF(LEN(PRESTAMOS[[#This Row],[REG]])=LEN("AYUDA**"),"PAGADO",IF(SUMIF(PAGOS!$D$3:$D$1048576,A38,PAGOS!$E$3:$E$1048576)-PRESTAMOS[[#This Row],[MONTO AMORTIZACION]]&gt;=-0.1,"PAGADO","PENDIENTE"))</f>
        <v>PAGADO</v>
      </c>
      <c r="L38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hidden="1" x14ac:dyDescent="0.3">
      <c r="A39" s="302">
        <v>36</v>
      </c>
      <c r="B39" s="61">
        <v>1</v>
      </c>
      <c r="C39" s="51" t="s">
        <v>14</v>
      </c>
      <c r="D39" s="62">
        <v>100</v>
      </c>
      <c r="E39" s="63">
        <v>45341</v>
      </c>
      <c r="F39" s="64">
        <v>4</v>
      </c>
      <c r="G39" s="65">
        <v>0.02</v>
      </c>
      <c r="H39" s="66">
        <f>PRESTAMOS[[#This Row],[MONTO AMORTIZACION]]*PRESTAMOS[[#This Row],[INTERES]]*PRESTAMOS[[#This Row],[CUOTAS]]</f>
        <v>8</v>
      </c>
      <c r="I39" s="66">
        <f>PRESTAMOS[[#This Row],[MONTO AMORTIZACION]]+PRESTAMOS[[#This Row],[T. INT]]</f>
        <v>108</v>
      </c>
      <c r="J39" s="259" t="s">
        <v>205</v>
      </c>
      <c r="K39" s="230" t="str">
        <f>IF(LEN(PRESTAMOS[[#This Row],[REG]])=LEN("AYUDA**"),"PAGADO",IF(SUMIF(PAGOS!$D$3:$D$1048576,A39,PAGOS!$E$3:$E$1048576)-PRESTAMOS[[#This Row],[MONTO AMORTIZACION]]&gt;=-0.1,"PAGADO","PENDIENTE"))</f>
        <v>PAGADO</v>
      </c>
      <c r="L39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hidden="1" x14ac:dyDescent="0.3">
      <c r="A40" s="302">
        <v>37</v>
      </c>
      <c r="B40" s="61">
        <v>3</v>
      </c>
      <c r="C40" s="51" t="s">
        <v>16</v>
      </c>
      <c r="D40" s="62">
        <v>1000</v>
      </c>
      <c r="E40" s="63">
        <v>45366</v>
      </c>
      <c r="F40" s="64">
        <v>10</v>
      </c>
      <c r="G40" s="65">
        <v>0.02</v>
      </c>
      <c r="H40" s="66">
        <f>PRESTAMOS[[#This Row],[MONTO AMORTIZACION]]*PRESTAMOS[[#This Row],[INTERES]]*PRESTAMOS[[#This Row],[CUOTAS]]</f>
        <v>200</v>
      </c>
      <c r="I40" s="66">
        <f>PRESTAMOS[[#This Row],[MONTO AMORTIZACION]]+PRESTAMOS[[#This Row],[T. INT]]</f>
        <v>1200</v>
      </c>
      <c r="J40" s="259" t="s">
        <v>211</v>
      </c>
      <c r="K40" s="230" t="str">
        <f>IF(LEN(PRESTAMOS[[#This Row],[REG]])=LEN("AYUDA**"),"PAGADO",IF(SUMIF(PAGOS!$D$3:$D$1048576,A40,PAGOS!$E$3:$E$1048576)-PRESTAMOS[[#This Row],[MONTO AMORTIZACION]]&gt;=-0.1,"PAGADO","PENDIENTE"))</f>
        <v>PAGADO</v>
      </c>
      <c r="L40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hidden="1" x14ac:dyDescent="0.3">
      <c r="A41" s="302">
        <v>38</v>
      </c>
      <c r="B41" s="61">
        <v>11</v>
      </c>
      <c r="C41" s="51" t="s">
        <v>24</v>
      </c>
      <c r="D41" s="62">
        <v>600</v>
      </c>
      <c r="E41" s="63">
        <v>45366</v>
      </c>
      <c r="F41" s="64">
        <v>12</v>
      </c>
      <c r="G41" s="65">
        <v>0.02</v>
      </c>
      <c r="H41" s="66">
        <f>PRESTAMOS[[#This Row],[MONTO AMORTIZACION]]*PRESTAMOS[[#This Row],[INTERES]]*PRESTAMOS[[#This Row],[CUOTAS]]</f>
        <v>144</v>
      </c>
      <c r="I41" s="66">
        <f>PRESTAMOS[[#This Row],[MONTO AMORTIZACION]]+PRESTAMOS[[#This Row],[T. INT]]</f>
        <v>744</v>
      </c>
      <c r="J41" s="259" t="s">
        <v>211</v>
      </c>
      <c r="K41" s="230" t="str">
        <f>IF(LEN(PRESTAMOS[[#This Row],[REG]])=LEN("AYUDA**"),"PAGADO",IF(SUMIF(PAGOS!$D$3:$D$1048576,A41,PAGOS!$E$3:$E$1048576)-PRESTAMOS[[#This Row],[MONTO AMORTIZACION]]&gt;=-0.1,"PAGADO","PENDIENTE"))</f>
        <v>PAGADO</v>
      </c>
      <c r="L41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hidden="1" x14ac:dyDescent="0.3">
      <c r="A42" s="302">
        <v>39</v>
      </c>
      <c r="B42" s="61">
        <v>10</v>
      </c>
      <c r="C42" s="51" t="s">
        <v>23</v>
      </c>
      <c r="D42" s="62">
        <v>400</v>
      </c>
      <c r="E42" s="63">
        <v>45366</v>
      </c>
      <c r="F42" s="64">
        <v>4</v>
      </c>
      <c r="G42" s="65">
        <v>0.02</v>
      </c>
      <c r="H42" s="66">
        <f>PRESTAMOS[[#This Row],[MONTO AMORTIZACION]]*PRESTAMOS[[#This Row],[INTERES]]*PRESTAMOS[[#This Row],[CUOTAS]]</f>
        <v>32</v>
      </c>
      <c r="I42" s="66">
        <f>PRESTAMOS[[#This Row],[MONTO AMORTIZACION]]+PRESTAMOS[[#This Row],[T. INT]]</f>
        <v>432</v>
      </c>
      <c r="J42" s="259" t="s">
        <v>214</v>
      </c>
      <c r="K42" s="230" t="str">
        <f>IF(LEN(PRESTAMOS[[#This Row],[REG]])=LEN("AYUDA**"),"PAGADO",IF(SUMIF(PAGOS!$D$3:$D$1048576,A42,PAGOS!$E$3:$E$1048576)-PRESTAMOS[[#This Row],[MONTO AMORTIZACION]]&gt;=-0.1,"PAGADO","PENDIENTE"))</f>
        <v>PAGADO</v>
      </c>
      <c r="L42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hidden="1" x14ac:dyDescent="0.3">
      <c r="A43" s="302">
        <v>40</v>
      </c>
      <c r="B43" s="61">
        <v>7</v>
      </c>
      <c r="C43" s="51" t="s">
        <v>20</v>
      </c>
      <c r="D43" s="62">
        <v>100</v>
      </c>
      <c r="E43" s="63">
        <v>45366</v>
      </c>
      <c r="F43" s="64">
        <v>5</v>
      </c>
      <c r="G43" s="65">
        <v>0.02</v>
      </c>
      <c r="H43" s="66">
        <f>PRESTAMOS[[#This Row],[MONTO AMORTIZACION]]*PRESTAMOS[[#This Row],[INTERES]]*PRESTAMOS[[#This Row],[CUOTAS]]</f>
        <v>10</v>
      </c>
      <c r="I43" s="66">
        <f>PRESTAMOS[[#This Row],[MONTO AMORTIZACION]]+PRESTAMOS[[#This Row],[T. INT]]</f>
        <v>110</v>
      </c>
      <c r="J43" s="259" t="s">
        <v>211</v>
      </c>
      <c r="K43" s="230" t="str">
        <f>IF(LEN(PRESTAMOS[[#This Row],[REG]])=LEN("AYUDA**"),"PAGADO",IF(SUMIF(PAGOS!$D$3:$D$1048576,A43,PAGOS!$E$3:$E$1048576)-PRESTAMOS[[#This Row],[MONTO AMORTIZACION]]&gt;=-0.1,"PAGADO","PENDIENTE"))</f>
        <v>PAGADO</v>
      </c>
      <c r="L43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hidden="1" x14ac:dyDescent="0.3">
      <c r="A44" s="302">
        <v>41</v>
      </c>
      <c r="B44" s="61">
        <v>12</v>
      </c>
      <c r="C44" s="51" t="s">
        <v>25</v>
      </c>
      <c r="D44" s="62">
        <v>150</v>
      </c>
      <c r="E44" s="63">
        <v>45397</v>
      </c>
      <c r="F44" s="64">
        <v>3</v>
      </c>
      <c r="G44" s="65">
        <v>0.02</v>
      </c>
      <c r="H44" s="66">
        <f>PRESTAMOS[[#This Row],[MONTO AMORTIZACION]]*PRESTAMOS[[#This Row],[INTERES]]*PRESTAMOS[[#This Row],[CUOTAS]]</f>
        <v>9</v>
      </c>
      <c r="I44" s="66">
        <f>PRESTAMOS[[#This Row],[MONTO AMORTIZACION]]+PRESTAMOS[[#This Row],[T. INT]]</f>
        <v>159</v>
      </c>
      <c r="J44" s="259" t="s">
        <v>221</v>
      </c>
      <c r="K44" s="230" t="str">
        <f>IF(LEN(PRESTAMOS[[#This Row],[REG]])=LEN("AYUDA**"),"PAGADO",IF(SUMIF(PAGOS!$D$3:$D$1048576,A44,PAGOS!$E$3:$E$1048576)-PRESTAMOS[[#This Row],[MONTO AMORTIZACION]]&gt;=-0.1,"PAGADO","PENDIENTE"))</f>
        <v>PAGADO</v>
      </c>
      <c r="L44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hidden="1" x14ac:dyDescent="0.3">
      <c r="A45" s="60" t="s">
        <v>286</v>
      </c>
      <c r="B45" s="48">
        <v>19</v>
      </c>
      <c r="C45" s="51" t="s">
        <v>75</v>
      </c>
      <c r="D45" s="62">
        <v>100</v>
      </c>
      <c r="E45" s="63">
        <v>45397</v>
      </c>
      <c r="F45" s="64">
        <v>0</v>
      </c>
      <c r="G45" s="65">
        <v>0</v>
      </c>
      <c r="H45" s="66">
        <f>PRESTAMOS[[#This Row],[MONTO AMORTIZACION]]*PRESTAMOS[[#This Row],[INTERES]]*PRESTAMOS[[#This Row],[CUOTAS]]</f>
        <v>0</v>
      </c>
      <c r="I45" s="66">
        <f>PRESTAMOS[[#This Row],[MONTO AMORTIZACION]]+PRESTAMOS[[#This Row],[T. INT]]</f>
        <v>100</v>
      </c>
      <c r="J45" s="260" t="s">
        <v>223</v>
      </c>
      <c r="K45" s="230" t="str">
        <f>IF(LEN(PRESTAMOS[[#This Row],[REG]])=LEN("AYUDA**"),"PAGADO",IF(SUMIF(PAGOS!$D$3:$D$1048576,A45,PAGOS!$E$3:$E$1048576)-PRESTAMOS[[#This Row],[MONTO AMORTIZACION]]&gt;=-0.1,"PAGADO","PENDIENTE"))</f>
        <v>PAGADO</v>
      </c>
      <c r="L45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hidden="1" x14ac:dyDescent="0.3">
      <c r="A46" s="302">
        <v>42</v>
      </c>
      <c r="B46" s="61">
        <v>9</v>
      </c>
      <c r="C46" s="51" t="s">
        <v>22</v>
      </c>
      <c r="D46" s="62">
        <v>600</v>
      </c>
      <c r="E46" s="63">
        <v>45427</v>
      </c>
      <c r="F46" s="64">
        <v>7</v>
      </c>
      <c r="G46" s="65">
        <v>0.02</v>
      </c>
      <c r="H46" s="66">
        <f>PRESTAMOS[[#This Row],[MONTO AMORTIZACION]]*PRESTAMOS[[#This Row],[INTERES]]*PRESTAMOS[[#This Row],[CUOTAS]]</f>
        <v>84</v>
      </c>
      <c r="I46" s="66">
        <f>PRESTAMOS[[#This Row],[MONTO AMORTIZACION]]+PRESTAMOS[[#This Row],[T. INT]]</f>
        <v>684</v>
      </c>
      <c r="J46" s="259" t="s">
        <v>211</v>
      </c>
      <c r="K46" s="230" t="str">
        <f>IF(LEN(PRESTAMOS[[#This Row],[REG]])=LEN("AYUDA**"),"PAGADO",IF(SUMIF(PAGOS!$D$3:$D$1048576,A46,PAGOS!$E$3:$E$1048576)-PRESTAMOS[[#This Row],[MONTO AMORTIZACION]]&gt;=-0.1,"PAGADO","PENDIENTE"))</f>
        <v>PAGADO</v>
      </c>
      <c r="L46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hidden="1" x14ac:dyDescent="0.3">
      <c r="A47" s="302">
        <v>43</v>
      </c>
      <c r="B47" s="61">
        <v>4</v>
      </c>
      <c r="C47" s="51" t="s">
        <v>17</v>
      </c>
      <c r="D47" s="62">
        <v>400</v>
      </c>
      <c r="E47" s="63">
        <v>45427</v>
      </c>
      <c r="F47" s="64">
        <v>4</v>
      </c>
      <c r="G47" s="65">
        <v>0.02</v>
      </c>
      <c r="H47" s="66">
        <f>PRESTAMOS[[#This Row],[MONTO AMORTIZACION]]*PRESTAMOS[[#This Row],[INTERES]]*PRESTAMOS[[#This Row],[CUOTAS]]</f>
        <v>32</v>
      </c>
      <c r="I47" s="66">
        <f>PRESTAMOS[[#This Row],[MONTO AMORTIZACION]]+PRESTAMOS[[#This Row],[T. INT]]</f>
        <v>432</v>
      </c>
      <c r="J47" s="259" t="s">
        <v>226</v>
      </c>
      <c r="K47" s="230" t="str">
        <f>IF(LEN(PRESTAMOS[[#This Row],[REG]])=LEN("AYUDA**"),"PAGADO",IF(SUMIF(PAGOS!$D$3:$D$1048576,A47,PAGOS!$E$3:$E$1048576)-PRESTAMOS[[#This Row],[MONTO AMORTIZACION]]&gt;=-0.1,"PAGADO","PENDIENTE"))</f>
        <v>PAGADO</v>
      </c>
      <c r="L47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hidden="1" x14ac:dyDescent="0.3">
      <c r="A48" s="302">
        <v>44</v>
      </c>
      <c r="B48" s="61">
        <v>10</v>
      </c>
      <c r="C48" s="51" t="s">
        <v>23</v>
      </c>
      <c r="D48" s="62">
        <v>700</v>
      </c>
      <c r="E48" s="63">
        <v>45458</v>
      </c>
      <c r="F48" s="64">
        <v>5</v>
      </c>
      <c r="G48" s="65">
        <v>0.02</v>
      </c>
      <c r="H48" s="66">
        <f>PRESTAMOS[[#This Row],[MONTO AMORTIZACION]]*PRESTAMOS[[#This Row],[INTERES]]*PRESTAMOS[[#This Row],[CUOTAS]]</f>
        <v>70</v>
      </c>
      <c r="I48" s="66">
        <f>PRESTAMOS[[#This Row],[MONTO AMORTIZACION]]+PRESTAMOS[[#This Row],[T. INT]]</f>
        <v>770</v>
      </c>
      <c r="J48" s="259" t="s">
        <v>226</v>
      </c>
      <c r="K48" s="230" t="str">
        <f>IF(LEN(PRESTAMOS[[#This Row],[REG]])=LEN("AYUDA**"),"PAGADO",IF(SUMIF(PAGOS!$D$3:$D$1048576,A48,PAGOS!$E$3:$E$1048576)-PRESTAMOS[[#This Row],[MONTO AMORTIZACION]]&gt;=-0.1,"PAGADO","PENDIENTE"))</f>
        <v>PAGADO</v>
      </c>
      <c r="L48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hidden="1" x14ac:dyDescent="0.3">
      <c r="A49" s="302">
        <v>45</v>
      </c>
      <c r="B49" s="61">
        <v>5</v>
      </c>
      <c r="C49" s="51" t="s">
        <v>18</v>
      </c>
      <c r="D49" s="62">
        <v>300</v>
      </c>
      <c r="E49" s="63">
        <v>45458</v>
      </c>
      <c r="F49" s="64">
        <v>3</v>
      </c>
      <c r="G49" s="65">
        <v>0.02</v>
      </c>
      <c r="H49" s="66">
        <f>PRESTAMOS[[#This Row],[MONTO AMORTIZACION]]*PRESTAMOS[[#This Row],[INTERES]]*PRESTAMOS[[#This Row],[CUOTAS]]</f>
        <v>18</v>
      </c>
      <c r="I49" s="66">
        <f>PRESTAMOS[[#This Row],[MONTO AMORTIZACION]]+PRESTAMOS[[#This Row],[T. INT]]</f>
        <v>318</v>
      </c>
      <c r="J49" s="259" t="s">
        <v>226</v>
      </c>
      <c r="K49" s="230" t="str">
        <f>IF(LEN(PRESTAMOS[[#This Row],[REG]])=LEN("AYUDA**"),"PAGADO",IF(SUMIF(PAGOS!$D$3:$D$1048576,A49,PAGOS!$E$3:$E$1048576)-PRESTAMOS[[#This Row],[MONTO AMORTIZACION]]&gt;=-0.1,"PAGADO","PENDIENTE"))</f>
        <v>PAGADO</v>
      </c>
      <c r="L49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hidden="1" x14ac:dyDescent="0.3">
      <c r="A50" s="302">
        <v>46</v>
      </c>
      <c r="B50" s="61">
        <v>13</v>
      </c>
      <c r="C50" s="51" t="s">
        <v>26</v>
      </c>
      <c r="D50" s="62">
        <v>500</v>
      </c>
      <c r="E50" s="63">
        <v>45488</v>
      </c>
      <c r="F50" s="64">
        <v>5</v>
      </c>
      <c r="G50" s="65">
        <v>0.02</v>
      </c>
      <c r="H50" s="66">
        <f>PRESTAMOS[[#This Row],[MONTO AMORTIZACION]]*PRESTAMOS[[#This Row],[INTERES]]*PRESTAMOS[[#This Row],[CUOTAS]]</f>
        <v>50</v>
      </c>
      <c r="I50" s="66">
        <f>PRESTAMOS[[#This Row],[MONTO AMORTIZACION]]+PRESTAMOS[[#This Row],[T. INT]]</f>
        <v>550</v>
      </c>
      <c r="J50" s="259" t="s">
        <v>239</v>
      </c>
      <c r="K50" s="230" t="str">
        <f>IF(LEN(PRESTAMOS[[#This Row],[REG]])=LEN("AYUDA**"),"PAGADO",IF(SUMIF(PAGOS!$D$3:$D$1048576,A50,PAGOS!$E$3:$E$1048576)-PRESTAMOS[[#This Row],[MONTO AMORTIZACION]]&gt;=-0.1,"PAGADO","PENDIENTE"))</f>
        <v>PAGADO</v>
      </c>
      <c r="L50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hidden="1" x14ac:dyDescent="0.3">
      <c r="A51" s="302">
        <v>47</v>
      </c>
      <c r="B51" s="61">
        <v>12</v>
      </c>
      <c r="C51" s="51" t="s">
        <v>25</v>
      </c>
      <c r="D51" s="62">
        <v>500</v>
      </c>
      <c r="E51" s="63">
        <v>45488</v>
      </c>
      <c r="F51" s="64">
        <v>12</v>
      </c>
      <c r="G51" s="65">
        <v>0.02</v>
      </c>
      <c r="H51" s="66">
        <f>PRESTAMOS[[#This Row],[MONTO AMORTIZACION]]*PRESTAMOS[[#This Row],[INTERES]]*PRESTAMOS[[#This Row],[CUOTAS]]</f>
        <v>120</v>
      </c>
      <c r="I51" s="66">
        <f>PRESTAMOS[[#This Row],[MONTO AMORTIZACION]]+PRESTAMOS[[#This Row],[T. INT]]</f>
        <v>620</v>
      </c>
      <c r="J51" s="259" t="s">
        <v>117</v>
      </c>
      <c r="K51" s="230" t="str">
        <f>IF(LEN(PRESTAMOS[[#This Row],[REG]])=LEN("AYUDA**"),"PAGADO",IF(SUMIF(PAGOS!$D$3:$D$1048576,A51,PAGOS!$E$3:$E$1048576)-PRESTAMOS[[#This Row],[MONTO AMORTIZACION]]&gt;=-0.1,"PAGADO","PENDIENTE"))</f>
        <v>PAGADO</v>
      </c>
      <c r="L51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hidden="1" x14ac:dyDescent="0.3">
      <c r="A52" s="302">
        <v>48</v>
      </c>
      <c r="B52" s="61">
        <v>6</v>
      </c>
      <c r="C52" s="51" t="s">
        <v>19</v>
      </c>
      <c r="D52" s="62">
        <v>600</v>
      </c>
      <c r="E52" s="63">
        <v>45519</v>
      </c>
      <c r="F52" s="64">
        <v>6</v>
      </c>
      <c r="G52" s="65">
        <v>0.02</v>
      </c>
      <c r="H52" s="66">
        <f>PRESTAMOS[[#This Row],[MONTO AMORTIZACION]]*PRESTAMOS[[#This Row],[INTERES]]*PRESTAMOS[[#This Row],[CUOTAS]]</f>
        <v>72</v>
      </c>
      <c r="I52" s="66">
        <f>PRESTAMOS[[#This Row],[MONTO AMORTIZACION]]+PRESTAMOS[[#This Row],[T. INT]]</f>
        <v>672</v>
      </c>
      <c r="J52" s="259" t="s">
        <v>243</v>
      </c>
      <c r="K52" s="230" t="str">
        <f>IF(LEN(PRESTAMOS[[#This Row],[REG]])=LEN("AYUDA**"),"PAGADO",IF(SUMIF(PAGOS!$D$3:$D$1048576,A52,PAGOS!$E$3:$E$1048576)-PRESTAMOS[[#This Row],[MONTO AMORTIZACION]]&gt;=-0.1,"PAGADO","PENDIENTE"))</f>
        <v>PAGADO</v>
      </c>
      <c r="L52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hidden="1" x14ac:dyDescent="0.3">
      <c r="A53" s="302">
        <v>49</v>
      </c>
      <c r="B53" s="61">
        <v>1</v>
      </c>
      <c r="C53" s="51" t="s">
        <v>14</v>
      </c>
      <c r="D53" s="62">
        <v>300</v>
      </c>
      <c r="E53" s="63">
        <v>45519</v>
      </c>
      <c r="F53" s="64">
        <v>6</v>
      </c>
      <c r="G53" s="65">
        <v>0.02</v>
      </c>
      <c r="H53" s="66">
        <f>PRESTAMOS[[#This Row],[MONTO AMORTIZACION]]*PRESTAMOS[[#This Row],[INTERES]]*PRESTAMOS[[#This Row],[CUOTAS]]</f>
        <v>36</v>
      </c>
      <c r="I53" s="66">
        <f>PRESTAMOS[[#This Row],[MONTO AMORTIZACION]]+PRESTAMOS[[#This Row],[T. INT]]</f>
        <v>336</v>
      </c>
      <c r="J53" s="259" t="s">
        <v>245</v>
      </c>
      <c r="K53" s="230" t="str">
        <f>IF(LEN(PRESTAMOS[[#This Row],[REG]])=LEN("AYUDA**"),"PAGADO",IF(SUMIF(PAGOS!$D$3:$D$1048576,A53,PAGOS!$E$3:$E$1048576)-PRESTAMOS[[#This Row],[MONTO AMORTIZACION]]&gt;=-0.1,"PAGADO","PENDIENTE"))</f>
        <v>PAGADO</v>
      </c>
      <c r="L53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hidden="1" x14ac:dyDescent="0.3">
      <c r="A54" s="302">
        <v>50</v>
      </c>
      <c r="B54" s="61">
        <v>8</v>
      </c>
      <c r="C54" s="51" t="s">
        <v>21</v>
      </c>
      <c r="D54" s="62">
        <v>400</v>
      </c>
      <c r="E54" s="63">
        <v>45550</v>
      </c>
      <c r="F54" s="64">
        <v>4</v>
      </c>
      <c r="G54" s="65">
        <v>0.02</v>
      </c>
      <c r="H54" s="66">
        <f>PRESTAMOS[[#This Row],[MONTO AMORTIZACION]]*PRESTAMOS[[#This Row],[INTERES]]*PRESTAMOS[[#This Row],[CUOTAS]]</f>
        <v>32</v>
      </c>
      <c r="I54" s="66">
        <f>PRESTAMOS[[#This Row],[MONTO AMORTIZACION]]+PRESTAMOS[[#This Row],[T. INT]]</f>
        <v>432</v>
      </c>
      <c r="J54" s="259" t="s">
        <v>117</v>
      </c>
      <c r="K54" s="230" t="str">
        <f>IF(LEN(PRESTAMOS[[#This Row],[REG]])=LEN("AYUDA**"),"PAGADO",IF(SUMIF(PAGOS!$D$3:$D$1048576,A54,PAGOS!$E$3:$E$1048576)-PRESTAMOS[[#This Row],[MONTO AMORTIZACION]]&gt;=-0.1,"PAGADO","PENDIENTE"))</f>
        <v>PAGADO</v>
      </c>
      <c r="L54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hidden="1" x14ac:dyDescent="0.3">
      <c r="A55" s="60" t="s">
        <v>287</v>
      </c>
      <c r="B55" s="61">
        <v>19</v>
      </c>
      <c r="C55" s="51" t="s">
        <v>75</v>
      </c>
      <c r="D55" s="62">
        <v>260</v>
      </c>
      <c r="E55" s="63">
        <v>45550</v>
      </c>
      <c r="F55" s="64">
        <v>0</v>
      </c>
      <c r="G55" s="65">
        <v>0</v>
      </c>
      <c r="H55" s="66">
        <f>PRESTAMOS[[#This Row],[MONTO AMORTIZACION]]*PRESTAMOS[[#This Row],[INTERES]]*PRESTAMOS[[#This Row],[CUOTAS]]</f>
        <v>0</v>
      </c>
      <c r="I55" s="66">
        <f>PRESTAMOS[[#This Row],[MONTO AMORTIZACION]]+PRESTAMOS[[#This Row],[T. INT]]</f>
        <v>260</v>
      </c>
      <c r="J55" s="259" t="s">
        <v>269</v>
      </c>
      <c r="K55" s="230" t="str">
        <f>IF(LEN(PRESTAMOS[[#This Row],[REG]])=LEN("AYUDA**"),"PAGADO",IF(SUMIF(PAGOS!$D$3:$D$1048576,A55,PAGOS!$E$3:$E$1048576)-PRESTAMOS[[#This Row],[MONTO AMORTIZACION]]&gt;=-0.1,"PAGADO","PENDIENTE"))</f>
        <v>PAGADO</v>
      </c>
      <c r="L55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hidden="1" x14ac:dyDescent="0.3">
      <c r="A56" s="302">
        <v>51</v>
      </c>
      <c r="B56" s="61">
        <v>4</v>
      </c>
      <c r="C56" s="51" t="s">
        <v>17</v>
      </c>
      <c r="D56" s="62">
        <v>250</v>
      </c>
      <c r="E56" s="63">
        <v>45580</v>
      </c>
      <c r="F56" s="64">
        <v>4</v>
      </c>
      <c r="G56" s="65">
        <v>0.02</v>
      </c>
      <c r="H56" s="66">
        <f>PRESTAMOS[[#This Row],[MONTO AMORTIZACION]]*PRESTAMOS[[#This Row],[INTERES]]*PRESTAMOS[[#This Row],[CUOTAS]]</f>
        <v>20</v>
      </c>
      <c r="I56" s="66">
        <f>PRESTAMOS[[#This Row],[MONTO AMORTIZACION]]+PRESTAMOS[[#This Row],[T. INT]]</f>
        <v>270</v>
      </c>
      <c r="J56" s="259" t="s">
        <v>117</v>
      </c>
      <c r="K56" s="230" t="str">
        <f>IF(LEN(PRESTAMOS[[#This Row],[REG]])=LEN("AYUDA**"),"PAGADO",IF(SUMIF(PAGOS!$D$3:$D$1048576,A56,PAGOS!$E$3:$E$1048576)-PRESTAMOS[[#This Row],[MONTO AMORTIZACION]]&gt;=-0.1,"PAGADO","PENDIENTE"))</f>
        <v>PAGADO</v>
      </c>
      <c r="L56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hidden="1" x14ac:dyDescent="0.3">
      <c r="A57" s="302">
        <v>52</v>
      </c>
      <c r="B57" s="61">
        <v>5</v>
      </c>
      <c r="C57" s="51" t="s">
        <v>18</v>
      </c>
      <c r="D57" s="62">
        <v>250</v>
      </c>
      <c r="E57" s="63">
        <v>45580</v>
      </c>
      <c r="F57" s="64">
        <v>4</v>
      </c>
      <c r="G57" s="65">
        <v>0.02</v>
      </c>
      <c r="H57" s="66">
        <f>PRESTAMOS[[#This Row],[MONTO AMORTIZACION]]*PRESTAMOS[[#This Row],[INTERES]]*PRESTAMOS[[#This Row],[CUOTAS]]</f>
        <v>20</v>
      </c>
      <c r="I57" s="66">
        <f>PRESTAMOS[[#This Row],[MONTO AMORTIZACION]]+PRESTAMOS[[#This Row],[T. INT]]</f>
        <v>270</v>
      </c>
      <c r="J57" s="259" t="s">
        <v>214</v>
      </c>
      <c r="K57" s="230" t="str">
        <f>IF(LEN(PRESTAMOS[[#This Row],[REG]])=LEN("AYUDA**"),"PAGADO",IF(SUMIF(PAGOS!$D$3:$D$1048576,A57,PAGOS!$E$3:$E$1048576)-PRESTAMOS[[#This Row],[MONTO AMORTIZACION]]&gt;=-0.1,"PAGADO","PENDIENTE"))</f>
        <v>PAGADO</v>
      </c>
      <c r="L57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hidden="1" x14ac:dyDescent="0.3">
      <c r="A58" s="302">
        <v>53</v>
      </c>
      <c r="B58" s="61">
        <v>10</v>
      </c>
      <c r="C58" s="51" t="s">
        <v>23</v>
      </c>
      <c r="D58" s="62">
        <v>500</v>
      </c>
      <c r="E58" s="63">
        <v>45580</v>
      </c>
      <c r="F58" s="64">
        <v>4</v>
      </c>
      <c r="G58" s="65">
        <v>0.02</v>
      </c>
      <c r="H58" s="66">
        <f>PRESTAMOS[[#This Row],[MONTO AMORTIZACION]]*PRESTAMOS[[#This Row],[INTERES]]*PRESTAMOS[[#This Row],[CUOTAS]]</f>
        <v>40</v>
      </c>
      <c r="I58" s="66">
        <f>PRESTAMOS[[#This Row],[MONTO AMORTIZACION]]+PRESTAMOS[[#This Row],[T. INT]]</f>
        <v>540</v>
      </c>
      <c r="J58" s="259" t="s">
        <v>214</v>
      </c>
      <c r="K58" s="230" t="str">
        <f>IF(LEN(PRESTAMOS[[#This Row],[REG]])=LEN("AYUDA**"),"PAGADO",IF(SUMIF(PAGOS!$D$3:$D$1048576,A58,PAGOS!$E$3:$E$1048576)-PRESTAMOS[[#This Row],[MONTO AMORTIZACION]]&gt;=-0.1,"PAGADO","PENDIENTE"))</f>
        <v>PAGADO</v>
      </c>
      <c r="L58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hidden="1" x14ac:dyDescent="0.3">
      <c r="A59" s="302">
        <v>54</v>
      </c>
      <c r="B59" s="61">
        <v>2</v>
      </c>
      <c r="C59" s="51" t="s">
        <v>15</v>
      </c>
      <c r="D59" s="62">
        <v>500</v>
      </c>
      <c r="E59" s="63">
        <v>45611</v>
      </c>
      <c r="F59" s="64">
        <v>3</v>
      </c>
      <c r="G59" s="65">
        <v>0.02</v>
      </c>
      <c r="H59" s="66">
        <f>PRESTAMOS[[#This Row],[MONTO AMORTIZACION]]*PRESTAMOS[[#This Row],[INTERES]]*PRESTAMOS[[#This Row],[CUOTAS]]</f>
        <v>30</v>
      </c>
      <c r="I59" s="66">
        <f>PRESTAMOS[[#This Row],[MONTO AMORTIZACION]]+PRESTAMOS[[#This Row],[T. INT]]</f>
        <v>530</v>
      </c>
      <c r="J59" s="261" t="s">
        <v>302</v>
      </c>
      <c r="K59" s="249" t="str">
        <f>IF(LEN(PRESTAMOS[[#This Row],[REG]])=LEN("AYUDA**"),"PAGADO",IF(SUMIF(PAGOS!$D$3:$D$1048576,A59,PAGOS!$E$3:$E$1048576)-PRESTAMOS[[#This Row],[MONTO AMORTIZACION]]&gt;=-0.1,"PAGADO","PENDIENTE"))</f>
        <v>PAGADO</v>
      </c>
      <c r="L59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hidden="1" x14ac:dyDescent="0.3">
      <c r="A60" s="311">
        <v>55</v>
      </c>
      <c r="B60" s="61">
        <v>9</v>
      </c>
      <c r="C60" s="51" t="s">
        <v>22</v>
      </c>
      <c r="D60" s="62">
        <v>1000</v>
      </c>
      <c r="E60" s="63">
        <v>45611</v>
      </c>
      <c r="F60" s="64">
        <v>10</v>
      </c>
      <c r="G60" s="65">
        <v>0.02</v>
      </c>
      <c r="H60" s="66">
        <f>PRESTAMOS[[#This Row],[MONTO AMORTIZACION]]*PRESTAMOS[[#This Row],[INTERES]]*PRESTAMOS[[#This Row],[CUOTAS]]</f>
        <v>200</v>
      </c>
      <c r="I60" s="66">
        <f>PRESTAMOS[[#This Row],[MONTO AMORTIZACION]]+PRESTAMOS[[#This Row],[T. INT]]</f>
        <v>1200</v>
      </c>
      <c r="J60" s="261" t="s">
        <v>304</v>
      </c>
      <c r="K60" s="249" t="str">
        <f>IF(LEN(PRESTAMOS[[#This Row],[REG]])=LEN("AYUDA**"),"PAGADO",IF(SUMIF(PAGOS!$D$3:$D$1048576,A60,PAGOS!$E$3:$E$1048576)-PRESTAMOS[[#This Row],[MONTO AMORTIZACION]]&gt;=-0.1,"PAGADO","PENDIENTE"))</f>
        <v>PENDIENTE</v>
      </c>
      <c r="L60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61" spans="1:12" hidden="1" x14ac:dyDescent="0.3">
      <c r="A61" s="302">
        <v>56</v>
      </c>
      <c r="B61" s="61">
        <v>7</v>
      </c>
      <c r="C61" s="51" t="s">
        <v>20</v>
      </c>
      <c r="D61" s="62">
        <v>200</v>
      </c>
      <c r="E61" s="63">
        <v>45611</v>
      </c>
      <c r="F61" s="64">
        <v>5</v>
      </c>
      <c r="G61" s="65">
        <v>0.02</v>
      </c>
      <c r="H61" s="66">
        <f>PRESTAMOS[[#This Row],[MONTO AMORTIZACION]]*PRESTAMOS[[#This Row],[INTERES]]*PRESTAMOS[[#This Row],[CUOTAS]]</f>
        <v>20</v>
      </c>
      <c r="I61" s="66">
        <f>PRESTAMOS[[#This Row],[MONTO AMORTIZACION]]+PRESTAMOS[[#This Row],[T. INT]]</f>
        <v>220</v>
      </c>
      <c r="J61" s="261" t="s">
        <v>304</v>
      </c>
      <c r="K61" s="249" t="str">
        <f>IF(LEN(PRESTAMOS[[#This Row],[REG]])=LEN("AYUDA**"),"PAGADO",IF(SUMIF(PAGOS!$D$3:$D$1048576,A61,PAGOS!$E$3:$E$1048576)-PRESTAMOS[[#This Row],[MONTO AMORTIZACION]]&gt;=-0.1,"PAGADO","PENDIENTE"))</f>
        <v>PAGADO</v>
      </c>
      <c r="L61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hidden="1" x14ac:dyDescent="0.3">
      <c r="A62" s="311">
        <v>57</v>
      </c>
      <c r="B62" s="61">
        <v>13</v>
      </c>
      <c r="C62" s="51" t="s">
        <v>26</v>
      </c>
      <c r="D62" s="62">
        <v>1000</v>
      </c>
      <c r="E62" s="63">
        <v>45641</v>
      </c>
      <c r="F62" s="64">
        <v>10</v>
      </c>
      <c r="G62" s="65">
        <v>0.02</v>
      </c>
      <c r="H62" s="66">
        <f>PRESTAMOS[[#This Row],[MONTO AMORTIZACION]]*PRESTAMOS[[#This Row],[INTERES]]*PRESTAMOS[[#This Row],[CUOTAS]]</f>
        <v>200</v>
      </c>
      <c r="I62" s="66">
        <f>PRESTAMOS[[#This Row],[MONTO AMORTIZACION]]+PRESTAMOS[[#This Row],[T. INT]]</f>
        <v>1200</v>
      </c>
      <c r="J62" s="261" t="s">
        <v>325</v>
      </c>
      <c r="K62" s="249" t="str">
        <f>IF(LEN(PRESTAMOS[[#This Row],[REG]])=LEN("AYUDA**"),"PAGADO",IF(SUMIF(PAGOS!$D$3:$D$1048576,A62,PAGOS!$E$3:$E$1048576)-PRESTAMOS[[#This Row],[MONTO AMORTIZACION]]&gt;=-0.1,"PAGADO","PENDIENTE"))</f>
        <v>PENDIENTE</v>
      </c>
      <c r="L62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63" spans="1:12" hidden="1" x14ac:dyDescent="0.3">
      <c r="A63" s="302">
        <v>58</v>
      </c>
      <c r="B63" s="61">
        <v>8</v>
      </c>
      <c r="C63" s="51" t="s">
        <v>21</v>
      </c>
      <c r="D63" s="62">
        <v>500</v>
      </c>
      <c r="E63" s="63">
        <v>45641</v>
      </c>
      <c r="F63" s="64">
        <v>5</v>
      </c>
      <c r="G63" s="65">
        <v>0.02</v>
      </c>
      <c r="H63" s="66">
        <f>PRESTAMOS[[#This Row],[MONTO AMORTIZACION]]*PRESTAMOS[[#This Row],[INTERES]]*PRESTAMOS[[#This Row],[CUOTAS]]</f>
        <v>50</v>
      </c>
      <c r="I63" s="66">
        <f>PRESTAMOS[[#This Row],[MONTO AMORTIZACION]]+PRESTAMOS[[#This Row],[T. INT]]</f>
        <v>550</v>
      </c>
      <c r="J63" s="261" t="s">
        <v>329</v>
      </c>
      <c r="K63" s="249" t="str">
        <f>IF(LEN(PRESTAMOS[[#This Row],[REG]])=LEN("AYUDA**"),"PAGADO",IF(SUMIF(PAGOS!$D$3:$D$1048576,A63,PAGOS!$E$3:$E$1048576)-PRESTAMOS[[#This Row],[MONTO AMORTIZACION]]&gt;=-0.1,"PAGADO","PENDIENTE"))</f>
        <v>PAGADO</v>
      </c>
      <c r="L63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hidden="1" x14ac:dyDescent="0.3">
      <c r="A64" s="302">
        <v>59</v>
      </c>
      <c r="B64" s="61">
        <v>12</v>
      </c>
      <c r="C64" s="51" t="s">
        <v>25</v>
      </c>
      <c r="D64" s="62">
        <v>80</v>
      </c>
      <c r="E64" s="63">
        <v>45643</v>
      </c>
      <c r="F64" s="64">
        <v>1</v>
      </c>
      <c r="G64" s="65">
        <v>0.02</v>
      </c>
      <c r="H64" s="66">
        <f>PRESTAMOS[[#This Row],[MONTO AMORTIZACION]]*PRESTAMOS[[#This Row],[INTERES]]*PRESTAMOS[[#This Row],[CUOTAS]]</f>
        <v>1.6</v>
      </c>
      <c r="I64" s="66">
        <f>PRESTAMOS[[#This Row],[MONTO AMORTIZACION]]+PRESTAMOS[[#This Row],[T. INT]]</f>
        <v>81.599999999999994</v>
      </c>
      <c r="J64" s="261" t="s">
        <v>335</v>
      </c>
      <c r="K64" s="249" t="str">
        <f>IF(LEN(PRESTAMOS[[#This Row],[REG]])=LEN("AYUDA**"),"PAGADO",IF(SUMIF(PAGOS!$D$3:$D$1048576,A64,PAGOS!$E$3:$E$1048576)-PRESTAMOS[[#This Row],[MONTO AMORTIZACION]]&gt;=-0.1,"PAGADO","PENDIENTE"))</f>
        <v>PAGADO</v>
      </c>
      <c r="L64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hidden="1" x14ac:dyDescent="0.3">
      <c r="A65" s="311">
        <v>60</v>
      </c>
      <c r="B65" s="61">
        <v>6</v>
      </c>
      <c r="C65" s="51" t="s">
        <v>19</v>
      </c>
      <c r="D65" s="62">
        <v>700</v>
      </c>
      <c r="E65" s="63">
        <v>45672</v>
      </c>
      <c r="F65" s="64">
        <v>7</v>
      </c>
      <c r="G65" s="65">
        <v>0.02</v>
      </c>
      <c r="H65" s="66">
        <f>PRESTAMOS[[#This Row],[MONTO AMORTIZACION]]*PRESTAMOS[[#This Row],[INTERES]]*PRESTAMOS[[#This Row],[CUOTAS]]</f>
        <v>98</v>
      </c>
      <c r="I65" s="66">
        <f>PRESTAMOS[[#This Row],[MONTO AMORTIZACION]]+PRESTAMOS[[#This Row],[T. INT]]</f>
        <v>798</v>
      </c>
      <c r="J65" s="261" t="s">
        <v>348</v>
      </c>
      <c r="K65" s="249" t="str">
        <f>IF(LEN(PRESTAMOS[[#This Row],[REG]])=LEN("AYUDA**"),"PAGADO",IF(SUMIF(PAGOS!$D$3:$D$1048576,A65,PAGOS!$E$3:$E$1048576)-PRESTAMOS[[#This Row],[MONTO AMORTIZACION]]&gt;=-0.1,"PAGADO","PENDIENTE"))</f>
        <v>PENDIENTE</v>
      </c>
      <c r="L65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66" spans="1:12" hidden="1" x14ac:dyDescent="0.3">
      <c r="A66" s="311">
        <v>61</v>
      </c>
      <c r="B66" s="61">
        <v>10</v>
      </c>
      <c r="C66" s="51" t="s">
        <v>23</v>
      </c>
      <c r="D66" s="62">
        <v>700</v>
      </c>
      <c r="E66" s="63">
        <v>45672</v>
      </c>
      <c r="F66" s="64">
        <v>7</v>
      </c>
      <c r="G66" s="65">
        <v>0.02</v>
      </c>
      <c r="H66" s="66">
        <f>PRESTAMOS[[#This Row],[MONTO AMORTIZACION]]*PRESTAMOS[[#This Row],[INTERES]]*PRESTAMOS[[#This Row],[CUOTAS]]</f>
        <v>98</v>
      </c>
      <c r="I66" s="66">
        <f>PRESTAMOS[[#This Row],[MONTO AMORTIZACION]]+PRESTAMOS[[#This Row],[T. INT]]</f>
        <v>798</v>
      </c>
      <c r="J66" s="261" t="s">
        <v>350</v>
      </c>
      <c r="K66" s="249" t="str">
        <f>IF(LEN(PRESTAMOS[[#This Row],[REG]])=LEN("AYUDA**"),"PAGADO",IF(SUMIF(PAGOS!$D$3:$D$1048576,A66,PAGOS!$E$3:$E$1048576)-PRESTAMOS[[#This Row],[MONTO AMORTIZACION]]&gt;=-0.1,"PAGADO","PENDIENTE"))</f>
        <v>PENDIENTE</v>
      </c>
      <c r="L66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67" spans="1:12" ht="28.8" hidden="1" x14ac:dyDescent="0.3">
      <c r="A67" s="302">
        <v>62</v>
      </c>
      <c r="B67" s="61">
        <v>12</v>
      </c>
      <c r="C67" s="51" t="s">
        <v>25</v>
      </c>
      <c r="D67" s="62">
        <v>150</v>
      </c>
      <c r="E67" s="63">
        <v>45676</v>
      </c>
      <c r="F67" s="64">
        <v>2</v>
      </c>
      <c r="G67" s="65">
        <v>0.02</v>
      </c>
      <c r="H67" s="66">
        <f>PRESTAMOS[[#This Row],[MONTO AMORTIZACION]]*PRESTAMOS[[#This Row],[INTERES]]*PRESTAMOS[[#This Row],[CUOTAS]]</f>
        <v>6</v>
      </c>
      <c r="I67" s="66">
        <f>PRESTAMOS[[#This Row],[MONTO AMORTIZACION]]+PRESTAMOS[[#This Row],[T. INT]]</f>
        <v>156</v>
      </c>
      <c r="J67" s="261" t="s">
        <v>369</v>
      </c>
      <c r="K67" s="249" t="str">
        <f>IF(LEN(PRESTAMOS[[#This Row],[REG]])=LEN("AYUDA**"),"PAGADO",IF(SUMIF(PAGOS!$D$3:$D$1048576,A67,PAGOS!$E$3:$E$1048576)-PRESTAMOS[[#This Row],[MONTO AMORTIZACION]]&gt;=-0.1,"PAGADO","PENDIENTE"))</f>
        <v>PAGADO</v>
      </c>
      <c r="L67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hidden="1" x14ac:dyDescent="0.3">
      <c r="A68" s="302">
        <v>63</v>
      </c>
      <c r="B68" s="61">
        <v>3</v>
      </c>
      <c r="C68" s="51" t="s">
        <v>16</v>
      </c>
      <c r="D68" s="62">
        <v>500</v>
      </c>
      <c r="E68" s="63">
        <v>45704</v>
      </c>
      <c r="F68" s="64">
        <v>5</v>
      </c>
      <c r="G68" s="65">
        <v>0.02</v>
      </c>
      <c r="H68" s="66">
        <f>PRESTAMOS[[#This Row],[MONTO AMORTIZACION]]*PRESTAMOS[[#This Row],[INTERES]]*PRESTAMOS[[#This Row],[CUOTAS]]</f>
        <v>50</v>
      </c>
      <c r="I68" s="66">
        <f>PRESTAMOS[[#This Row],[MONTO AMORTIZACION]]+PRESTAMOS[[#This Row],[T. INT]]</f>
        <v>550</v>
      </c>
      <c r="J68" s="261" t="s">
        <v>226</v>
      </c>
      <c r="K68" s="249" t="str">
        <f>IF(LEN(PRESTAMOS[[#This Row],[REG]])=LEN("AYUDA**"),"PAGADO",IF(SUMIF(PAGOS!$D$3:$D$1048576,A68,PAGOS!$E$3:$E$1048576)-PRESTAMOS[[#This Row],[MONTO AMORTIZACION]]&gt;=-0.1,"PAGADO","PENDIENTE"))</f>
        <v>PAGADO</v>
      </c>
      <c r="L68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hidden="1" x14ac:dyDescent="0.3">
      <c r="A69" s="302">
        <v>64</v>
      </c>
      <c r="B69" s="61">
        <v>5</v>
      </c>
      <c r="C69" s="51" t="s">
        <v>18</v>
      </c>
      <c r="D69" s="62">
        <v>300</v>
      </c>
      <c r="E69" s="63">
        <v>45704</v>
      </c>
      <c r="F69" s="64">
        <v>3</v>
      </c>
      <c r="G69" s="65">
        <v>0.02</v>
      </c>
      <c r="H69" s="66">
        <f>PRESTAMOS[[#This Row],[MONTO AMORTIZACION]]*PRESTAMOS[[#This Row],[INTERES]]*PRESTAMOS[[#This Row],[CUOTAS]]</f>
        <v>18</v>
      </c>
      <c r="I69" s="66">
        <f>PRESTAMOS[[#This Row],[MONTO AMORTIZACION]]+PRESTAMOS[[#This Row],[T. INT]]</f>
        <v>318</v>
      </c>
      <c r="J69" s="261" t="s">
        <v>226</v>
      </c>
      <c r="K69" s="249" t="str">
        <f>IF(LEN(PRESTAMOS[[#This Row],[REG]])=LEN("AYUDA**"),"PAGADO",IF(SUMIF(PAGOS!$D$3:$D$1048576,A69,PAGOS!$E$3:$E$1048576)-PRESTAMOS[[#This Row],[MONTO AMORTIZACION]]&gt;=-0.1,"PAGADO","PENDIENTE"))</f>
        <v>PAGADO</v>
      </c>
      <c r="L69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hidden="1" x14ac:dyDescent="0.3">
      <c r="A70" s="302">
        <v>65</v>
      </c>
      <c r="B70" s="61">
        <v>12</v>
      </c>
      <c r="C70" s="51" t="s">
        <v>25</v>
      </c>
      <c r="D70" s="62">
        <v>400</v>
      </c>
      <c r="E70" s="63">
        <v>45707</v>
      </c>
      <c r="F70" s="64">
        <v>1</v>
      </c>
      <c r="G70" s="65">
        <v>0.02</v>
      </c>
      <c r="H70" s="66">
        <f>PRESTAMOS[[#This Row],[MONTO AMORTIZACION]]*PRESTAMOS[[#This Row],[INTERES]]*PRESTAMOS[[#This Row],[CUOTAS]]</f>
        <v>8</v>
      </c>
      <c r="I70" s="66">
        <f>PRESTAMOS[[#This Row],[MONTO AMORTIZACION]]+PRESTAMOS[[#This Row],[T. INT]]</f>
        <v>408</v>
      </c>
      <c r="J70" s="261" t="s">
        <v>372</v>
      </c>
      <c r="K70" s="249" t="str">
        <f>IF(LEN(PRESTAMOS[[#This Row],[REG]])=LEN("AYUDA**"),"PAGADO",IF(SUMIF(PAGOS!$D$3:$D$1048576,A70,PAGOS!$E$3:$E$1048576)-PRESTAMOS[[#This Row],[MONTO AMORTIZACION]]&gt;=-0.1,"PAGADO","PENDIENTE"))</f>
        <v>PAGADO</v>
      </c>
      <c r="L70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hidden="1" x14ac:dyDescent="0.3">
      <c r="A71" s="302">
        <v>66</v>
      </c>
      <c r="B71" s="61">
        <v>1</v>
      </c>
      <c r="C71" s="51" t="s">
        <v>14</v>
      </c>
      <c r="D71" s="62">
        <v>700</v>
      </c>
      <c r="E71" s="63">
        <v>45731.834143518521</v>
      </c>
      <c r="F71" s="64">
        <v>3</v>
      </c>
      <c r="G71" s="65">
        <v>0.02</v>
      </c>
      <c r="H71" s="66">
        <f>PRESTAMOS[[#This Row],[MONTO AMORTIZACION]]*PRESTAMOS[[#This Row],[INTERES]]*PRESTAMOS[[#This Row],[CUOTAS]]</f>
        <v>42</v>
      </c>
      <c r="I71" s="66">
        <f>PRESTAMOS[[#This Row],[MONTO AMORTIZACION]]+PRESTAMOS[[#This Row],[T. INT]]</f>
        <v>742</v>
      </c>
      <c r="J71" s="261" t="s">
        <v>375</v>
      </c>
      <c r="K71" s="249" t="str">
        <f>IF(LEN(PRESTAMOS[[#This Row],[REG]])=LEN("AYUDA**"),"PAGADO",IF(SUMIF(PAGOS!$D$3:$D$1048576,A71,PAGOS!$E$3:$E$1048576)-PRESTAMOS[[#This Row],[MONTO AMORTIZACION]]&gt;=-0.1,"PAGADO","PENDIENTE"))</f>
        <v>PAGADO</v>
      </c>
      <c r="L71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hidden="1" x14ac:dyDescent="0.3">
      <c r="A72" s="302">
        <v>67</v>
      </c>
      <c r="B72" s="61">
        <v>4</v>
      </c>
      <c r="C72" s="51" t="s">
        <v>17</v>
      </c>
      <c r="D72" s="62">
        <v>1200</v>
      </c>
      <c r="E72" s="63">
        <v>45758</v>
      </c>
      <c r="F72" s="64">
        <v>1</v>
      </c>
      <c r="G72" s="65">
        <v>0.02</v>
      </c>
      <c r="H72" s="66">
        <f>PRESTAMOS[[#This Row],[MONTO AMORTIZACION]]*PRESTAMOS[[#This Row],[INTERES]]*PRESTAMOS[[#This Row],[CUOTAS]]</f>
        <v>24</v>
      </c>
      <c r="I72" s="66">
        <f>PRESTAMOS[[#This Row],[MONTO AMORTIZACION]]+PRESTAMOS[[#This Row],[T. INT]]</f>
        <v>1224</v>
      </c>
      <c r="J72" s="261" t="s">
        <v>382</v>
      </c>
      <c r="K72" s="249" t="str">
        <f>IF(LEN(PRESTAMOS[[#This Row],[REG]])=LEN("AYUDA**"),"PAGADO",IF(SUMIF(PAGOS!$D$3:$D$1048576,A72,PAGOS!$E$3:$E$1048576)-PRESTAMOS[[#This Row],[MONTO AMORTIZACION]]&gt;=-0.1,"PAGADO","PENDIENTE"))</f>
        <v>PAGADO</v>
      </c>
      <c r="L72" s="26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hidden="1" x14ac:dyDescent="0.3">
      <c r="A73" s="311">
        <v>68</v>
      </c>
      <c r="B73" s="61">
        <v>7</v>
      </c>
      <c r="C73" s="51" t="s">
        <v>20</v>
      </c>
      <c r="D73" s="62">
        <v>200</v>
      </c>
      <c r="E73" s="63">
        <v>45762</v>
      </c>
      <c r="F73" s="64">
        <v>5</v>
      </c>
      <c r="G73" s="65">
        <v>0.02</v>
      </c>
      <c r="H73" s="66">
        <f>PRESTAMOS[[#This Row],[MONTO AMORTIZACION]]*PRESTAMOS[[#This Row],[INTERES]]*PRESTAMOS[[#This Row],[CUOTAS]]</f>
        <v>20</v>
      </c>
      <c r="I73" s="66">
        <f>PRESTAMOS[[#This Row],[MONTO AMORTIZACION]]+PRESTAMOS[[#This Row],[T. INT]]</f>
        <v>220</v>
      </c>
      <c r="J73" s="261" t="s">
        <v>384</v>
      </c>
      <c r="K73" s="249" t="str">
        <f>IF(LEN(PRESTAMOS[[#This Row],[REG]])=LEN("AYUDA**"),"PAGADO",IF(SUMIF(PAGOS!$D$3:$D$1048576,A73,PAGOS!$E$3:$E$1048576)-PRESTAMOS[[#This Row],[MONTO AMORTIZACION]]&gt;=-0.1,"PAGADO","PENDIENTE"))</f>
        <v>PENDIENTE</v>
      </c>
      <c r="L73" s="26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74" spans="1:12" hidden="1" x14ac:dyDescent="0.3">
      <c r="A74" s="302">
        <v>69</v>
      </c>
      <c r="B74" s="61">
        <v>2</v>
      </c>
      <c r="C74" s="51" t="s">
        <v>15</v>
      </c>
      <c r="D74" s="62">
        <v>600</v>
      </c>
      <c r="E74" s="63">
        <v>45762</v>
      </c>
      <c r="F74" s="64">
        <v>3</v>
      </c>
      <c r="G74" s="65">
        <v>0.02</v>
      </c>
      <c r="H74" s="66">
        <f>PRESTAMOS[[#This Row],[MONTO AMORTIZACION]]*PRESTAMOS[[#This Row],[INTERES]]*PRESTAMOS[[#This Row],[CUOTAS]]</f>
        <v>36</v>
      </c>
      <c r="I74" s="66">
        <f>PRESTAMOS[[#This Row],[MONTO AMORTIZACION]]+PRESTAMOS[[#This Row],[T. INT]]</f>
        <v>636</v>
      </c>
      <c r="J74" s="261" t="s">
        <v>392</v>
      </c>
      <c r="K74" s="249" t="str">
        <f>IF(LEN(PRESTAMOS[[#This Row],[REG]])=LEN("AYUDA**"),"PAGADO",IF(SUMIF(PAGOS!$D$3:$D$1048576,A74,PAGOS!$E$3:$E$1048576)-PRESTAMOS[[#This Row],[MONTO AMORTIZACION]]&gt;=-0.1,"PAGADO","PENDIENTE"))</f>
        <v>PAGADO</v>
      </c>
      <c r="L74" s="26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hidden="1" x14ac:dyDescent="0.3">
      <c r="A75" s="60" t="s">
        <v>395</v>
      </c>
      <c r="B75" s="61">
        <v>14</v>
      </c>
      <c r="C75" s="51" t="s">
        <v>389</v>
      </c>
      <c r="D75" s="62">
        <v>0</v>
      </c>
      <c r="E75" s="63">
        <v>45762</v>
      </c>
      <c r="F75" s="64">
        <v>0</v>
      </c>
      <c r="G75" s="65">
        <v>0</v>
      </c>
      <c r="H75" s="66">
        <f>PRESTAMOS[[#This Row],[MONTO AMORTIZACION]]*PRESTAMOS[[#This Row],[INTERES]]*PRESTAMOS[[#This Row],[CUOTAS]]</f>
        <v>0</v>
      </c>
      <c r="I75" s="66">
        <f>PRESTAMOS[[#This Row],[MONTO AMORTIZACION]]+PRESTAMOS[[#This Row],[T. INT]]</f>
        <v>0</v>
      </c>
      <c r="J75" s="261" t="s">
        <v>396</v>
      </c>
      <c r="K75" s="249" t="str">
        <f>IF(LEN(PRESTAMOS[[#This Row],[REG]])=LEN("AYUDA**"),"PAGADO",IF(SUMIF(PAGOS!$D$3:$D$1048576,A75,PAGOS!$E$3:$E$1048576)-PRESTAMOS[[#This Row],[MONTO AMORTIZACION]]&gt;=-0.1,"PAGADO","PENDIENTE"))</f>
        <v>PAGADO</v>
      </c>
      <c r="L75" s="26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hidden="1" x14ac:dyDescent="0.3">
      <c r="A76" s="60" t="s">
        <v>397</v>
      </c>
      <c r="B76" s="61">
        <v>15</v>
      </c>
      <c r="C76" s="51" t="s">
        <v>390</v>
      </c>
      <c r="D76" s="62">
        <v>0</v>
      </c>
      <c r="E76" s="63">
        <v>45762</v>
      </c>
      <c r="F76" s="64">
        <v>0</v>
      </c>
      <c r="G76" s="65">
        <v>0</v>
      </c>
      <c r="H76" s="66">
        <f>PRESTAMOS[[#This Row],[MONTO AMORTIZACION]]*PRESTAMOS[[#This Row],[INTERES]]*PRESTAMOS[[#This Row],[CUOTAS]]</f>
        <v>0</v>
      </c>
      <c r="I76" s="66">
        <f>PRESTAMOS[[#This Row],[MONTO AMORTIZACION]]+PRESTAMOS[[#This Row],[T. INT]]</f>
        <v>0</v>
      </c>
      <c r="J76" s="261" t="s">
        <v>398</v>
      </c>
      <c r="K76" s="249" t="str">
        <f>IF(LEN(PRESTAMOS[[#This Row],[REG]])=LEN("AYUDA**"),"PAGADO",IF(SUMIF(PAGOS!$D$3:$D$1048576,A76,PAGOS!$E$3:$E$1048576)-PRESTAMOS[[#This Row],[MONTO AMORTIZACION]]&gt;=-0.1,"PAGADO","PENDIENTE"))</f>
        <v>PAGADO</v>
      </c>
      <c r="L76" s="26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hidden="1" x14ac:dyDescent="0.3">
      <c r="A77" s="60" t="s">
        <v>399</v>
      </c>
      <c r="B77" s="61">
        <v>16</v>
      </c>
      <c r="C77" s="51" t="s">
        <v>391</v>
      </c>
      <c r="D77" s="62">
        <v>0</v>
      </c>
      <c r="E77" s="63">
        <v>45762</v>
      </c>
      <c r="F77" s="64">
        <v>0</v>
      </c>
      <c r="G77" s="65">
        <v>0</v>
      </c>
      <c r="H77" s="66">
        <f>PRESTAMOS[[#This Row],[MONTO AMORTIZACION]]*PRESTAMOS[[#This Row],[INTERES]]*PRESTAMOS[[#This Row],[CUOTAS]]</f>
        <v>0</v>
      </c>
      <c r="I77" s="66">
        <f>PRESTAMOS[[#This Row],[MONTO AMORTIZACION]]+PRESTAMOS[[#This Row],[T. INT]]</f>
        <v>0</v>
      </c>
      <c r="J77" s="261" t="s">
        <v>400</v>
      </c>
      <c r="K77" s="249" t="str">
        <f>IF(LEN(PRESTAMOS[[#This Row],[REG]])=LEN("AYUDA**"),"PAGADO",IF(SUMIF(PAGOS!$D$3:$D$1048576,A77,PAGOS!$E$3:$E$1048576)-PRESTAMOS[[#This Row],[MONTO AMORTIZACION]]&gt;=-0.1,"PAGADO","PENDIENTE"))</f>
        <v>PAGADO</v>
      </c>
      <c r="L77" s="26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hidden="1" x14ac:dyDescent="0.3">
      <c r="A78" s="311">
        <v>70</v>
      </c>
      <c r="B78" s="61">
        <v>5</v>
      </c>
      <c r="C78" s="51" t="s">
        <v>18</v>
      </c>
      <c r="D78" s="62">
        <v>500</v>
      </c>
      <c r="E78" s="63">
        <v>45764</v>
      </c>
      <c r="F78" s="64">
        <v>5</v>
      </c>
      <c r="G78" s="65">
        <v>0.02</v>
      </c>
      <c r="H78" s="66">
        <f>PRESTAMOS[[#This Row],[MONTO AMORTIZACION]]*PRESTAMOS[[#This Row],[INTERES]]*PRESTAMOS[[#This Row],[CUOTAS]]</f>
        <v>50</v>
      </c>
      <c r="I78" s="66">
        <f>PRESTAMOS[[#This Row],[MONTO AMORTIZACION]]+PRESTAMOS[[#This Row],[T. INT]]</f>
        <v>550</v>
      </c>
      <c r="J78" s="261" t="s">
        <v>68</v>
      </c>
      <c r="K78" s="249" t="str">
        <f>IF(LEN(PRESTAMOS[[#This Row],[REG]])=LEN("AYUDA**"),"PAGADO",IF(SUMIF(PAGOS!$D$3:$D$1048576,A78,PAGOS!$E$3:$E$1048576)-PRESTAMOS[[#This Row],[MONTO AMORTIZACION]]&gt;=-0.1,"PAGADO","PENDIENTE"))</f>
        <v>PENDIENTE</v>
      </c>
      <c r="L78" s="26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79" spans="1:12" hidden="1" x14ac:dyDescent="0.3">
      <c r="A79" s="311">
        <v>71</v>
      </c>
      <c r="B79" s="61">
        <v>3</v>
      </c>
      <c r="C79" s="51" t="s">
        <v>16</v>
      </c>
      <c r="D79" s="62">
        <v>1200</v>
      </c>
      <c r="E79" s="63">
        <v>45792</v>
      </c>
      <c r="F79" s="64">
        <v>12</v>
      </c>
      <c r="G79" s="330">
        <v>0.02</v>
      </c>
      <c r="H79" s="66">
        <f>PRESTAMOS[[#This Row],[MONTO AMORTIZACION]]*PRESTAMOS[[#This Row],[INTERES]]*PRESTAMOS[[#This Row],[CUOTAS]]</f>
        <v>288</v>
      </c>
      <c r="I79" s="66">
        <f>PRESTAMOS[[#This Row],[MONTO AMORTIZACION]]+PRESTAMOS[[#This Row],[T. INT]]</f>
        <v>1488</v>
      </c>
      <c r="J79" s="261" t="s">
        <v>418</v>
      </c>
      <c r="K79" s="249" t="str">
        <f>IF(LEN(PRESTAMOS[[#This Row],[REG]])=LEN("AYUDA**"),"PAGADO",IF(SUMIF(PAGOS!$D$3:$D$1048576,A79,PAGOS!$E$3:$E$1048576)-PRESTAMOS[[#This Row],[MONTO AMORTIZACION]]&gt;=-0.1,"PAGADO","PENDIENTE"))</f>
        <v>PENDIENTE</v>
      </c>
      <c r="L79" s="26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10</v>
      </c>
    </row>
    <row r="80" spans="1:12" hidden="1" x14ac:dyDescent="0.3">
      <c r="A80" s="311">
        <v>72</v>
      </c>
      <c r="B80" s="61">
        <v>14</v>
      </c>
      <c r="C80" s="51" t="s">
        <v>389</v>
      </c>
      <c r="D80" s="62">
        <v>2000</v>
      </c>
      <c r="E80" s="63">
        <v>45792</v>
      </c>
      <c r="F80" s="64">
        <v>12</v>
      </c>
      <c r="G80" s="330">
        <v>0.02</v>
      </c>
      <c r="H80" s="66">
        <f>PRESTAMOS[[#This Row],[MONTO AMORTIZACION]]*PRESTAMOS[[#This Row],[INTERES]]*PRESTAMOS[[#This Row],[CUOTAS]]</f>
        <v>480</v>
      </c>
      <c r="I80" s="66">
        <f>PRESTAMOS[[#This Row],[MONTO AMORTIZACION]]+PRESTAMOS[[#This Row],[T. INT]]</f>
        <v>2480</v>
      </c>
      <c r="J80" s="261" t="s">
        <v>420</v>
      </c>
      <c r="K80" s="249" t="str">
        <f>IF(LEN(PRESTAMOS[[#This Row],[REG]])=LEN("AYUDA**"),"PAGADO",IF(SUMIF(PAGOS!$D$3:$D$1048576,A80,PAGOS!$E$3:$E$1048576)-PRESTAMOS[[#This Row],[MONTO AMORTIZACION]]&gt;=-0.1,"PAGADO","PENDIENTE"))</f>
        <v>PENDIENTE</v>
      </c>
      <c r="L80" s="26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10</v>
      </c>
    </row>
    <row r="81" spans="1:12" hidden="1" x14ac:dyDescent="0.3">
      <c r="A81" s="311">
        <v>73</v>
      </c>
      <c r="B81" s="61">
        <v>8</v>
      </c>
      <c r="C81" s="51" t="s">
        <v>21</v>
      </c>
      <c r="D81" s="62">
        <v>300</v>
      </c>
      <c r="E81" s="63">
        <v>45792</v>
      </c>
      <c r="F81" s="64">
        <v>3</v>
      </c>
      <c r="G81" s="330">
        <v>0.02</v>
      </c>
      <c r="H81" s="66">
        <f>PRESTAMOS[[#This Row],[MONTO AMORTIZACION]]*PRESTAMOS[[#This Row],[INTERES]]*PRESTAMOS[[#This Row],[CUOTAS]]</f>
        <v>18</v>
      </c>
      <c r="I81" s="66">
        <f>PRESTAMOS[[#This Row],[MONTO AMORTIZACION]]+PRESTAMOS[[#This Row],[T. INT]]</f>
        <v>318</v>
      </c>
      <c r="J81" s="261" t="s">
        <v>426</v>
      </c>
      <c r="K81" s="249" t="str">
        <f>IF(LEN(PRESTAMOS[[#This Row],[REG]])=LEN("AYUDA**"),"PAGADO",IF(SUMIF(PAGOS!$D$3:$D$1048576,A81,PAGOS!$E$3:$E$1048576)-PRESTAMOS[[#This Row],[MONTO AMORTIZACION]]&gt;=-0.1,"PAGADO","PENDIENTE"))</f>
        <v>PENDIENTE</v>
      </c>
      <c r="L81" s="26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82" spans="1:12" hidden="1" x14ac:dyDescent="0.3">
      <c r="A82" s="302">
        <v>74</v>
      </c>
      <c r="B82" s="61">
        <v>12</v>
      </c>
      <c r="C82" s="51" t="s">
        <v>333</v>
      </c>
      <c r="D82" s="62">
        <v>40</v>
      </c>
      <c r="E82" s="63">
        <v>45792</v>
      </c>
      <c r="F82" s="64">
        <v>1</v>
      </c>
      <c r="G82" s="330">
        <v>0.02</v>
      </c>
      <c r="H82" s="66">
        <f>PRESTAMOS[[#This Row],[MONTO AMORTIZACION]]*PRESTAMOS[[#This Row],[INTERES]]*PRESTAMOS[[#This Row],[CUOTAS]]</f>
        <v>0.8</v>
      </c>
      <c r="I82" s="66">
        <f>PRESTAMOS[[#This Row],[MONTO AMORTIZACION]]+PRESTAMOS[[#This Row],[T. INT]]</f>
        <v>40.799999999999997</v>
      </c>
      <c r="J82" s="261" t="s">
        <v>428</v>
      </c>
      <c r="K82" s="249" t="str">
        <f>IF(LEN(PRESTAMOS[[#This Row],[REG]])=LEN("AYUDA**"),"PAGADO",IF(SUMIF(PAGOS!$D$3:$D$1048576,A82,PAGOS!$E$3:$E$1048576)-PRESTAMOS[[#This Row],[MONTO AMORTIZACION]]&gt;=-0.1,"PAGADO","PENDIENTE"))</f>
        <v>PAGADO</v>
      </c>
      <c r="L82" s="26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hidden="1" x14ac:dyDescent="0.3">
      <c r="A83" s="311">
        <v>75</v>
      </c>
      <c r="B83" s="61">
        <v>12</v>
      </c>
      <c r="C83" s="51" t="s">
        <v>435</v>
      </c>
      <c r="D83" s="62">
        <v>100</v>
      </c>
      <c r="E83" s="63">
        <v>45855</v>
      </c>
      <c r="F83" s="64">
        <v>1</v>
      </c>
      <c r="G83" s="330">
        <v>0.02</v>
      </c>
      <c r="H83" s="66">
        <f>PRESTAMOS[[#This Row],[MONTO AMORTIZACION]]*PRESTAMOS[[#This Row],[INTERES]]*PRESTAMOS[[#This Row],[CUOTAS]]</f>
        <v>2</v>
      </c>
      <c r="I83" s="66">
        <f>PRESTAMOS[[#This Row],[MONTO AMORTIZACION]]+PRESTAMOS[[#This Row],[T. INT]]</f>
        <v>102</v>
      </c>
      <c r="J83" s="261" t="s">
        <v>436</v>
      </c>
      <c r="K83" s="249" t="str">
        <f>IF(LEN(PRESTAMOS[[#This Row],[REG]])=LEN("AYUDA**"),"PAGADO",IF(SUMIF(PAGOS!$D$3:$D$1048576,A83,PAGOS!$E$3:$E$1048576)-PRESTAMOS[[#This Row],[MONTO AMORTIZACION]]&gt;=-0.1,"PAGADO","PENDIENTE"))</f>
        <v>PENDIENTE</v>
      </c>
      <c r="L83" s="26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</sheetData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K323"/>
  <sheetViews>
    <sheetView zoomScale="99" zoomScaleNormal="99" workbookViewId="0">
      <selection activeCell="E337" sqref="E337"/>
    </sheetView>
  </sheetViews>
  <sheetFormatPr baseColWidth="10" defaultColWidth="10.88671875" defaultRowHeight="14.4" x14ac:dyDescent="0.3"/>
  <cols>
    <col min="1" max="1" width="10.33203125" style="255" bestFit="1" customWidth="1"/>
    <col min="2" max="2" width="8.33203125" style="28" customWidth="1"/>
    <col min="3" max="3" width="24" style="28" customWidth="1"/>
    <col min="4" max="4" width="14.6640625" style="224" customWidth="1"/>
    <col min="5" max="5" width="11.109375" style="28" customWidth="1"/>
    <col min="6" max="8" width="13.33203125" style="28" customWidth="1"/>
    <col min="9" max="9" width="12.33203125" style="28" customWidth="1"/>
    <col min="10" max="10" width="12" style="28" customWidth="1"/>
    <col min="11" max="11" width="75" style="33" bestFit="1" customWidth="1"/>
    <col min="12" max="16384" width="10.88671875" style="30"/>
  </cols>
  <sheetData>
    <row r="1" spans="1:11" x14ac:dyDescent="0.3">
      <c r="A1" s="351" t="s">
        <v>41</v>
      </c>
      <c r="B1" s="351"/>
      <c r="C1" s="351"/>
      <c r="D1" s="351"/>
      <c r="E1" s="351"/>
      <c r="F1" s="351"/>
      <c r="G1" s="351"/>
      <c r="H1" s="351"/>
      <c r="I1" s="351"/>
      <c r="J1" s="351"/>
      <c r="K1" s="351"/>
    </row>
    <row r="2" spans="1:11" ht="28.8" x14ac:dyDescent="0.3">
      <c r="A2" s="35" t="s">
        <v>71</v>
      </c>
      <c r="B2" s="34" t="s">
        <v>35</v>
      </c>
      <c r="C2" s="35" t="s">
        <v>36</v>
      </c>
      <c r="D2" s="35" t="s">
        <v>275</v>
      </c>
      <c r="E2" s="35" t="s">
        <v>30</v>
      </c>
      <c r="F2" s="35" t="s">
        <v>37</v>
      </c>
      <c r="G2" s="35" t="s">
        <v>44</v>
      </c>
      <c r="H2" s="35" t="s">
        <v>31</v>
      </c>
      <c r="I2" s="35" t="s">
        <v>38</v>
      </c>
      <c r="J2" s="35" t="s">
        <v>45</v>
      </c>
      <c r="K2" s="35" t="s">
        <v>338</v>
      </c>
    </row>
    <row r="3" spans="1:11" x14ac:dyDescent="0.3">
      <c r="A3" s="40">
        <v>1</v>
      </c>
      <c r="B3" s="86" t="s">
        <v>2</v>
      </c>
      <c r="C3" s="69" t="s">
        <v>16</v>
      </c>
      <c r="D3" s="305">
        <v>2</v>
      </c>
      <c r="E3" s="46">
        <v>50</v>
      </c>
      <c r="F3" s="70">
        <v>44849</v>
      </c>
      <c r="G3" s="78">
        <v>1</v>
      </c>
      <c r="H3" s="46">
        <v>2</v>
      </c>
      <c r="I3" s="70">
        <v>44849</v>
      </c>
      <c r="J3" s="82">
        <v>1</v>
      </c>
      <c r="K3" s="53" t="s">
        <v>439</v>
      </c>
    </row>
    <row r="4" spans="1:11" hidden="1" x14ac:dyDescent="0.3">
      <c r="A4" s="47">
        <v>2</v>
      </c>
      <c r="B4" s="87" t="s">
        <v>5</v>
      </c>
      <c r="C4" s="71" t="s">
        <v>19</v>
      </c>
      <c r="D4" s="304">
        <v>1</v>
      </c>
      <c r="E4" s="90">
        <v>30</v>
      </c>
      <c r="F4" s="72">
        <v>44849</v>
      </c>
      <c r="G4" s="79">
        <v>1</v>
      </c>
      <c r="H4" s="90">
        <v>1.2</v>
      </c>
      <c r="I4" s="72">
        <v>44849</v>
      </c>
      <c r="J4" s="82">
        <v>1</v>
      </c>
      <c r="K4" s="73" t="s">
        <v>439</v>
      </c>
    </row>
    <row r="5" spans="1:11" x14ac:dyDescent="0.3">
      <c r="A5" s="47">
        <v>3</v>
      </c>
      <c r="B5" s="86" t="s">
        <v>2</v>
      </c>
      <c r="C5" s="69" t="s">
        <v>16</v>
      </c>
      <c r="D5" s="305">
        <v>2</v>
      </c>
      <c r="E5" s="46">
        <v>100</v>
      </c>
      <c r="F5" s="72">
        <v>44880</v>
      </c>
      <c r="G5" s="78">
        <v>2</v>
      </c>
      <c r="H5" s="46">
        <v>2</v>
      </c>
      <c r="I5" s="72">
        <v>44880</v>
      </c>
      <c r="J5" s="82">
        <v>2</v>
      </c>
      <c r="K5" s="53" t="s">
        <v>276</v>
      </c>
    </row>
    <row r="6" spans="1:11" hidden="1" x14ac:dyDescent="0.3">
      <c r="A6" s="47">
        <v>4</v>
      </c>
      <c r="B6" s="87" t="s">
        <v>5</v>
      </c>
      <c r="C6" s="71" t="s">
        <v>19</v>
      </c>
      <c r="D6" s="304">
        <v>1</v>
      </c>
      <c r="E6" s="90">
        <v>30</v>
      </c>
      <c r="F6" s="72">
        <v>44880</v>
      </c>
      <c r="G6" s="79">
        <v>2</v>
      </c>
      <c r="H6" s="90">
        <v>1.2</v>
      </c>
      <c r="I6" s="72">
        <v>44880</v>
      </c>
      <c r="J6" s="82">
        <v>2</v>
      </c>
      <c r="K6" s="73" t="s">
        <v>440</v>
      </c>
    </row>
    <row r="7" spans="1:11" hidden="1" x14ac:dyDescent="0.3">
      <c r="A7" s="40">
        <v>5</v>
      </c>
      <c r="B7" s="87" t="s">
        <v>2</v>
      </c>
      <c r="C7" s="71" t="s">
        <v>17</v>
      </c>
      <c r="D7" s="304">
        <v>3</v>
      </c>
      <c r="E7" s="90">
        <v>200</v>
      </c>
      <c r="F7" s="72">
        <v>44880</v>
      </c>
      <c r="G7" s="79">
        <v>1</v>
      </c>
      <c r="H7" s="90">
        <v>4</v>
      </c>
      <c r="I7" s="72">
        <v>44880</v>
      </c>
      <c r="J7" s="83">
        <v>1</v>
      </c>
      <c r="K7" s="73" t="s">
        <v>439</v>
      </c>
    </row>
    <row r="8" spans="1:11" hidden="1" x14ac:dyDescent="0.3">
      <c r="A8" s="40">
        <v>6</v>
      </c>
      <c r="B8" s="87" t="s">
        <v>11</v>
      </c>
      <c r="C8" s="71" t="s">
        <v>25</v>
      </c>
      <c r="D8" s="306">
        <v>4</v>
      </c>
      <c r="E8" s="91">
        <v>100</v>
      </c>
      <c r="F8" s="75">
        <v>44910</v>
      </c>
      <c r="G8" s="80">
        <v>1</v>
      </c>
      <c r="H8" s="91">
        <v>4</v>
      </c>
      <c r="I8" s="75">
        <v>44910</v>
      </c>
      <c r="J8" s="84">
        <v>1</v>
      </c>
      <c r="K8" s="76" t="s">
        <v>439</v>
      </c>
    </row>
    <row r="9" spans="1:11" s="29" customFormat="1" hidden="1" x14ac:dyDescent="0.3">
      <c r="A9" s="40">
        <v>7</v>
      </c>
      <c r="B9" s="87" t="s">
        <v>7</v>
      </c>
      <c r="C9" s="71" t="s">
        <v>21</v>
      </c>
      <c r="D9" s="304">
        <v>5</v>
      </c>
      <c r="E9" s="90">
        <v>200</v>
      </c>
      <c r="F9" s="72">
        <v>44910</v>
      </c>
      <c r="G9" s="79">
        <v>1</v>
      </c>
      <c r="H9" s="90">
        <v>4</v>
      </c>
      <c r="I9" s="72">
        <v>44910</v>
      </c>
      <c r="J9" s="83">
        <v>1</v>
      </c>
      <c r="K9" s="73" t="s">
        <v>439</v>
      </c>
    </row>
    <row r="10" spans="1:11" s="29" customFormat="1" hidden="1" x14ac:dyDescent="0.3">
      <c r="A10" s="321" t="s">
        <v>93</v>
      </c>
      <c r="B10" s="88">
        <v>18</v>
      </c>
      <c r="C10" s="74" t="s">
        <v>74</v>
      </c>
      <c r="D10" s="223" t="s">
        <v>406</v>
      </c>
      <c r="E10" s="91">
        <v>0</v>
      </c>
      <c r="F10" s="75">
        <v>44921</v>
      </c>
      <c r="G10" s="80" t="s">
        <v>406</v>
      </c>
      <c r="H10" s="91">
        <v>10</v>
      </c>
      <c r="I10" s="75">
        <v>44921</v>
      </c>
      <c r="J10" s="84" t="s">
        <v>406</v>
      </c>
      <c r="K10" s="76" t="s">
        <v>79</v>
      </c>
    </row>
    <row r="11" spans="1:11" s="29" customFormat="1" hidden="1" x14ac:dyDescent="0.3">
      <c r="A11" s="40">
        <v>8</v>
      </c>
      <c r="B11" s="87" t="s">
        <v>0</v>
      </c>
      <c r="C11" s="71" t="s">
        <v>14</v>
      </c>
      <c r="D11" s="304">
        <v>6</v>
      </c>
      <c r="E11" s="91">
        <v>25</v>
      </c>
      <c r="F11" s="75">
        <v>44941</v>
      </c>
      <c r="G11" s="80">
        <v>1</v>
      </c>
      <c r="H11" s="91">
        <v>2</v>
      </c>
      <c r="I11" s="75">
        <v>44941</v>
      </c>
      <c r="J11" s="84">
        <v>1</v>
      </c>
      <c r="K11" s="76" t="s">
        <v>439</v>
      </c>
    </row>
    <row r="12" spans="1:11" s="29" customFormat="1" hidden="1" x14ac:dyDescent="0.3">
      <c r="A12" s="40">
        <v>9</v>
      </c>
      <c r="B12" s="87" t="s">
        <v>8</v>
      </c>
      <c r="C12" s="71" t="s">
        <v>22</v>
      </c>
      <c r="D12" s="304">
        <v>7</v>
      </c>
      <c r="E12" s="91">
        <v>25</v>
      </c>
      <c r="F12" s="75">
        <v>44941</v>
      </c>
      <c r="G12" s="80">
        <v>1</v>
      </c>
      <c r="H12" s="91">
        <v>2</v>
      </c>
      <c r="I12" s="75">
        <v>44941</v>
      </c>
      <c r="J12" s="84">
        <v>1</v>
      </c>
      <c r="K12" s="76" t="s">
        <v>439</v>
      </c>
    </row>
    <row r="13" spans="1:11" s="29" customFormat="1" hidden="1" x14ac:dyDescent="0.3">
      <c r="A13" s="40">
        <v>10</v>
      </c>
      <c r="B13" s="87" t="s">
        <v>9</v>
      </c>
      <c r="C13" s="71" t="s">
        <v>23</v>
      </c>
      <c r="D13" s="304">
        <v>8</v>
      </c>
      <c r="E13" s="90">
        <v>34</v>
      </c>
      <c r="F13" s="72">
        <v>44941</v>
      </c>
      <c r="G13" s="79">
        <v>1</v>
      </c>
      <c r="H13" s="90">
        <v>3.4</v>
      </c>
      <c r="I13" s="72">
        <v>44941</v>
      </c>
      <c r="J13" s="83">
        <v>1</v>
      </c>
      <c r="K13" s="73" t="s">
        <v>439</v>
      </c>
    </row>
    <row r="14" spans="1:11" s="29" customFormat="1" hidden="1" x14ac:dyDescent="0.3">
      <c r="A14" s="40">
        <v>11</v>
      </c>
      <c r="B14" s="87" t="s">
        <v>11</v>
      </c>
      <c r="C14" s="71" t="s">
        <v>25</v>
      </c>
      <c r="D14" s="304">
        <v>4</v>
      </c>
      <c r="E14" s="90">
        <v>100</v>
      </c>
      <c r="F14" s="72">
        <v>44941</v>
      </c>
      <c r="G14" s="79">
        <v>2</v>
      </c>
      <c r="H14" s="90">
        <v>4</v>
      </c>
      <c r="I14" s="72">
        <v>44941</v>
      </c>
      <c r="J14" s="83">
        <v>2</v>
      </c>
      <c r="K14" s="73" t="s">
        <v>440</v>
      </c>
    </row>
    <row r="15" spans="1:11" s="29" customFormat="1" hidden="1" x14ac:dyDescent="0.3">
      <c r="A15" s="40">
        <v>12</v>
      </c>
      <c r="B15" s="87" t="s">
        <v>0</v>
      </c>
      <c r="C15" s="71" t="s">
        <v>14</v>
      </c>
      <c r="D15" s="304">
        <v>6</v>
      </c>
      <c r="E15" s="91">
        <v>25</v>
      </c>
      <c r="F15" s="75">
        <v>44972</v>
      </c>
      <c r="G15" s="80">
        <v>2</v>
      </c>
      <c r="H15" s="91">
        <v>2</v>
      </c>
      <c r="I15" s="75">
        <v>44972</v>
      </c>
      <c r="J15" s="84">
        <v>2</v>
      </c>
      <c r="K15" s="76" t="s">
        <v>440</v>
      </c>
    </row>
    <row r="16" spans="1:11" s="29" customFormat="1" hidden="1" x14ac:dyDescent="0.3">
      <c r="A16" s="40">
        <v>13</v>
      </c>
      <c r="B16" s="87" t="s">
        <v>8</v>
      </c>
      <c r="C16" s="71" t="s">
        <v>22</v>
      </c>
      <c r="D16" s="304">
        <v>7</v>
      </c>
      <c r="E16" s="91">
        <v>25</v>
      </c>
      <c r="F16" s="75">
        <v>44972</v>
      </c>
      <c r="G16" s="80">
        <v>2</v>
      </c>
      <c r="H16" s="91">
        <v>2</v>
      </c>
      <c r="I16" s="75">
        <v>44972</v>
      </c>
      <c r="J16" s="84">
        <v>2</v>
      </c>
      <c r="K16" s="76" t="s">
        <v>440</v>
      </c>
    </row>
    <row r="17" spans="1:11" s="29" customFormat="1" hidden="1" x14ac:dyDescent="0.3">
      <c r="A17" s="40">
        <v>14</v>
      </c>
      <c r="B17" s="87" t="s">
        <v>5</v>
      </c>
      <c r="C17" s="71" t="s">
        <v>19</v>
      </c>
      <c r="D17" s="304">
        <v>10</v>
      </c>
      <c r="E17" s="90">
        <v>25</v>
      </c>
      <c r="F17" s="72">
        <v>44972</v>
      </c>
      <c r="G17" s="79">
        <v>1</v>
      </c>
      <c r="H17" s="90">
        <v>2</v>
      </c>
      <c r="I17" s="72">
        <v>44972</v>
      </c>
      <c r="J17" s="83">
        <v>1</v>
      </c>
      <c r="K17" s="73" t="s">
        <v>80</v>
      </c>
    </row>
    <row r="18" spans="1:11" s="29" customFormat="1" hidden="1" x14ac:dyDescent="0.3">
      <c r="A18" s="40">
        <v>15</v>
      </c>
      <c r="B18" s="87" t="s">
        <v>10</v>
      </c>
      <c r="C18" s="71" t="s">
        <v>24</v>
      </c>
      <c r="D18" s="304">
        <v>9</v>
      </c>
      <c r="E18" s="90">
        <v>83.33</v>
      </c>
      <c r="F18" s="72">
        <v>44972</v>
      </c>
      <c r="G18" s="79">
        <v>1</v>
      </c>
      <c r="H18" s="90">
        <v>5</v>
      </c>
      <c r="I18" s="72">
        <v>44972</v>
      </c>
      <c r="J18" s="83">
        <v>1</v>
      </c>
      <c r="K18" s="73" t="s">
        <v>80</v>
      </c>
    </row>
    <row r="19" spans="1:11" s="29" customFormat="1" hidden="1" x14ac:dyDescent="0.3">
      <c r="A19" s="40">
        <v>16</v>
      </c>
      <c r="B19" s="87" t="s">
        <v>9</v>
      </c>
      <c r="C19" s="71" t="s">
        <v>23</v>
      </c>
      <c r="D19" s="304">
        <v>8</v>
      </c>
      <c r="E19" s="90">
        <v>34</v>
      </c>
      <c r="F19" s="72">
        <v>44972</v>
      </c>
      <c r="G19" s="79">
        <v>2</v>
      </c>
      <c r="H19" s="90">
        <v>3.4</v>
      </c>
      <c r="I19" s="72">
        <v>44972</v>
      </c>
      <c r="J19" s="83">
        <v>2</v>
      </c>
      <c r="K19" s="73" t="s">
        <v>440</v>
      </c>
    </row>
    <row r="20" spans="1:11" s="29" customFormat="1" hidden="1" x14ac:dyDescent="0.3">
      <c r="A20" s="40">
        <v>17</v>
      </c>
      <c r="B20" s="87" t="s">
        <v>0</v>
      </c>
      <c r="C20" s="71" t="s">
        <v>14</v>
      </c>
      <c r="D20" s="304">
        <v>6</v>
      </c>
      <c r="E20" s="91">
        <v>25</v>
      </c>
      <c r="F20" s="75">
        <v>45000</v>
      </c>
      <c r="G20" s="80">
        <v>3</v>
      </c>
      <c r="H20" s="91">
        <v>2</v>
      </c>
      <c r="I20" s="75">
        <v>45000</v>
      </c>
      <c r="J20" s="84">
        <v>3</v>
      </c>
      <c r="K20" s="76" t="s">
        <v>442</v>
      </c>
    </row>
    <row r="21" spans="1:11" s="29" customFormat="1" hidden="1" x14ac:dyDescent="0.3">
      <c r="A21" s="40">
        <v>18</v>
      </c>
      <c r="B21" s="87" t="s">
        <v>8</v>
      </c>
      <c r="C21" s="71" t="s">
        <v>22</v>
      </c>
      <c r="D21" s="304">
        <v>7</v>
      </c>
      <c r="E21" s="91">
        <v>25</v>
      </c>
      <c r="F21" s="75">
        <v>45000</v>
      </c>
      <c r="G21" s="80">
        <v>3</v>
      </c>
      <c r="H21" s="91">
        <v>2</v>
      </c>
      <c r="I21" s="75">
        <v>45000</v>
      </c>
      <c r="J21" s="84">
        <v>3</v>
      </c>
      <c r="K21" s="76" t="s">
        <v>442</v>
      </c>
    </row>
    <row r="22" spans="1:11" s="29" customFormat="1" hidden="1" x14ac:dyDescent="0.3">
      <c r="A22" s="40">
        <v>19</v>
      </c>
      <c r="B22" s="87" t="s">
        <v>6</v>
      </c>
      <c r="C22" s="71" t="s">
        <v>20</v>
      </c>
      <c r="D22" s="304">
        <v>12</v>
      </c>
      <c r="E22" s="90">
        <v>25</v>
      </c>
      <c r="F22" s="72">
        <v>45000</v>
      </c>
      <c r="G22" s="79">
        <v>1</v>
      </c>
      <c r="H22" s="90">
        <v>2</v>
      </c>
      <c r="I22" s="72">
        <v>45000</v>
      </c>
      <c r="J22" s="83">
        <v>1</v>
      </c>
      <c r="K22" s="73" t="s">
        <v>80</v>
      </c>
    </row>
    <row r="23" spans="1:11" s="29" customFormat="1" hidden="1" x14ac:dyDescent="0.3">
      <c r="A23" s="40">
        <v>20</v>
      </c>
      <c r="B23" s="87" t="s">
        <v>2</v>
      </c>
      <c r="C23" s="71" t="s">
        <v>16</v>
      </c>
      <c r="D23" s="304">
        <v>11</v>
      </c>
      <c r="E23" s="90">
        <v>100</v>
      </c>
      <c r="F23" s="72">
        <v>45000</v>
      </c>
      <c r="G23" s="79">
        <v>1</v>
      </c>
      <c r="H23" s="90">
        <v>6</v>
      </c>
      <c r="I23" s="72">
        <v>45000</v>
      </c>
      <c r="J23" s="83">
        <v>1</v>
      </c>
      <c r="K23" s="73" t="s">
        <v>80</v>
      </c>
    </row>
    <row r="24" spans="1:11" s="29" customFormat="1" hidden="1" x14ac:dyDescent="0.3">
      <c r="A24" s="40">
        <v>21</v>
      </c>
      <c r="B24" s="87" t="s">
        <v>5</v>
      </c>
      <c r="C24" s="71" t="s">
        <v>19</v>
      </c>
      <c r="D24" s="304">
        <v>10</v>
      </c>
      <c r="E24" s="90">
        <v>25</v>
      </c>
      <c r="F24" s="72">
        <v>45000</v>
      </c>
      <c r="G24" s="79">
        <v>2</v>
      </c>
      <c r="H24" s="90">
        <v>2</v>
      </c>
      <c r="I24" s="72">
        <v>45000</v>
      </c>
      <c r="J24" s="83">
        <v>2</v>
      </c>
      <c r="K24" s="73" t="s">
        <v>81</v>
      </c>
    </row>
    <row r="25" spans="1:11" s="29" customFormat="1" hidden="1" x14ac:dyDescent="0.3">
      <c r="A25" s="40">
        <v>22</v>
      </c>
      <c r="B25" s="87" t="s">
        <v>10</v>
      </c>
      <c r="C25" s="71" t="s">
        <v>24</v>
      </c>
      <c r="D25" s="304">
        <v>9</v>
      </c>
      <c r="E25" s="90">
        <v>83.33</v>
      </c>
      <c r="F25" s="72">
        <v>45000</v>
      </c>
      <c r="G25" s="79">
        <v>2</v>
      </c>
      <c r="H25" s="90">
        <v>5</v>
      </c>
      <c r="I25" s="72">
        <v>45000</v>
      </c>
      <c r="J25" s="83">
        <v>2</v>
      </c>
      <c r="K25" s="73" t="s">
        <v>82</v>
      </c>
    </row>
    <row r="26" spans="1:11" s="29" customFormat="1" hidden="1" x14ac:dyDescent="0.3">
      <c r="A26" s="40">
        <v>23</v>
      </c>
      <c r="B26" s="87" t="s">
        <v>9</v>
      </c>
      <c r="C26" s="71" t="s">
        <v>23</v>
      </c>
      <c r="D26" s="304">
        <v>8</v>
      </c>
      <c r="E26" s="90">
        <v>34</v>
      </c>
      <c r="F26" s="72">
        <v>45000</v>
      </c>
      <c r="G26" s="79">
        <v>3</v>
      </c>
      <c r="H26" s="90">
        <v>3.4</v>
      </c>
      <c r="I26" s="72">
        <v>45000</v>
      </c>
      <c r="J26" s="83">
        <v>3</v>
      </c>
      <c r="K26" s="73" t="s">
        <v>442</v>
      </c>
    </row>
    <row r="27" spans="1:11" s="29" customFormat="1" hidden="1" x14ac:dyDescent="0.3">
      <c r="A27" s="40">
        <v>24</v>
      </c>
      <c r="B27" s="87" t="s">
        <v>0</v>
      </c>
      <c r="C27" s="71" t="s">
        <v>14</v>
      </c>
      <c r="D27" s="304">
        <v>6</v>
      </c>
      <c r="E27" s="91">
        <v>25</v>
      </c>
      <c r="F27" s="75">
        <v>45031</v>
      </c>
      <c r="G27" s="80">
        <v>4</v>
      </c>
      <c r="H27" s="91">
        <v>2</v>
      </c>
      <c r="I27" s="75">
        <v>45031</v>
      </c>
      <c r="J27" s="84">
        <v>4</v>
      </c>
      <c r="K27" s="76" t="s">
        <v>443</v>
      </c>
    </row>
    <row r="28" spans="1:11" s="29" customFormat="1" hidden="1" x14ac:dyDescent="0.3">
      <c r="A28" s="40">
        <v>25</v>
      </c>
      <c r="B28" s="87" t="s">
        <v>8</v>
      </c>
      <c r="C28" s="71" t="s">
        <v>22</v>
      </c>
      <c r="D28" s="304">
        <v>7</v>
      </c>
      <c r="E28" s="91">
        <v>25</v>
      </c>
      <c r="F28" s="75">
        <v>45031</v>
      </c>
      <c r="G28" s="80">
        <v>4</v>
      </c>
      <c r="H28" s="91">
        <v>2</v>
      </c>
      <c r="I28" s="75">
        <v>45031</v>
      </c>
      <c r="J28" s="84">
        <v>4</v>
      </c>
      <c r="K28" s="76" t="s">
        <v>443</v>
      </c>
    </row>
    <row r="29" spans="1:11" s="29" customFormat="1" hidden="1" x14ac:dyDescent="0.3">
      <c r="A29" s="40">
        <v>26</v>
      </c>
      <c r="B29" s="87" t="s">
        <v>12</v>
      </c>
      <c r="C29" s="71" t="s">
        <v>26</v>
      </c>
      <c r="D29" s="304">
        <v>14</v>
      </c>
      <c r="E29" s="90">
        <v>80</v>
      </c>
      <c r="F29" s="72">
        <v>45031</v>
      </c>
      <c r="G29" s="79">
        <v>1</v>
      </c>
      <c r="H29" s="90">
        <v>1.6</v>
      </c>
      <c r="I29" s="72">
        <v>45031</v>
      </c>
      <c r="J29" s="83">
        <v>1</v>
      </c>
      <c r="K29" s="73" t="s">
        <v>83</v>
      </c>
    </row>
    <row r="30" spans="1:11" s="29" customFormat="1" hidden="1" x14ac:dyDescent="0.3">
      <c r="A30" s="40">
        <v>27</v>
      </c>
      <c r="B30" s="87" t="s">
        <v>3</v>
      </c>
      <c r="C30" s="71" t="s">
        <v>17</v>
      </c>
      <c r="D30" s="304">
        <v>13</v>
      </c>
      <c r="E30" s="90">
        <v>100</v>
      </c>
      <c r="F30" s="72">
        <v>45031</v>
      </c>
      <c r="G30" s="79">
        <v>1</v>
      </c>
      <c r="H30" s="90">
        <v>8</v>
      </c>
      <c r="I30" s="72">
        <v>45031</v>
      </c>
      <c r="J30" s="83">
        <v>1</v>
      </c>
      <c r="K30" s="73" t="s">
        <v>80</v>
      </c>
    </row>
    <row r="31" spans="1:11" s="29" customFormat="1" hidden="1" x14ac:dyDescent="0.3">
      <c r="A31" s="40">
        <v>28</v>
      </c>
      <c r="B31" s="87" t="s">
        <v>6</v>
      </c>
      <c r="C31" s="71" t="s">
        <v>20</v>
      </c>
      <c r="D31" s="304">
        <v>12</v>
      </c>
      <c r="E31" s="90">
        <v>25</v>
      </c>
      <c r="F31" s="72">
        <v>45031</v>
      </c>
      <c r="G31" s="79">
        <v>2</v>
      </c>
      <c r="H31" s="90">
        <v>2</v>
      </c>
      <c r="I31" s="72">
        <v>45031</v>
      </c>
      <c r="J31" s="83">
        <v>2</v>
      </c>
      <c r="K31" s="73" t="s">
        <v>81</v>
      </c>
    </row>
    <row r="32" spans="1:11" s="29" customFormat="1" hidden="1" x14ac:dyDescent="0.3">
      <c r="A32" s="40">
        <v>29</v>
      </c>
      <c r="B32" s="87" t="s">
        <v>2</v>
      </c>
      <c r="C32" s="71" t="s">
        <v>16</v>
      </c>
      <c r="D32" s="304">
        <v>11</v>
      </c>
      <c r="E32" s="90">
        <v>100</v>
      </c>
      <c r="F32" s="72">
        <v>45031</v>
      </c>
      <c r="G32" s="79">
        <v>2</v>
      </c>
      <c r="H32" s="90">
        <v>6</v>
      </c>
      <c r="I32" s="72">
        <v>45031</v>
      </c>
      <c r="J32" s="83">
        <v>2</v>
      </c>
      <c r="K32" s="73" t="s">
        <v>81</v>
      </c>
    </row>
    <row r="33" spans="1:11" s="29" customFormat="1" hidden="1" x14ac:dyDescent="0.3">
      <c r="A33" s="40">
        <v>30</v>
      </c>
      <c r="B33" s="87" t="s">
        <v>5</v>
      </c>
      <c r="C33" s="71" t="s">
        <v>19</v>
      </c>
      <c r="D33" s="304">
        <v>10</v>
      </c>
      <c r="E33" s="90">
        <v>25</v>
      </c>
      <c r="F33" s="72">
        <v>45031</v>
      </c>
      <c r="G33" s="79">
        <v>3</v>
      </c>
      <c r="H33" s="90">
        <v>2</v>
      </c>
      <c r="I33" s="72">
        <v>45031</v>
      </c>
      <c r="J33" s="83">
        <v>3</v>
      </c>
      <c r="K33" s="73" t="s">
        <v>84</v>
      </c>
    </row>
    <row r="34" spans="1:11" s="29" customFormat="1" hidden="1" x14ac:dyDescent="0.3">
      <c r="A34" s="40">
        <v>31</v>
      </c>
      <c r="B34" s="87" t="s">
        <v>10</v>
      </c>
      <c r="C34" s="71" t="s">
        <v>24</v>
      </c>
      <c r="D34" s="304">
        <v>9</v>
      </c>
      <c r="E34" s="90">
        <v>83.33</v>
      </c>
      <c r="F34" s="72">
        <v>45031</v>
      </c>
      <c r="G34" s="79">
        <v>3</v>
      </c>
      <c r="H34" s="90">
        <v>5</v>
      </c>
      <c r="I34" s="72">
        <v>45031</v>
      </c>
      <c r="J34" s="83">
        <v>3</v>
      </c>
      <c r="K34" s="73" t="s">
        <v>85</v>
      </c>
    </row>
    <row r="35" spans="1:11" s="29" customFormat="1" hidden="1" x14ac:dyDescent="0.3">
      <c r="A35" s="40">
        <v>32</v>
      </c>
      <c r="B35" s="87" t="s">
        <v>9</v>
      </c>
      <c r="C35" s="71" t="s">
        <v>23</v>
      </c>
      <c r="D35" s="304">
        <v>8</v>
      </c>
      <c r="E35" s="90">
        <v>34</v>
      </c>
      <c r="F35" s="72">
        <v>45031</v>
      </c>
      <c r="G35" s="79">
        <v>4</v>
      </c>
      <c r="H35" s="90">
        <v>3.4</v>
      </c>
      <c r="I35" s="72">
        <v>45031</v>
      </c>
      <c r="J35" s="83">
        <v>4</v>
      </c>
      <c r="K35" s="73" t="s">
        <v>443</v>
      </c>
    </row>
    <row r="36" spans="1:11" s="29" customFormat="1" hidden="1" x14ac:dyDescent="0.3">
      <c r="A36" s="40">
        <v>33</v>
      </c>
      <c r="B36" s="87" t="s">
        <v>0</v>
      </c>
      <c r="C36" s="71" t="s">
        <v>14</v>
      </c>
      <c r="D36" s="304">
        <v>16</v>
      </c>
      <c r="E36" s="90">
        <v>25</v>
      </c>
      <c r="F36" s="72">
        <v>45061</v>
      </c>
      <c r="G36" s="79">
        <v>1</v>
      </c>
      <c r="H36" s="90">
        <v>2</v>
      </c>
      <c r="I36" s="72">
        <v>45061</v>
      </c>
      <c r="J36" s="83">
        <v>1</v>
      </c>
      <c r="K36" s="73" t="s">
        <v>80</v>
      </c>
    </row>
    <row r="37" spans="1:11" s="29" customFormat="1" hidden="1" x14ac:dyDescent="0.3">
      <c r="A37" s="40">
        <v>34</v>
      </c>
      <c r="B37" s="87" t="s">
        <v>8</v>
      </c>
      <c r="C37" s="71" t="s">
        <v>22</v>
      </c>
      <c r="D37" s="304">
        <v>15</v>
      </c>
      <c r="E37" s="90">
        <v>50</v>
      </c>
      <c r="F37" s="72">
        <v>45061</v>
      </c>
      <c r="G37" s="79">
        <v>1</v>
      </c>
      <c r="H37" s="90">
        <v>4</v>
      </c>
      <c r="I37" s="72">
        <v>45061</v>
      </c>
      <c r="J37" s="83">
        <v>1</v>
      </c>
      <c r="K37" s="73" t="s">
        <v>80</v>
      </c>
    </row>
    <row r="38" spans="1:11" s="29" customFormat="1" hidden="1" x14ac:dyDescent="0.3">
      <c r="A38" s="40">
        <v>35</v>
      </c>
      <c r="B38" s="87" t="s">
        <v>3</v>
      </c>
      <c r="C38" s="71" t="s">
        <v>17</v>
      </c>
      <c r="D38" s="304">
        <v>13</v>
      </c>
      <c r="E38" s="90">
        <v>100</v>
      </c>
      <c r="F38" s="72">
        <v>45061</v>
      </c>
      <c r="G38" s="79">
        <v>2</v>
      </c>
      <c r="H38" s="90">
        <v>8</v>
      </c>
      <c r="I38" s="72">
        <v>45061</v>
      </c>
      <c r="J38" s="83">
        <v>2</v>
      </c>
      <c r="K38" s="73" t="s">
        <v>81</v>
      </c>
    </row>
    <row r="39" spans="1:11" s="29" customFormat="1" hidden="1" x14ac:dyDescent="0.3">
      <c r="A39" s="40">
        <v>36</v>
      </c>
      <c r="B39" s="87" t="s">
        <v>6</v>
      </c>
      <c r="C39" s="71" t="s">
        <v>20</v>
      </c>
      <c r="D39" s="304">
        <v>12</v>
      </c>
      <c r="E39" s="90">
        <v>25</v>
      </c>
      <c r="F39" s="72">
        <v>45061</v>
      </c>
      <c r="G39" s="79">
        <v>3</v>
      </c>
      <c r="H39" s="90">
        <v>2</v>
      </c>
      <c r="I39" s="72">
        <v>45061</v>
      </c>
      <c r="J39" s="83">
        <v>3</v>
      </c>
      <c r="K39" s="73" t="s">
        <v>84</v>
      </c>
    </row>
    <row r="40" spans="1:11" s="29" customFormat="1" hidden="1" x14ac:dyDescent="0.3">
      <c r="A40" s="40">
        <v>37</v>
      </c>
      <c r="B40" s="87" t="s">
        <v>2</v>
      </c>
      <c r="C40" s="71" t="s">
        <v>16</v>
      </c>
      <c r="D40" s="304">
        <v>11</v>
      </c>
      <c r="E40" s="90">
        <v>100</v>
      </c>
      <c r="F40" s="72">
        <v>45061</v>
      </c>
      <c r="G40" s="79">
        <v>3</v>
      </c>
      <c r="H40" s="90">
        <v>6</v>
      </c>
      <c r="I40" s="72">
        <v>45061</v>
      </c>
      <c r="J40" s="83">
        <v>3</v>
      </c>
      <c r="K40" s="73" t="s">
        <v>84</v>
      </c>
    </row>
    <row r="41" spans="1:11" s="29" customFormat="1" hidden="1" x14ac:dyDescent="0.3">
      <c r="A41" s="40">
        <v>38</v>
      </c>
      <c r="B41" s="87" t="s">
        <v>5</v>
      </c>
      <c r="C41" s="71" t="s">
        <v>19</v>
      </c>
      <c r="D41" s="304">
        <v>10</v>
      </c>
      <c r="E41" s="90">
        <v>25</v>
      </c>
      <c r="F41" s="72">
        <v>45061</v>
      </c>
      <c r="G41" s="79">
        <v>4</v>
      </c>
      <c r="H41" s="90">
        <v>2</v>
      </c>
      <c r="I41" s="72">
        <v>45061</v>
      </c>
      <c r="J41" s="83">
        <v>4</v>
      </c>
      <c r="K41" s="73" t="s">
        <v>86</v>
      </c>
    </row>
    <row r="42" spans="1:11" s="29" customFormat="1" hidden="1" x14ac:dyDescent="0.3">
      <c r="A42" s="40">
        <v>39</v>
      </c>
      <c r="B42" s="87" t="s">
        <v>9</v>
      </c>
      <c r="C42" s="71" t="s">
        <v>23</v>
      </c>
      <c r="D42" s="304">
        <v>8</v>
      </c>
      <c r="E42" s="90">
        <v>34</v>
      </c>
      <c r="F42" s="72">
        <v>45061</v>
      </c>
      <c r="G42" s="79">
        <v>5</v>
      </c>
      <c r="H42" s="90">
        <v>3.4</v>
      </c>
      <c r="I42" s="72">
        <v>45061</v>
      </c>
      <c r="J42" s="83">
        <v>5</v>
      </c>
      <c r="K42" s="73" t="s">
        <v>444</v>
      </c>
    </row>
    <row r="43" spans="1:11" s="29" customFormat="1" hidden="1" x14ac:dyDescent="0.3">
      <c r="A43" s="40">
        <v>40</v>
      </c>
      <c r="B43" s="87" t="s">
        <v>5</v>
      </c>
      <c r="C43" s="71" t="s">
        <v>19</v>
      </c>
      <c r="D43" s="304">
        <v>18</v>
      </c>
      <c r="E43" s="90">
        <v>25</v>
      </c>
      <c r="F43" s="72">
        <v>45092</v>
      </c>
      <c r="G43" s="79">
        <v>1</v>
      </c>
      <c r="H43" s="90">
        <v>2</v>
      </c>
      <c r="I43" s="72">
        <v>45092</v>
      </c>
      <c r="J43" s="83">
        <v>1</v>
      </c>
      <c r="K43" s="73" t="s">
        <v>80</v>
      </c>
    </row>
    <row r="44" spans="1:11" s="29" customFormat="1" hidden="1" x14ac:dyDescent="0.3">
      <c r="A44" s="40">
        <v>41</v>
      </c>
      <c r="B44" s="87" t="s">
        <v>4</v>
      </c>
      <c r="C44" s="71" t="s">
        <v>18</v>
      </c>
      <c r="D44" s="304">
        <v>17</v>
      </c>
      <c r="E44" s="90">
        <v>100</v>
      </c>
      <c r="F44" s="72">
        <v>45092</v>
      </c>
      <c r="G44" s="79">
        <v>1</v>
      </c>
      <c r="H44" s="90">
        <v>4</v>
      </c>
      <c r="I44" s="72">
        <v>45092</v>
      </c>
      <c r="J44" s="83">
        <v>1</v>
      </c>
      <c r="K44" s="73" t="s">
        <v>80</v>
      </c>
    </row>
    <row r="45" spans="1:11" s="29" customFormat="1" hidden="1" x14ac:dyDescent="0.3">
      <c r="A45" s="40">
        <v>42</v>
      </c>
      <c r="B45" s="87" t="s">
        <v>0</v>
      </c>
      <c r="C45" s="71" t="s">
        <v>14</v>
      </c>
      <c r="D45" s="304">
        <v>16</v>
      </c>
      <c r="E45" s="90">
        <v>25</v>
      </c>
      <c r="F45" s="72">
        <v>45092</v>
      </c>
      <c r="G45" s="79">
        <v>2</v>
      </c>
      <c r="H45" s="90">
        <v>2</v>
      </c>
      <c r="I45" s="72">
        <v>45092</v>
      </c>
      <c r="J45" s="83">
        <v>2</v>
      </c>
      <c r="K45" s="73" t="s">
        <v>81</v>
      </c>
    </row>
    <row r="46" spans="1:11" s="29" customFormat="1" hidden="1" x14ac:dyDescent="0.3">
      <c r="A46" s="40">
        <v>43</v>
      </c>
      <c r="B46" s="87" t="s">
        <v>8</v>
      </c>
      <c r="C46" s="71" t="s">
        <v>22</v>
      </c>
      <c r="D46" s="304">
        <v>15</v>
      </c>
      <c r="E46" s="90">
        <v>50</v>
      </c>
      <c r="F46" s="72">
        <v>45092</v>
      </c>
      <c r="G46" s="79">
        <v>2</v>
      </c>
      <c r="H46" s="90">
        <v>4</v>
      </c>
      <c r="I46" s="72">
        <v>45092</v>
      </c>
      <c r="J46" s="83">
        <v>2</v>
      </c>
      <c r="K46" s="73" t="s">
        <v>81</v>
      </c>
    </row>
    <row r="47" spans="1:11" s="29" customFormat="1" hidden="1" x14ac:dyDescent="0.3">
      <c r="A47" s="40">
        <v>44</v>
      </c>
      <c r="B47" s="87" t="s">
        <v>3</v>
      </c>
      <c r="C47" s="71" t="s">
        <v>17</v>
      </c>
      <c r="D47" s="304">
        <v>13</v>
      </c>
      <c r="E47" s="90">
        <v>100</v>
      </c>
      <c r="F47" s="72">
        <v>45092</v>
      </c>
      <c r="G47" s="79">
        <v>3</v>
      </c>
      <c r="H47" s="90">
        <v>8</v>
      </c>
      <c r="I47" s="72">
        <v>45092</v>
      </c>
      <c r="J47" s="83">
        <v>3</v>
      </c>
      <c r="K47" s="73" t="s">
        <v>85</v>
      </c>
    </row>
    <row r="48" spans="1:11" s="29" customFormat="1" hidden="1" x14ac:dyDescent="0.3">
      <c r="A48" s="40">
        <v>45</v>
      </c>
      <c r="B48" s="87" t="s">
        <v>6</v>
      </c>
      <c r="C48" s="71" t="s">
        <v>20</v>
      </c>
      <c r="D48" s="304">
        <v>12</v>
      </c>
      <c r="E48" s="90">
        <v>25</v>
      </c>
      <c r="F48" s="72">
        <v>45092</v>
      </c>
      <c r="G48" s="79">
        <v>4</v>
      </c>
      <c r="H48" s="90">
        <v>2</v>
      </c>
      <c r="I48" s="72">
        <v>45092</v>
      </c>
      <c r="J48" s="83">
        <v>4</v>
      </c>
      <c r="K48" s="73" t="s">
        <v>86</v>
      </c>
    </row>
    <row r="49" spans="1:11" s="29" customFormat="1" hidden="1" x14ac:dyDescent="0.3">
      <c r="A49" s="40">
        <v>46</v>
      </c>
      <c r="B49" s="87" t="s">
        <v>2</v>
      </c>
      <c r="C49" s="71" t="s">
        <v>16</v>
      </c>
      <c r="D49" s="304">
        <v>21</v>
      </c>
      <c r="E49" s="90">
        <v>0</v>
      </c>
      <c r="F49" s="72">
        <v>45122</v>
      </c>
      <c r="G49" s="79">
        <v>1</v>
      </c>
      <c r="H49" s="90">
        <v>8</v>
      </c>
      <c r="I49" s="72">
        <v>45122</v>
      </c>
      <c r="J49" s="83">
        <v>1</v>
      </c>
      <c r="K49" s="73" t="s">
        <v>87</v>
      </c>
    </row>
    <row r="50" spans="1:11" s="29" customFormat="1" hidden="1" x14ac:dyDescent="0.3">
      <c r="A50" s="40">
        <v>47</v>
      </c>
      <c r="B50" s="87" t="s">
        <v>10</v>
      </c>
      <c r="C50" s="71" t="s">
        <v>24</v>
      </c>
      <c r="D50" s="304">
        <v>20</v>
      </c>
      <c r="E50" s="90">
        <v>0</v>
      </c>
      <c r="F50" s="72">
        <v>45122</v>
      </c>
      <c r="G50" s="79">
        <v>1</v>
      </c>
      <c r="H50" s="90">
        <v>4</v>
      </c>
      <c r="I50" s="72">
        <v>45122</v>
      </c>
      <c r="J50" s="83">
        <v>1</v>
      </c>
      <c r="K50" s="73" t="s">
        <v>87</v>
      </c>
    </row>
    <row r="51" spans="1:11" s="29" customFormat="1" hidden="1" x14ac:dyDescent="0.3">
      <c r="A51" s="40">
        <v>48</v>
      </c>
      <c r="B51" s="87" t="s">
        <v>9</v>
      </c>
      <c r="C51" s="71" t="s">
        <v>23</v>
      </c>
      <c r="D51" s="304">
        <v>19</v>
      </c>
      <c r="E51" s="90">
        <v>0</v>
      </c>
      <c r="F51" s="72">
        <v>45122</v>
      </c>
      <c r="G51" s="79">
        <v>1</v>
      </c>
      <c r="H51" s="90">
        <v>8</v>
      </c>
      <c r="I51" s="72">
        <v>45122</v>
      </c>
      <c r="J51" s="83">
        <v>1</v>
      </c>
      <c r="K51" s="73" t="s">
        <v>87</v>
      </c>
    </row>
    <row r="52" spans="1:11" s="29" customFormat="1" hidden="1" x14ac:dyDescent="0.3">
      <c r="A52" s="40">
        <v>49</v>
      </c>
      <c r="B52" s="87" t="s">
        <v>5</v>
      </c>
      <c r="C52" s="71" t="s">
        <v>19</v>
      </c>
      <c r="D52" s="304">
        <v>18</v>
      </c>
      <c r="E52" s="90">
        <v>25</v>
      </c>
      <c r="F52" s="72">
        <v>45122</v>
      </c>
      <c r="G52" s="79">
        <v>2</v>
      </c>
      <c r="H52" s="90">
        <v>2</v>
      </c>
      <c r="I52" s="72">
        <v>45122</v>
      </c>
      <c r="J52" s="83">
        <v>2</v>
      </c>
      <c r="K52" s="73" t="s">
        <v>81</v>
      </c>
    </row>
    <row r="53" spans="1:11" s="29" customFormat="1" hidden="1" x14ac:dyDescent="0.3">
      <c r="A53" s="40">
        <v>50</v>
      </c>
      <c r="B53" s="87" t="s">
        <v>4</v>
      </c>
      <c r="C53" s="71" t="s">
        <v>18</v>
      </c>
      <c r="D53" s="304">
        <v>17</v>
      </c>
      <c r="E53" s="90">
        <v>100</v>
      </c>
      <c r="F53" s="72">
        <v>45122</v>
      </c>
      <c r="G53" s="79">
        <v>2</v>
      </c>
      <c r="H53" s="90">
        <v>4</v>
      </c>
      <c r="I53" s="72">
        <v>45122</v>
      </c>
      <c r="J53" s="83">
        <v>2</v>
      </c>
      <c r="K53" s="73" t="s">
        <v>81</v>
      </c>
    </row>
    <row r="54" spans="1:11" s="29" customFormat="1" hidden="1" x14ac:dyDescent="0.3">
      <c r="A54" s="40">
        <v>51</v>
      </c>
      <c r="B54" s="87" t="s">
        <v>0</v>
      </c>
      <c r="C54" s="71" t="s">
        <v>14</v>
      </c>
      <c r="D54" s="304">
        <v>16</v>
      </c>
      <c r="E54" s="90">
        <v>25</v>
      </c>
      <c r="F54" s="72">
        <v>45122</v>
      </c>
      <c r="G54" s="79">
        <v>3</v>
      </c>
      <c r="H54" s="90">
        <v>2</v>
      </c>
      <c r="I54" s="72">
        <v>45122</v>
      </c>
      <c r="J54" s="83">
        <v>3</v>
      </c>
      <c r="K54" s="73" t="s">
        <v>84</v>
      </c>
    </row>
    <row r="55" spans="1:11" s="29" customFormat="1" hidden="1" x14ac:dyDescent="0.3">
      <c r="A55" s="40">
        <v>52</v>
      </c>
      <c r="B55" s="87" t="s">
        <v>8</v>
      </c>
      <c r="C55" s="71" t="s">
        <v>22</v>
      </c>
      <c r="D55" s="304">
        <v>15</v>
      </c>
      <c r="E55" s="90">
        <v>50</v>
      </c>
      <c r="F55" s="72">
        <v>45122</v>
      </c>
      <c r="G55" s="79">
        <v>3</v>
      </c>
      <c r="H55" s="90">
        <v>4</v>
      </c>
      <c r="I55" s="72">
        <v>45122</v>
      </c>
      <c r="J55" s="83">
        <v>3</v>
      </c>
      <c r="K55" s="73" t="s">
        <v>84</v>
      </c>
    </row>
    <row r="56" spans="1:11" s="29" customFormat="1" hidden="1" x14ac:dyDescent="0.3">
      <c r="A56" s="40">
        <v>53</v>
      </c>
      <c r="B56" s="87" t="s">
        <v>3</v>
      </c>
      <c r="C56" s="71" t="s">
        <v>17</v>
      </c>
      <c r="D56" s="304">
        <v>13</v>
      </c>
      <c r="E56" s="90">
        <v>100</v>
      </c>
      <c r="F56" s="72">
        <v>45122</v>
      </c>
      <c r="G56" s="79">
        <v>4</v>
      </c>
      <c r="H56" s="90">
        <v>8</v>
      </c>
      <c r="I56" s="72">
        <v>45122</v>
      </c>
      <c r="J56" s="83">
        <v>4</v>
      </c>
      <c r="K56" s="73" t="s">
        <v>86</v>
      </c>
    </row>
    <row r="57" spans="1:11" s="29" customFormat="1" hidden="1" x14ac:dyDescent="0.3">
      <c r="A57" s="40">
        <v>54</v>
      </c>
      <c r="B57" s="87" t="s">
        <v>3</v>
      </c>
      <c r="C57" s="71" t="s">
        <v>17</v>
      </c>
      <c r="D57" s="304">
        <v>23</v>
      </c>
      <c r="E57" s="90">
        <v>200</v>
      </c>
      <c r="F57" s="72">
        <v>45153</v>
      </c>
      <c r="G57" s="79">
        <v>1</v>
      </c>
      <c r="H57" s="90">
        <v>4</v>
      </c>
      <c r="I57" s="72">
        <v>45153</v>
      </c>
      <c r="J57" s="83">
        <v>1</v>
      </c>
      <c r="K57" s="73" t="s">
        <v>83</v>
      </c>
    </row>
    <row r="58" spans="1:11" s="29" customFormat="1" hidden="1" x14ac:dyDescent="0.3">
      <c r="A58" s="40">
        <v>55</v>
      </c>
      <c r="B58" s="87" t="s">
        <v>2</v>
      </c>
      <c r="C58" s="71" t="s">
        <v>16</v>
      </c>
      <c r="D58" s="304">
        <v>21</v>
      </c>
      <c r="E58" s="90">
        <v>0</v>
      </c>
      <c r="F58" s="72">
        <v>45153</v>
      </c>
      <c r="G58" s="79">
        <v>2</v>
      </c>
      <c r="H58" s="90">
        <v>8</v>
      </c>
      <c r="I58" s="72">
        <v>45153</v>
      </c>
      <c r="J58" s="83">
        <v>2</v>
      </c>
      <c r="K58" s="73" t="s">
        <v>88</v>
      </c>
    </row>
    <row r="59" spans="1:11" s="29" customFormat="1" hidden="1" x14ac:dyDescent="0.3">
      <c r="A59" s="40">
        <v>56</v>
      </c>
      <c r="B59" s="87" t="s">
        <v>10</v>
      </c>
      <c r="C59" s="71" t="s">
        <v>24</v>
      </c>
      <c r="D59" s="304">
        <v>20</v>
      </c>
      <c r="E59" s="90">
        <v>0</v>
      </c>
      <c r="F59" s="72">
        <v>45153</v>
      </c>
      <c r="G59" s="79">
        <v>2</v>
      </c>
      <c r="H59" s="90">
        <v>4</v>
      </c>
      <c r="I59" s="72">
        <v>45153</v>
      </c>
      <c r="J59" s="83">
        <v>2</v>
      </c>
      <c r="K59" s="73" t="s">
        <v>88</v>
      </c>
    </row>
    <row r="60" spans="1:11" s="29" customFormat="1" hidden="1" x14ac:dyDescent="0.3">
      <c r="A60" s="40">
        <v>57</v>
      </c>
      <c r="B60" s="87" t="s">
        <v>9</v>
      </c>
      <c r="C60" s="71" t="s">
        <v>23</v>
      </c>
      <c r="D60" s="304">
        <v>19</v>
      </c>
      <c r="E60" s="90">
        <v>0</v>
      </c>
      <c r="F60" s="72">
        <v>45153</v>
      </c>
      <c r="G60" s="79">
        <v>2</v>
      </c>
      <c r="H60" s="90">
        <v>8</v>
      </c>
      <c r="I60" s="72">
        <v>45153</v>
      </c>
      <c r="J60" s="83">
        <v>2</v>
      </c>
      <c r="K60" s="73" t="s">
        <v>88</v>
      </c>
    </row>
    <row r="61" spans="1:11" hidden="1" x14ac:dyDescent="0.3">
      <c r="A61" s="40">
        <v>58</v>
      </c>
      <c r="B61" s="87" t="s">
        <v>5</v>
      </c>
      <c r="C61" s="71" t="s">
        <v>19</v>
      </c>
      <c r="D61" s="304">
        <v>18</v>
      </c>
      <c r="E61" s="90">
        <v>25</v>
      </c>
      <c r="F61" s="72">
        <v>45153</v>
      </c>
      <c r="G61" s="79">
        <v>3</v>
      </c>
      <c r="H61" s="90">
        <v>2</v>
      </c>
      <c r="I61" s="72">
        <v>45153</v>
      </c>
      <c r="J61" s="83">
        <v>3</v>
      </c>
      <c r="K61" s="73" t="s">
        <v>84</v>
      </c>
    </row>
    <row r="62" spans="1:11" hidden="1" x14ac:dyDescent="0.3">
      <c r="A62" s="40">
        <v>59</v>
      </c>
      <c r="B62" s="87" t="s">
        <v>0</v>
      </c>
      <c r="C62" s="71" t="s">
        <v>14</v>
      </c>
      <c r="D62" s="304">
        <v>16</v>
      </c>
      <c r="E62" s="90">
        <v>25</v>
      </c>
      <c r="F62" s="72">
        <v>45153</v>
      </c>
      <c r="G62" s="79">
        <v>4</v>
      </c>
      <c r="H62" s="90">
        <v>2</v>
      </c>
      <c r="I62" s="72">
        <v>45153</v>
      </c>
      <c r="J62" s="83">
        <v>4</v>
      </c>
      <c r="K62" s="73" t="s">
        <v>86</v>
      </c>
    </row>
    <row r="63" spans="1:11" hidden="1" x14ac:dyDescent="0.3">
      <c r="A63" s="40">
        <v>60</v>
      </c>
      <c r="B63" s="87" t="s">
        <v>8</v>
      </c>
      <c r="C63" s="71" t="s">
        <v>22</v>
      </c>
      <c r="D63" s="304">
        <v>15</v>
      </c>
      <c r="E63" s="90">
        <v>50</v>
      </c>
      <c r="F63" s="72">
        <v>45153</v>
      </c>
      <c r="G63" s="79">
        <v>4</v>
      </c>
      <c r="H63" s="90">
        <v>4</v>
      </c>
      <c r="I63" s="72">
        <v>45153</v>
      </c>
      <c r="J63" s="83">
        <v>4</v>
      </c>
      <c r="K63" s="73" t="s">
        <v>86</v>
      </c>
    </row>
    <row r="64" spans="1:11" hidden="1" x14ac:dyDescent="0.3">
      <c r="A64" s="323" t="s">
        <v>94</v>
      </c>
      <c r="B64" s="52">
        <v>19</v>
      </c>
      <c r="C64" s="69" t="s">
        <v>75</v>
      </c>
      <c r="D64" s="100" t="s">
        <v>412</v>
      </c>
      <c r="E64" s="46">
        <v>250</v>
      </c>
      <c r="F64" s="58">
        <v>45153</v>
      </c>
      <c r="G64" s="79" t="s">
        <v>412</v>
      </c>
      <c r="H64" s="90">
        <v>0</v>
      </c>
      <c r="I64" s="72">
        <v>45153</v>
      </c>
      <c r="J64" s="83" t="s">
        <v>412</v>
      </c>
      <c r="K64" s="59" t="s">
        <v>76</v>
      </c>
    </row>
    <row r="65" spans="1:11" hidden="1" x14ac:dyDescent="0.3">
      <c r="A65" s="95">
        <v>61</v>
      </c>
      <c r="B65" s="88" t="s">
        <v>0</v>
      </c>
      <c r="C65" s="74" t="s">
        <v>14</v>
      </c>
      <c r="D65" s="306">
        <v>22</v>
      </c>
      <c r="E65" s="91">
        <v>100</v>
      </c>
      <c r="F65" s="75">
        <v>45153</v>
      </c>
      <c r="G65" s="80">
        <v>1</v>
      </c>
      <c r="H65" s="91">
        <v>2</v>
      </c>
      <c r="I65" s="75">
        <v>45153</v>
      </c>
      <c r="J65" s="84">
        <v>1</v>
      </c>
      <c r="K65" s="76" t="s">
        <v>89</v>
      </c>
    </row>
    <row r="66" spans="1:11" hidden="1" x14ac:dyDescent="0.3">
      <c r="A66" s="40" t="s">
        <v>395</v>
      </c>
      <c r="B66" s="87">
        <v>2</v>
      </c>
      <c r="C66" s="71" t="s">
        <v>15</v>
      </c>
      <c r="D66" s="314" t="s">
        <v>101</v>
      </c>
      <c r="E66" s="90">
        <v>0</v>
      </c>
      <c r="F66" s="72">
        <v>45153</v>
      </c>
      <c r="G66" s="79" t="s">
        <v>101</v>
      </c>
      <c r="H66" s="90">
        <v>0</v>
      </c>
      <c r="I66" s="72">
        <v>45153</v>
      </c>
      <c r="J66" s="83" t="s">
        <v>101</v>
      </c>
      <c r="K66" s="73" t="s">
        <v>411</v>
      </c>
    </row>
    <row r="67" spans="1:11" hidden="1" x14ac:dyDescent="0.3">
      <c r="A67" s="40">
        <v>62</v>
      </c>
      <c r="B67" s="88" t="s">
        <v>4</v>
      </c>
      <c r="C67" s="74" t="s">
        <v>18</v>
      </c>
      <c r="D67" s="306">
        <v>24</v>
      </c>
      <c r="E67" s="91">
        <v>200</v>
      </c>
      <c r="F67" s="75">
        <v>45184</v>
      </c>
      <c r="G67" s="80">
        <v>1</v>
      </c>
      <c r="H67" s="91">
        <v>4</v>
      </c>
      <c r="I67" s="75">
        <v>45184</v>
      </c>
      <c r="J67" s="84">
        <v>1</v>
      </c>
      <c r="K67" s="76" t="s">
        <v>90</v>
      </c>
    </row>
    <row r="68" spans="1:11" hidden="1" x14ac:dyDescent="0.3">
      <c r="A68" s="40">
        <v>63</v>
      </c>
      <c r="B68" s="88" t="s">
        <v>9</v>
      </c>
      <c r="C68" s="74" t="s">
        <v>23</v>
      </c>
      <c r="D68" s="306">
        <v>19</v>
      </c>
      <c r="E68" s="91">
        <v>0</v>
      </c>
      <c r="F68" s="75">
        <v>45184</v>
      </c>
      <c r="G68" s="80">
        <v>3</v>
      </c>
      <c r="H68" s="91">
        <v>8</v>
      </c>
      <c r="I68" s="75">
        <v>45184</v>
      </c>
      <c r="J68" s="84">
        <v>3</v>
      </c>
      <c r="K68" s="76" t="s">
        <v>91</v>
      </c>
    </row>
    <row r="69" spans="1:11" hidden="1" x14ac:dyDescent="0.3">
      <c r="A69" s="40">
        <v>64</v>
      </c>
      <c r="B69" s="88" t="s">
        <v>5</v>
      </c>
      <c r="C69" s="74" t="s">
        <v>19</v>
      </c>
      <c r="D69" s="306">
        <v>18</v>
      </c>
      <c r="E69" s="91">
        <v>25</v>
      </c>
      <c r="F69" s="75">
        <v>45184</v>
      </c>
      <c r="G69" s="80">
        <v>4</v>
      </c>
      <c r="H69" s="91">
        <v>2</v>
      </c>
      <c r="I69" s="75">
        <v>45184</v>
      </c>
      <c r="J69" s="84">
        <v>4</v>
      </c>
      <c r="K69" s="76" t="s">
        <v>86</v>
      </c>
    </row>
    <row r="70" spans="1:11" hidden="1" x14ac:dyDescent="0.3">
      <c r="A70" s="40">
        <v>65</v>
      </c>
      <c r="B70" s="89">
        <v>11</v>
      </c>
      <c r="C70" s="77" t="s">
        <v>24</v>
      </c>
      <c r="D70" s="307">
        <v>20</v>
      </c>
      <c r="E70" s="92">
        <v>0</v>
      </c>
      <c r="F70" s="75">
        <v>45184</v>
      </c>
      <c r="G70" s="81">
        <v>3</v>
      </c>
      <c r="H70" s="92">
        <v>4</v>
      </c>
      <c r="I70" s="75">
        <v>45184</v>
      </c>
      <c r="J70" s="85">
        <v>3</v>
      </c>
      <c r="K70" s="93" t="s">
        <v>92</v>
      </c>
    </row>
    <row r="71" spans="1:11" hidden="1" x14ac:dyDescent="0.3">
      <c r="A71" s="40">
        <v>66</v>
      </c>
      <c r="B71" s="312">
        <v>3</v>
      </c>
      <c r="C71" s="313" t="s">
        <v>16</v>
      </c>
      <c r="D71" s="315">
        <v>21</v>
      </c>
      <c r="E71" s="316">
        <v>0</v>
      </c>
      <c r="F71" s="317">
        <v>45184</v>
      </c>
      <c r="G71" s="318">
        <v>3</v>
      </c>
      <c r="H71" s="316">
        <v>8</v>
      </c>
      <c r="I71" s="317">
        <v>45184</v>
      </c>
      <c r="J71" s="319">
        <v>3</v>
      </c>
      <c r="K71" s="320" t="s">
        <v>129</v>
      </c>
    </row>
    <row r="72" spans="1:11" hidden="1" x14ac:dyDescent="0.3">
      <c r="A72" s="40">
        <v>67</v>
      </c>
      <c r="B72" s="48">
        <v>3</v>
      </c>
      <c r="C72" s="94" t="s">
        <v>16</v>
      </c>
      <c r="D72" s="302">
        <v>21</v>
      </c>
      <c r="E72" s="49">
        <v>400</v>
      </c>
      <c r="F72" s="50">
        <v>45214</v>
      </c>
      <c r="G72" s="98">
        <v>4</v>
      </c>
      <c r="H72" s="49">
        <v>8</v>
      </c>
      <c r="I72" s="50">
        <v>45214</v>
      </c>
      <c r="J72" s="99">
        <v>4</v>
      </c>
      <c r="K72" s="51" t="s">
        <v>277</v>
      </c>
    </row>
    <row r="73" spans="1:11" hidden="1" x14ac:dyDescent="0.3">
      <c r="A73" s="40">
        <v>68</v>
      </c>
      <c r="B73" s="48">
        <v>13</v>
      </c>
      <c r="C73" s="94" t="s">
        <v>26</v>
      </c>
      <c r="D73" s="302">
        <v>25</v>
      </c>
      <c r="E73" s="49">
        <v>0</v>
      </c>
      <c r="F73" s="50">
        <v>45214</v>
      </c>
      <c r="G73" s="98">
        <v>1</v>
      </c>
      <c r="H73" s="49">
        <v>10</v>
      </c>
      <c r="I73" s="50">
        <v>45214</v>
      </c>
      <c r="J73" s="99">
        <v>1</v>
      </c>
      <c r="K73" s="51" t="s">
        <v>111</v>
      </c>
    </row>
    <row r="74" spans="1:11" hidden="1" x14ac:dyDescent="0.3">
      <c r="A74" s="40">
        <v>69</v>
      </c>
      <c r="B74" s="48">
        <v>4</v>
      </c>
      <c r="C74" s="94" t="s">
        <v>17</v>
      </c>
      <c r="D74" s="302">
        <v>26</v>
      </c>
      <c r="E74" s="49">
        <v>100</v>
      </c>
      <c r="F74" s="50">
        <v>45214</v>
      </c>
      <c r="G74" s="98">
        <v>1</v>
      </c>
      <c r="H74" s="49">
        <v>2</v>
      </c>
      <c r="I74" s="50">
        <v>45214</v>
      </c>
      <c r="J74" s="99">
        <v>1</v>
      </c>
      <c r="K74" s="51" t="s">
        <v>112</v>
      </c>
    </row>
    <row r="75" spans="1:11" hidden="1" x14ac:dyDescent="0.3">
      <c r="A75" s="40">
        <v>70</v>
      </c>
      <c r="B75" s="48">
        <v>10</v>
      </c>
      <c r="C75" s="94" t="s">
        <v>23</v>
      </c>
      <c r="D75" s="302">
        <v>19</v>
      </c>
      <c r="E75" s="49">
        <v>400</v>
      </c>
      <c r="F75" s="50">
        <v>45214</v>
      </c>
      <c r="G75" s="98">
        <v>4</v>
      </c>
      <c r="H75" s="49">
        <v>8</v>
      </c>
      <c r="I75" s="50">
        <v>45214</v>
      </c>
      <c r="J75" s="99">
        <v>4</v>
      </c>
      <c r="K75" s="51" t="s">
        <v>113</v>
      </c>
    </row>
    <row r="76" spans="1:11" hidden="1" x14ac:dyDescent="0.3">
      <c r="A76" s="40">
        <v>71</v>
      </c>
      <c r="B76" s="48">
        <v>2</v>
      </c>
      <c r="C76" s="94" t="s">
        <v>15</v>
      </c>
      <c r="D76" s="302">
        <v>27</v>
      </c>
      <c r="E76" s="49">
        <v>25</v>
      </c>
      <c r="F76" s="50">
        <v>45214</v>
      </c>
      <c r="G76" s="98">
        <v>1</v>
      </c>
      <c r="H76" s="49">
        <v>2</v>
      </c>
      <c r="I76" s="50">
        <v>45214</v>
      </c>
      <c r="J76" s="99">
        <v>1</v>
      </c>
      <c r="K76" s="51" t="s">
        <v>114</v>
      </c>
    </row>
    <row r="77" spans="1:11" hidden="1" x14ac:dyDescent="0.3">
      <c r="A77" s="40">
        <v>72</v>
      </c>
      <c r="B77" s="48">
        <v>11</v>
      </c>
      <c r="C77" s="94" t="s">
        <v>24</v>
      </c>
      <c r="D77" s="302">
        <v>20</v>
      </c>
      <c r="E77" s="49">
        <v>200</v>
      </c>
      <c r="F77" s="50">
        <v>45214</v>
      </c>
      <c r="G77" s="98">
        <v>4</v>
      </c>
      <c r="H77" s="49">
        <v>4</v>
      </c>
      <c r="I77" s="50">
        <v>45214</v>
      </c>
      <c r="J77" s="99">
        <v>4</v>
      </c>
      <c r="K77" s="51" t="s">
        <v>115</v>
      </c>
    </row>
    <row r="78" spans="1:11" hidden="1" x14ac:dyDescent="0.3">
      <c r="A78" s="40">
        <v>73</v>
      </c>
      <c r="B78" s="48">
        <v>2</v>
      </c>
      <c r="C78" s="94" t="s">
        <v>15</v>
      </c>
      <c r="D78" s="302">
        <v>27</v>
      </c>
      <c r="E78" s="49">
        <v>25</v>
      </c>
      <c r="F78" s="50">
        <v>45245</v>
      </c>
      <c r="G78" s="98">
        <v>2</v>
      </c>
      <c r="H78" s="49">
        <v>2</v>
      </c>
      <c r="I78" s="50">
        <v>45245</v>
      </c>
      <c r="J78" s="99">
        <v>2</v>
      </c>
      <c r="K78" s="51" t="s">
        <v>122</v>
      </c>
    </row>
    <row r="79" spans="1:11" hidden="1" x14ac:dyDescent="0.3">
      <c r="A79" s="40">
        <v>74</v>
      </c>
      <c r="B79" s="48">
        <v>6</v>
      </c>
      <c r="C79" s="94" t="s">
        <v>19</v>
      </c>
      <c r="D79" s="302">
        <v>28</v>
      </c>
      <c r="E79" s="49">
        <v>0</v>
      </c>
      <c r="F79" s="50">
        <v>45245</v>
      </c>
      <c r="G79" s="98">
        <v>1</v>
      </c>
      <c r="H79" s="49">
        <v>12</v>
      </c>
      <c r="I79" s="50">
        <v>45245</v>
      </c>
      <c r="J79" s="99">
        <v>1</v>
      </c>
      <c r="K79" s="51" t="s">
        <v>123</v>
      </c>
    </row>
    <row r="80" spans="1:11" hidden="1" x14ac:dyDescent="0.3">
      <c r="A80" s="40">
        <v>75</v>
      </c>
      <c r="B80" s="48">
        <v>9</v>
      </c>
      <c r="C80" s="94" t="s">
        <v>22</v>
      </c>
      <c r="D80" s="302">
        <v>30</v>
      </c>
      <c r="E80" s="49">
        <v>57.16</v>
      </c>
      <c r="F80" s="50">
        <v>45245</v>
      </c>
      <c r="G80" s="98">
        <v>1</v>
      </c>
      <c r="H80" s="49">
        <v>8</v>
      </c>
      <c r="I80" s="50">
        <v>45245</v>
      </c>
      <c r="J80" s="99">
        <v>1</v>
      </c>
      <c r="K80" s="51" t="s">
        <v>124</v>
      </c>
    </row>
    <row r="81" spans="1:11" hidden="1" x14ac:dyDescent="0.3">
      <c r="A81" s="40">
        <v>76</v>
      </c>
      <c r="B81" s="48">
        <v>12</v>
      </c>
      <c r="C81" s="94" t="s">
        <v>25</v>
      </c>
      <c r="D81" s="302">
        <v>29</v>
      </c>
      <c r="E81" s="49">
        <v>50</v>
      </c>
      <c r="F81" s="50">
        <v>45245</v>
      </c>
      <c r="G81" s="98">
        <v>1</v>
      </c>
      <c r="H81" s="49">
        <v>4</v>
      </c>
      <c r="I81" s="50">
        <v>45245</v>
      </c>
      <c r="J81" s="99">
        <v>1</v>
      </c>
      <c r="K81" s="51" t="s">
        <v>125</v>
      </c>
    </row>
    <row r="82" spans="1:11" hidden="1" x14ac:dyDescent="0.3">
      <c r="A82" s="40">
        <v>77</v>
      </c>
      <c r="B82" s="48">
        <v>13</v>
      </c>
      <c r="C82" s="94" t="s">
        <v>26</v>
      </c>
      <c r="D82" s="302">
        <v>25</v>
      </c>
      <c r="E82" s="49">
        <v>0</v>
      </c>
      <c r="F82" s="50">
        <v>45245</v>
      </c>
      <c r="G82" s="98">
        <v>1</v>
      </c>
      <c r="H82" s="49">
        <v>10</v>
      </c>
      <c r="I82" s="50">
        <v>45245</v>
      </c>
      <c r="J82" s="99">
        <v>1</v>
      </c>
      <c r="K82" s="51" t="s">
        <v>88</v>
      </c>
    </row>
    <row r="83" spans="1:11" hidden="1" x14ac:dyDescent="0.3">
      <c r="A83" s="322" t="s">
        <v>128</v>
      </c>
      <c r="B83" s="48">
        <v>18</v>
      </c>
      <c r="C83" s="94" t="s">
        <v>74</v>
      </c>
      <c r="D83" s="60" t="s">
        <v>406</v>
      </c>
      <c r="E83" s="49">
        <v>0</v>
      </c>
      <c r="F83" s="50">
        <v>45245</v>
      </c>
      <c r="G83" s="98" t="s">
        <v>406</v>
      </c>
      <c r="H83" s="49">
        <v>1.5</v>
      </c>
      <c r="I83" s="50">
        <v>45245</v>
      </c>
      <c r="J83" s="99" t="s">
        <v>406</v>
      </c>
      <c r="K83" s="51" t="s">
        <v>127</v>
      </c>
    </row>
    <row r="84" spans="1:11" hidden="1" x14ac:dyDescent="0.3">
      <c r="A84" s="47">
        <v>78</v>
      </c>
      <c r="B84" s="48">
        <v>3</v>
      </c>
      <c r="C84" s="94" t="s">
        <v>16</v>
      </c>
      <c r="D84" s="302">
        <v>31</v>
      </c>
      <c r="E84" s="49">
        <v>0</v>
      </c>
      <c r="F84" s="50">
        <v>45275</v>
      </c>
      <c r="G84" s="98">
        <v>2</v>
      </c>
      <c r="H84" s="49">
        <v>4</v>
      </c>
      <c r="I84" s="50">
        <v>45275</v>
      </c>
      <c r="J84" s="99">
        <v>2</v>
      </c>
      <c r="K84" s="51" t="s">
        <v>278</v>
      </c>
    </row>
    <row r="85" spans="1:11" hidden="1" x14ac:dyDescent="0.3">
      <c r="A85" s="47">
        <v>79</v>
      </c>
      <c r="B85" s="48">
        <v>13</v>
      </c>
      <c r="C85" s="94" t="s">
        <v>26</v>
      </c>
      <c r="D85" s="302">
        <v>25</v>
      </c>
      <c r="E85" s="49">
        <v>0</v>
      </c>
      <c r="F85" s="50">
        <v>45275</v>
      </c>
      <c r="G85" s="98">
        <v>2</v>
      </c>
      <c r="H85" s="49">
        <v>10</v>
      </c>
      <c r="I85" s="50">
        <v>45275</v>
      </c>
      <c r="J85" s="99">
        <v>2</v>
      </c>
      <c r="K85" s="51" t="s">
        <v>279</v>
      </c>
    </row>
    <row r="86" spans="1:11" hidden="1" x14ac:dyDescent="0.3">
      <c r="A86" s="47">
        <v>80</v>
      </c>
      <c r="B86" s="48">
        <v>9</v>
      </c>
      <c r="C86" s="94" t="s">
        <v>22</v>
      </c>
      <c r="D86" s="302">
        <v>30</v>
      </c>
      <c r="E86" s="49">
        <v>57.14</v>
      </c>
      <c r="F86" s="50">
        <v>45275</v>
      </c>
      <c r="G86" s="98">
        <v>2</v>
      </c>
      <c r="H86" s="49">
        <v>8</v>
      </c>
      <c r="I86" s="50">
        <v>45275</v>
      </c>
      <c r="J86" s="99">
        <v>2</v>
      </c>
      <c r="K86" s="51" t="s">
        <v>81</v>
      </c>
    </row>
    <row r="87" spans="1:11" hidden="1" x14ac:dyDescent="0.3">
      <c r="A87" s="47">
        <v>81</v>
      </c>
      <c r="B87" s="48">
        <v>12</v>
      </c>
      <c r="C87" s="94" t="s">
        <v>25</v>
      </c>
      <c r="D87" s="302">
        <v>29</v>
      </c>
      <c r="E87" s="49">
        <v>50</v>
      </c>
      <c r="F87" s="50">
        <v>45275</v>
      </c>
      <c r="G87" s="98">
        <v>2</v>
      </c>
      <c r="H87" s="49">
        <v>4</v>
      </c>
      <c r="I87" s="50">
        <v>45275</v>
      </c>
      <c r="J87" s="99">
        <v>2</v>
      </c>
      <c r="K87" s="51" t="s">
        <v>81</v>
      </c>
    </row>
    <row r="88" spans="1:11" hidden="1" x14ac:dyDescent="0.3">
      <c r="A88" s="47">
        <v>82</v>
      </c>
      <c r="B88" s="48">
        <v>6</v>
      </c>
      <c r="C88" s="94" t="s">
        <v>19</v>
      </c>
      <c r="D88" s="302">
        <v>28</v>
      </c>
      <c r="E88" s="49">
        <v>0</v>
      </c>
      <c r="F88" s="50">
        <v>45275</v>
      </c>
      <c r="G88" s="98">
        <v>2</v>
      </c>
      <c r="H88" s="49">
        <v>12</v>
      </c>
      <c r="I88" s="50">
        <v>45275</v>
      </c>
      <c r="J88" s="99">
        <v>2</v>
      </c>
      <c r="K88" s="51" t="s">
        <v>88</v>
      </c>
    </row>
    <row r="89" spans="1:11" hidden="1" x14ac:dyDescent="0.3">
      <c r="A89" s="47">
        <v>83</v>
      </c>
      <c r="B89" s="48">
        <v>10</v>
      </c>
      <c r="C89" s="94" t="s">
        <v>23</v>
      </c>
      <c r="D89" s="302">
        <v>32</v>
      </c>
      <c r="E89" s="49">
        <v>0</v>
      </c>
      <c r="F89" s="50">
        <v>45275</v>
      </c>
      <c r="G89" s="98">
        <v>1</v>
      </c>
      <c r="H89" s="49">
        <v>5</v>
      </c>
      <c r="I89" s="50">
        <v>45275</v>
      </c>
      <c r="J89" s="99">
        <v>2</v>
      </c>
      <c r="K89" s="51" t="s">
        <v>87</v>
      </c>
    </row>
    <row r="90" spans="1:11" hidden="1" x14ac:dyDescent="0.3">
      <c r="A90" s="47">
        <v>84</v>
      </c>
      <c r="B90" s="48">
        <v>2</v>
      </c>
      <c r="C90" s="94" t="s">
        <v>15</v>
      </c>
      <c r="D90" s="302">
        <v>27</v>
      </c>
      <c r="E90" s="49">
        <v>25</v>
      </c>
      <c r="F90" s="50">
        <v>45275</v>
      </c>
      <c r="G90" s="98">
        <v>2</v>
      </c>
      <c r="H90" s="49">
        <v>2</v>
      </c>
      <c r="I90" s="50">
        <v>45275</v>
      </c>
      <c r="J90" s="99">
        <v>2</v>
      </c>
      <c r="K90" s="51" t="s">
        <v>81</v>
      </c>
    </row>
    <row r="91" spans="1:11" hidden="1" x14ac:dyDescent="0.3">
      <c r="A91" s="47">
        <v>85</v>
      </c>
      <c r="B91" s="48">
        <v>3</v>
      </c>
      <c r="C91" s="94" t="s">
        <v>16</v>
      </c>
      <c r="D91" s="302">
        <v>31</v>
      </c>
      <c r="E91" s="49">
        <v>0</v>
      </c>
      <c r="F91" s="50">
        <v>45306</v>
      </c>
      <c r="G91" s="98">
        <v>3</v>
      </c>
      <c r="H91" s="49">
        <v>4</v>
      </c>
      <c r="I91" s="50">
        <v>45306</v>
      </c>
      <c r="J91" s="99">
        <v>3</v>
      </c>
      <c r="K91" s="51" t="s">
        <v>88</v>
      </c>
    </row>
    <row r="92" spans="1:11" hidden="1" x14ac:dyDescent="0.3">
      <c r="A92" s="47">
        <v>86</v>
      </c>
      <c r="B92" s="48">
        <v>13</v>
      </c>
      <c r="C92" s="94" t="s">
        <v>26</v>
      </c>
      <c r="D92" s="302">
        <v>25</v>
      </c>
      <c r="E92" s="49">
        <v>0</v>
      </c>
      <c r="F92" s="50">
        <v>45306</v>
      </c>
      <c r="G92" s="98">
        <v>3</v>
      </c>
      <c r="H92" s="49">
        <v>10</v>
      </c>
      <c r="I92" s="50">
        <v>45306</v>
      </c>
      <c r="J92" s="99">
        <v>3</v>
      </c>
      <c r="K92" s="51" t="s">
        <v>160</v>
      </c>
    </row>
    <row r="93" spans="1:11" hidden="1" x14ac:dyDescent="0.3">
      <c r="A93" s="47">
        <v>87</v>
      </c>
      <c r="B93" s="48">
        <v>9</v>
      </c>
      <c r="C93" s="94" t="s">
        <v>22</v>
      </c>
      <c r="D93" s="302">
        <v>30</v>
      </c>
      <c r="E93" s="49">
        <v>57.14</v>
      </c>
      <c r="F93" s="50">
        <v>45306</v>
      </c>
      <c r="G93" s="98">
        <v>3</v>
      </c>
      <c r="H93" s="49">
        <v>8</v>
      </c>
      <c r="I93" s="50">
        <v>45306</v>
      </c>
      <c r="J93" s="99">
        <v>3</v>
      </c>
      <c r="K93" s="51" t="s">
        <v>84</v>
      </c>
    </row>
    <row r="94" spans="1:11" hidden="1" x14ac:dyDescent="0.3">
      <c r="A94" s="47">
        <v>88</v>
      </c>
      <c r="B94" s="48">
        <v>12</v>
      </c>
      <c r="C94" s="94" t="s">
        <v>25</v>
      </c>
      <c r="D94" s="302">
        <v>29</v>
      </c>
      <c r="E94" s="49">
        <v>100</v>
      </c>
      <c r="F94" s="50">
        <v>45306</v>
      </c>
      <c r="G94" s="98">
        <v>4</v>
      </c>
      <c r="H94" s="49">
        <v>8</v>
      </c>
      <c r="I94" s="50">
        <v>45306</v>
      </c>
      <c r="J94" s="99">
        <v>4</v>
      </c>
      <c r="K94" s="51" t="s">
        <v>130</v>
      </c>
    </row>
    <row r="95" spans="1:11" hidden="1" x14ac:dyDescent="0.3">
      <c r="A95" s="47">
        <v>89</v>
      </c>
      <c r="B95" s="48">
        <v>6</v>
      </c>
      <c r="C95" s="94" t="s">
        <v>19</v>
      </c>
      <c r="D95" s="302">
        <v>28</v>
      </c>
      <c r="E95" s="49">
        <v>0</v>
      </c>
      <c r="F95" s="50">
        <v>45306</v>
      </c>
      <c r="G95" s="98">
        <v>3</v>
      </c>
      <c r="H95" s="49">
        <v>12</v>
      </c>
      <c r="I95" s="50">
        <v>45306</v>
      </c>
      <c r="J95" s="99">
        <v>3</v>
      </c>
      <c r="K95" s="51" t="s">
        <v>84</v>
      </c>
    </row>
    <row r="96" spans="1:11" hidden="1" x14ac:dyDescent="0.3">
      <c r="A96" s="47">
        <v>90</v>
      </c>
      <c r="B96" s="48">
        <v>10</v>
      </c>
      <c r="C96" s="94" t="s">
        <v>23</v>
      </c>
      <c r="D96" s="302">
        <v>32</v>
      </c>
      <c r="E96" s="49">
        <v>0</v>
      </c>
      <c r="F96" s="50">
        <v>45306</v>
      </c>
      <c r="G96" s="98">
        <v>2</v>
      </c>
      <c r="H96" s="49">
        <v>5</v>
      </c>
      <c r="I96" s="50">
        <v>45306</v>
      </c>
      <c r="J96" s="99">
        <v>3</v>
      </c>
      <c r="K96" s="51" t="s">
        <v>448</v>
      </c>
    </row>
    <row r="97" spans="1:11" hidden="1" x14ac:dyDescent="0.3">
      <c r="A97" s="47">
        <v>91</v>
      </c>
      <c r="B97" s="48">
        <v>2</v>
      </c>
      <c r="C97" s="94" t="s">
        <v>15</v>
      </c>
      <c r="D97" s="302">
        <v>27</v>
      </c>
      <c r="E97" s="49">
        <v>25</v>
      </c>
      <c r="F97" s="50">
        <v>45306</v>
      </c>
      <c r="G97" s="98">
        <v>3</v>
      </c>
      <c r="H97" s="49">
        <v>2</v>
      </c>
      <c r="I97" s="50">
        <v>45306</v>
      </c>
      <c r="J97" s="99">
        <v>3</v>
      </c>
      <c r="K97" s="51" t="s">
        <v>84</v>
      </c>
    </row>
    <row r="98" spans="1:11" hidden="1" x14ac:dyDescent="0.3">
      <c r="A98" s="310" t="s">
        <v>133</v>
      </c>
      <c r="B98" s="48">
        <v>10</v>
      </c>
      <c r="C98" s="94" t="s">
        <v>23</v>
      </c>
      <c r="D98" s="302">
        <v>32</v>
      </c>
      <c r="E98" s="49">
        <v>0</v>
      </c>
      <c r="F98" s="50">
        <v>45306</v>
      </c>
      <c r="G98" s="98">
        <v>4</v>
      </c>
      <c r="H98" s="49">
        <v>10</v>
      </c>
      <c r="I98" s="50">
        <v>45306</v>
      </c>
      <c r="J98" s="99">
        <v>4</v>
      </c>
      <c r="K98" s="51" t="s">
        <v>134</v>
      </c>
    </row>
    <row r="99" spans="1:11" hidden="1" x14ac:dyDescent="0.3">
      <c r="A99" s="308" t="s">
        <v>217</v>
      </c>
      <c r="B99" s="48">
        <v>10</v>
      </c>
      <c r="C99" s="69" t="s">
        <v>23</v>
      </c>
      <c r="D99" s="302">
        <v>32</v>
      </c>
      <c r="E99" s="49">
        <v>250</v>
      </c>
      <c r="F99" s="50">
        <v>45306</v>
      </c>
      <c r="G99" s="98">
        <v>4</v>
      </c>
      <c r="H99" s="49">
        <v>0</v>
      </c>
      <c r="I99" s="50">
        <v>45306</v>
      </c>
      <c r="J99" s="99">
        <v>4</v>
      </c>
      <c r="K99" s="51" t="s">
        <v>449</v>
      </c>
    </row>
    <row r="100" spans="1:11" hidden="1" x14ac:dyDescent="0.3">
      <c r="A100" s="47">
        <v>92</v>
      </c>
      <c r="B100" s="48">
        <v>3</v>
      </c>
      <c r="C100" s="94" t="s">
        <v>16</v>
      </c>
      <c r="D100" s="302">
        <v>31</v>
      </c>
      <c r="E100" s="49">
        <v>0</v>
      </c>
      <c r="F100" s="50">
        <v>45337</v>
      </c>
      <c r="G100" s="98">
        <v>4</v>
      </c>
      <c r="H100" s="49">
        <v>4</v>
      </c>
      <c r="I100" s="50">
        <v>45337</v>
      </c>
      <c r="J100" s="99">
        <v>4</v>
      </c>
      <c r="K100" s="51" t="s">
        <v>129</v>
      </c>
    </row>
    <row r="101" spans="1:11" hidden="1" x14ac:dyDescent="0.3">
      <c r="A101" s="47">
        <v>93</v>
      </c>
      <c r="B101" s="48">
        <v>13</v>
      </c>
      <c r="C101" s="94" t="s">
        <v>26</v>
      </c>
      <c r="D101" s="302">
        <v>25</v>
      </c>
      <c r="E101" s="49">
        <v>0</v>
      </c>
      <c r="F101" s="50">
        <v>45337</v>
      </c>
      <c r="G101" s="98">
        <v>5</v>
      </c>
      <c r="H101" s="49">
        <v>10</v>
      </c>
      <c r="I101" s="50">
        <v>45337</v>
      </c>
      <c r="J101" s="99">
        <v>5</v>
      </c>
      <c r="K101" s="51" t="s">
        <v>161</v>
      </c>
    </row>
    <row r="102" spans="1:11" hidden="1" x14ac:dyDescent="0.3">
      <c r="A102" s="47">
        <v>94</v>
      </c>
      <c r="B102" s="48">
        <v>9</v>
      </c>
      <c r="C102" s="94" t="s">
        <v>22</v>
      </c>
      <c r="D102" s="302">
        <v>30</v>
      </c>
      <c r="E102" s="49">
        <v>57.14</v>
      </c>
      <c r="F102" s="50">
        <v>45337</v>
      </c>
      <c r="G102" s="98">
        <v>4</v>
      </c>
      <c r="H102" s="49">
        <v>8</v>
      </c>
      <c r="I102" s="50">
        <v>45337</v>
      </c>
      <c r="J102" s="99">
        <v>4</v>
      </c>
      <c r="K102" s="51" t="s">
        <v>86</v>
      </c>
    </row>
    <row r="103" spans="1:11" hidden="1" x14ac:dyDescent="0.3">
      <c r="A103" s="47">
        <v>95</v>
      </c>
      <c r="B103" s="48">
        <v>11</v>
      </c>
      <c r="C103" s="94" t="s">
        <v>24</v>
      </c>
      <c r="D103" s="302">
        <v>34</v>
      </c>
      <c r="E103" s="49">
        <v>0</v>
      </c>
      <c r="F103" s="50">
        <v>45337</v>
      </c>
      <c r="G103" s="98">
        <v>1</v>
      </c>
      <c r="H103" s="49">
        <v>2</v>
      </c>
      <c r="I103" s="50">
        <v>45337</v>
      </c>
      <c r="J103" s="99">
        <v>1</v>
      </c>
      <c r="K103" s="51" t="s">
        <v>87</v>
      </c>
    </row>
    <row r="104" spans="1:11" hidden="1" x14ac:dyDescent="0.3">
      <c r="A104" s="47">
        <v>96</v>
      </c>
      <c r="B104" s="48">
        <v>6</v>
      </c>
      <c r="C104" s="94" t="s">
        <v>19</v>
      </c>
      <c r="D104" s="302">
        <v>28</v>
      </c>
      <c r="E104" s="49">
        <v>0</v>
      </c>
      <c r="F104" s="50">
        <v>45337</v>
      </c>
      <c r="G104" s="98">
        <v>4</v>
      </c>
      <c r="H104" s="49">
        <v>12</v>
      </c>
      <c r="I104" s="50">
        <v>45337</v>
      </c>
      <c r="J104" s="99">
        <v>4</v>
      </c>
      <c r="K104" s="51" t="s">
        <v>162</v>
      </c>
    </row>
    <row r="105" spans="1:11" hidden="1" x14ac:dyDescent="0.3">
      <c r="A105" s="308" t="s">
        <v>232</v>
      </c>
      <c r="B105" s="48">
        <v>6</v>
      </c>
      <c r="C105" s="94" t="s">
        <v>19</v>
      </c>
      <c r="D105" s="302">
        <v>28</v>
      </c>
      <c r="E105" s="49">
        <v>600</v>
      </c>
      <c r="F105" s="50">
        <v>45337</v>
      </c>
      <c r="G105" s="98">
        <v>4</v>
      </c>
      <c r="H105" s="49">
        <v>0</v>
      </c>
      <c r="I105" s="50">
        <v>45337</v>
      </c>
      <c r="J105" s="99">
        <v>4</v>
      </c>
      <c r="K105" s="51" t="s">
        <v>446</v>
      </c>
    </row>
    <row r="106" spans="1:11" hidden="1" x14ac:dyDescent="0.3">
      <c r="A106" s="47">
        <v>97</v>
      </c>
      <c r="B106" s="48">
        <v>10</v>
      </c>
      <c r="C106" s="94" t="s">
        <v>23</v>
      </c>
      <c r="D106" s="302">
        <v>33</v>
      </c>
      <c r="E106" s="49">
        <v>0</v>
      </c>
      <c r="F106" s="50">
        <v>45337</v>
      </c>
      <c r="G106" s="98">
        <v>1</v>
      </c>
      <c r="H106" s="49">
        <v>10</v>
      </c>
      <c r="I106" s="50">
        <v>45337</v>
      </c>
      <c r="J106" s="99">
        <v>1</v>
      </c>
      <c r="K106" s="51" t="s">
        <v>163</v>
      </c>
    </row>
    <row r="107" spans="1:11" hidden="1" x14ac:dyDescent="0.3">
      <c r="A107" s="322" t="s">
        <v>164</v>
      </c>
      <c r="B107" s="48">
        <v>4</v>
      </c>
      <c r="C107" s="94" t="s">
        <v>17</v>
      </c>
      <c r="D107" s="60" t="s">
        <v>406</v>
      </c>
      <c r="E107" s="49">
        <v>0</v>
      </c>
      <c r="F107" s="50">
        <v>45337</v>
      </c>
      <c r="G107" s="98" t="s">
        <v>406</v>
      </c>
      <c r="H107" s="49">
        <v>4</v>
      </c>
      <c r="I107" s="50">
        <v>45337</v>
      </c>
      <c r="J107" s="99" t="s">
        <v>406</v>
      </c>
      <c r="K107" s="51" t="s">
        <v>165</v>
      </c>
    </row>
    <row r="108" spans="1:11" hidden="1" x14ac:dyDescent="0.3">
      <c r="A108" s="322" t="s">
        <v>166</v>
      </c>
      <c r="B108" s="48">
        <v>5</v>
      </c>
      <c r="C108" s="94" t="s">
        <v>18</v>
      </c>
      <c r="D108" s="60" t="s">
        <v>406</v>
      </c>
      <c r="E108" s="49">
        <v>0</v>
      </c>
      <c r="F108" s="50">
        <v>45337</v>
      </c>
      <c r="G108" s="98" t="s">
        <v>406</v>
      </c>
      <c r="H108" s="49">
        <v>4</v>
      </c>
      <c r="I108" s="50">
        <v>45337</v>
      </c>
      <c r="J108" s="99" t="s">
        <v>406</v>
      </c>
      <c r="K108" s="51" t="s">
        <v>165</v>
      </c>
    </row>
    <row r="109" spans="1:11" hidden="1" x14ac:dyDescent="0.3">
      <c r="A109" s="47">
        <v>98</v>
      </c>
      <c r="B109" s="48">
        <v>9</v>
      </c>
      <c r="C109" s="94" t="s">
        <v>22</v>
      </c>
      <c r="D109" s="302">
        <v>30</v>
      </c>
      <c r="E109" s="49">
        <v>57.14</v>
      </c>
      <c r="F109" s="50">
        <v>45366</v>
      </c>
      <c r="G109" s="98">
        <v>5</v>
      </c>
      <c r="H109" s="49">
        <v>8</v>
      </c>
      <c r="I109" s="50">
        <v>45366</v>
      </c>
      <c r="J109" s="99">
        <v>5</v>
      </c>
      <c r="K109" s="51" t="s">
        <v>208</v>
      </c>
    </row>
    <row r="110" spans="1:11" hidden="1" x14ac:dyDescent="0.3">
      <c r="A110" s="47">
        <v>99</v>
      </c>
      <c r="B110" s="48">
        <v>3</v>
      </c>
      <c r="C110" s="94" t="s">
        <v>16</v>
      </c>
      <c r="D110" s="302">
        <v>31</v>
      </c>
      <c r="E110" s="49">
        <v>200</v>
      </c>
      <c r="F110" s="50">
        <v>45366</v>
      </c>
      <c r="G110" s="98">
        <v>4</v>
      </c>
      <c r="H110" s="49">
        <v>4</v>
      </c>
      <c r="I110" s="50">
        <v>45366</v>
      </c>
      <c r="J110" s="99">
        <v>4</v>
      </c>
      <c r="K110" s="51" t="s">
        <v>277</v>
      </c>
    </row>
    <row r="111" spans="1:11" hidden="1" x14ac:dyDescent="0.3">
      <c r="A111" s="47">
        <v>100</v>
      </c>
      <c r="B111" s="48">
        <v>13</v>
      </c>
      <c r="C111" s="94" t="s">
        <v>26</v>
      </c>
      <c r="D111" s="302">
        <v>25</v>
      </c>
      <c r="E111" s="49">
        <v>0</v>
      </c>
      <c r="F111" s="50">
        <v>45366</v>
      </c>
      <c r="G111" s="98">
        <v>6</v>
      </c>
      <c r="H111" s="49">
        <v>10</v>
      </c>
      <c r="I111" s="50">
        <v>45366</v>
      </c>
      <c r="J111" s="99">
        <v>6</v>
      </c>
      <c r="K111" s="51" t="s">
        <v>210</v>
      </c>
    </row>
    <row r="112" spans="1:11" hidden="1" x14ac:dyDescent="0.3">
      <c r="A112" s="310" t="s">
        <v>266</v>
      </c>
      <c r="B112" s="48">
        <v>13</v>
      </c>
      <c r="C112" s="94" t="s">
        <v>26</v>
      </c>
      <c r="D112" s="302">
        <v>25</v>
      </c>
      <c r="E112" s="49">
        <v>500</v>
      </c>
      <c r="F112" s="50">
        <v>45366</v>
      </c>
      <c r="G112" s="98">
        <v>6</v>
      </c>
      <c r="H112" s="49">
        <v>0</v>
      </c>
      <c r="I112" s="50">
        <v>45366</v>
      </c>
      <c r="J112" s="99">
        <v>6</v>
      </c>
      <c r="K112" s="51" t="s">
        <v>447</v>
      </c>
    </row>
    <row r="113" spans="1:11" hidden="1" x14ac:dyDescent="0.3">
      <c r="A113" s="47">
        <v>101</v>
      </c>
      <c r="B113" s="48">
        <v>11</v>
      </c>
      <c r="C113" s="94" t="s">
        <v>24</v>
      </c>
      <c r="D113" s="302">
        <v>34</v>
      </c>
      <c r="E113" s="49">
        <v>0</v>
      </c>
      <c r="F113" s="50">
        <v>45366</v>
      </c>
      <c r="G113" s="98">
        <v>3</v>
      </c>
      <c r="H113" s="49">
        <v>2</v>
      </c>
      <c r="I113" s="50">
        <v>45366</v>
      </c>
      <c r="J113" s="99">
        <v>3</v>
      </c>
      <c r="K113" s="51" t="s">
        <v>452</v>
      </c>
    </row>
    <row r="114" spans="1:11" hidden="1" x14ac:dyDescent="0.3">
      <c r="A114" s="47">
        <v>102</v>
      </c>
      <c r="B114" s="48">
        <v>6</v>
      </c>
      <c r="C114" s="94" t="s">
        <v>19</v>
      </c>
      <c r="D114" s="302">
        <v>35</v>
      </c>
      <c r="E114" s="49">
        <v>120</v>
      </c>
      <c r="F114" s="50">
        <v>45366</v>
      </c>
      <c r="G114" s="98">
        <v>1</v>
      </c>
      <c r="H114" s="49">
        <v>12</v>
      </c>
      <c r="I114" s="50">
        <v>45366</v>
      </c>
      <c r="J114" s="99">
        <v>1</v>
      </c>
      <c r="K114" s="51" t="s">
        <v>209</v>
      </c>
    </row>
    <row r="115" spans="1:11" hidden="1" x14ac:dyDescent="0.3">
      <c r="A115" s="47">
        <v>103</v>
      </c>
      <c r="B115" s="48">
        <v>10</v>
      </c>
      <c r="C115" s="94" t="s">
        <v>23</v>
      </c>
      <c r="D115" s="302">
        <v>33</v>
      </c>
      <c r="E115" s="49">
        <v>0</v>
      </c>
      <c r="F115" s="50">
        <v>45366</v>
      </c>
      <c r="G115" s="98">
        <v>2</v>
      </c>
      <c r="H115" s="49">
        <v>10</v>
      </c>
      <c r="I115" s="50">
        <v>45366</v>
      </c>
      <c r="J115" s="99">
        <v>2</v>
      </c>
      <c r="K115" s="51" t="s">
        <v>88</v>
      </c>
    </row>
    <row r="116" spans="1:11" hidden="1" x14ac:dyDescent="0.3">
      <c r="A116" s="310" t="s">
        <v>270</v>
      </c>
      <c r="B116" s="48">
        <v>10</v>
      </c>
      <c r="C116" s="94" t="s">
        <v>23</v>
      </c>
      <c r="D116" s="302">
        <v>33</v>
      </c>
      <c r="E116" s="49">
        <v>500</v>
      </c>
      <c r="F116" s="50">
        <v>45366</v>
      </c>
      <c r="G116" s="98">
        <v>2</v>
      </c>
      <c r="H116" s="49">
        <v>0</v>
      </c>
      <c r="I116" s="50">
        <v>45366</v>
      </c>
      <c r="J116" s="99">
        <v>2</v>
      </c>
      <c r="K116" s="51" t="s">
        <v>450</v>
      </c>
    </row>
    <row r="117" spans="1:11" hidden="1" x14ac:dyDescent="0.3">
      <c r="A117" s="47">
        <v>104</v>
      </c>
      <c r="B117" s="48">
        <v>1</v>
      </c>
      <c r="C117" s="94" t="s">
        <v>14</v>
      </c>
      <c r="D117" s="302">
        <v>36</v>
      </c>
      <c r="E117" s="49">
        <v>25</v>
      </c>
      <c r="F117" s="50">
        <v>45366</v>
      </c>
      <c r="G117" s="98">
        <v>1</v>
      </c>
      <c r="H117" s="49">
        <v>2</v>
      </c>
      <c r="I117" s="50">
        <v>45366</v>
      </c>
      <c r="J117" s="99">
        <v>1</v>
      </c>
      <c r="K117" s="51" t="s">
        <v>80</v>
      </c>
    </row>
    <row r="118" spans="1:11" hidden="1" x14ac:dyDescent="0.3">
      <c r="A118" s="310" t="s">
        <v>307</v>
      </c>
      <c r="B118" s="48">
        <v>11</v>
      </c>
      <c r="C118" s="94" t="s">
        <v>24</v>
      </c>
      <c r="D118" s="302">
        <v>34</v>
      </c>
      <c r="E118" s="49">
        <v>0</v>
      </c>
      <c r="F118" s="50">
        <v>45366</v>
      </c>
      <c r="G118" s="98">
        <v>3</v>
      </c>
      <c r="H118" s="49">
        <v>6</v>
      </c>
      <c r="I118" s="50">
        <v>45366</v>
      </c>
      <c r="J118" s="99">
        <v>3</v>
      </c>
      <c r="K118" s="51" t="s">
        <v>453</v>
      </c>
    </row>
    <row r="119" spans="1:11" hidden="1" x14ac:dyDescent="0.3">
      <c r="A119" s="310" t="s">
        <v>345</v>
      </c>
      <c r="B119" s="48">
        <v>11</v>
      </c>
      <c r="C119" s="94" t="s">
        <v>24</v>
      </c>
      <c r="D119" s="302">
        <v>34</v>
      </c>
      <c r="E119" s="49">
        <v>100</v>
      </c>
      <c r="F119" s="50">
        <v>45366</v>
      </c>
      <c r="G119" s="98">
        <v>3</v>
      </c>
      <c r="H119" s="49">
        <v>0</v>
      </c>
      <c r="I119" s="50">
        <v>45366</v>
      </c>
      <c r="J119" s="99">
        <v>3</v>
      </c>
      <c r="K119" s="51" t="s">
        <v>451</v>
      </c>
    </row>
    <row r="120" spans="1:11" hidden="1" x14ac:dyDescent="0.3">
      <c r="A120" s="47">
        <v>105</v>
      </c>
      <c r="B120" s="48">
        <v>1</v>
      </c>
      <c r="C120" s="94" t="s">
        <v>14</v>
      </c>
      <c r="D120" s="302">
        <v>36</v>
      </c>
      <c r="E120" s="49">
        <v>25</v>
      </c>
      <c r="F120" s="50">
        <v>45397</v>
      </c>
      <c r="G120" s="98">
        <v>2</v>
      </c>
      <c r="H120" s="49">
        <v>2</v>
      </c>
      <c r="I120" s="50">
        <v>45397</v>
      </c>
      <c r="J120" s="99">
        <v>2</v>
      </c>
      <c r="K120" s="51" t="s">
        <v>81</v>
      </c>
    </row>
    <row r="121" spans="1:11" hidden="1" x14ac:dyDescent="0.3">
      <c r="A121" s="47">
        <v>106</v>
      </c>
      <c r="B121" s="48">
        <v>3</v>
      </c>
      <c r="C121" s="94" t="s">
        <v>16</v>
      </c>
      <c r="D121" s="302">
        <v>37</v>
      </c>
      <c r="E121" s="49">
        <v>100</v>
      </c>
      <c r="F121" s="50">
        <v>45397</v>
      </c>
      <c r="G121" s="98">
        <v>1</v>
      </c>
      <c r="H121" s="49">
        <v>20</v>
      </c>
      <c r="I121" s="50">
        <v>45397</v>
      </c>
      <c r="J121" s="99">
        <v>1</v>
      </c>
      <c r="K121" s="51" t="s">
        <v>80</v>
      </c>
    </row>
    <row r="122" spans="1:11" hidden="1" x14ac:dyDescent="0.3">
      <c r="A122" s="47">
        <v>107</v>
      </c>
      <c r="B122" s="48">
        <v>6</v>
      </c>
      <c r="C122" s="94" t="s">
        <v>19</v>
      </c>
      <c r="D122" s="302">
        <v>35</v>
      </c>
      <c r="E122" s="49">
        <v>120</v>
      </c>
      <c r="F122" s="50">
        <v>45397</v>
      </c>
      <c r="G122" s="98">
        <v>1</v>
      </c>
      <c r="H122" s="49">
        <v>12</v>
      </c>
      <c r="I122" s="50">
        <v>45397</v>
      </c>
      <c r="J122" s="99">
        <v>1</v>
      </c>
      <c r="K122" s="51" t="s">
        <v>80</v>
      </c>
    </row>
    <row r="123" spans="1:11" hidden="1" x14ac:dyDescent="0.3">
      <c r="A123" s="47">
        <v>108</v>
      </c>
      <c r="B123" s="48">
        <v>7</v>
      </c>
      <c r="C123" s="94" t="s">
        <v>20</v>
      </c>
      <c r="D123" s="302">
        <v>40</v>
      </c>
      <c r="E123" s="49">
        <v>20</v>
      </c>
      <c r="F123" s="50">
        <v>45397</v>
      </c>
      <c r="G123" s="98">
        <v>1</v>
      </c>
      <c r="H123" s="49">
        <v>2</v>
      </c>
      <c r="I123" s="50">
        <v>45397</v>
      </c>
      <c r="J123" s="99">
        <v>1</v>
      </c>
      <c r="K123" s="51" t="s">
        <v>80</v>
      </c>
    </row>
    <row r="124" spans="1:11" hidden="1" x14ac:dyDescent="0.3">
      <c r="A124" s="47">
        <v>109</v>
      </c>
      <c r="B124" s="48">
        <v>9</v>
      </c>
      <c r="C124" s="94" t="s">
        <v>22</v>
      </c>
      <c r="D124" s="302">
        <v>30</v>
      </c>
      <c r="E124" s="49">
        <v>57.14</v>
      </c>
      <c r="F124" s="50">
        <v>45397</v>
      </c>
      <c r="G124" s="98">
        <v>6</v>
      </c>
      <c r="H124" s="49">
        <v>8</v>
      </c>
      <c r="I124" s="50">
        <v>45397</v>
      </c>
      <c r="J124" s="99">
        <v>6</v>
      </c>
      <c r="K124" s="51" t="s">
        <v>220</v>
      </c>
    </row>
    <row r="125" spans="1:11" hidden="1" x14ac:dyDescent="0.3">
      <c r="A125" s="47">
        <v>110</v>
      </c>
      <c r="B125" s="48">
        <v>10</v>
      </c>
      <c r="C125" s="94" t="s">
        <v>23</v>
      </c>
      <c r="D125" s="302">
        <v>39</v>
      </c>
      <c r="E125" s="49">
        <v>100</v>
      </c>
      <c r="F125" s="50">
        <v>45397</v>
      </c>
      <c r="G125" s="98">
        <v>1</v>
      </c>
      <c r="H125" s="49">
        <v>8</v>
      </c>
      <c r="I125" s="50">
        <v>45397</v>
      </c>
      <c r="J125" s="99">
        <v>1</v>
      </c>
      <c r="K125" s="51" t="s">
        <v>80</v>
      </c>
    </row>
    <row r="126" spans="1:11" hidden="1" x14ac:dyDescent="0.3">
      <c r="A126" s="47">
        <v>111</v>
      </c>
      <c r="B126" s="48">
        <v>11</v>
      </c>
      <c r="C126" s="94" t="s">
        <v>24</v>
      </c>
      <c r="D126" s="302">
        <v>38</v>
      </c>
      <c r="E126" s="49">
        <v>50</v>
      </c>
      <c r="F126" s="50">
        <v>45397</v>
      </c>
      <c r="G126" s="98">
        <v>1</v>
      </c>
      <c r="H126" s="49">
        <v>12</v>
      </c>
      <c r="I126" s="50">
        <v>45397</v>
      </c>
      <c r="J126" s="99">
        <v>1</v>
      </c>
      <c r="K126" s="51" t="s">
        <v>80</v>
      </c>
    </row>
    <row r="127" spans="1:11" hidden="1" x14ac:dyDescent="0.3">
      <c r="A127" s="47">
        <v>112</v>
      </c>
      <c r="B127" s="48">
        <v>3</v>
      </c>
      <c r="C127" s="94" t="s">
        <v>16</v>
      </c>
      <c r="D127" s="302">
        <v>37</v>
      </c>
      <c r="E127" s="49">
        <v>100</v>
      </c>
      <c r="F127" s="50">
        <v>45427</v>
      </c>
      <c r="G127" s="98">
        <v>2</v>
      </c>
      <c r="H127" s="49">
        <v>20</v>
      </c>
      <c r="I127" s="50">
        <v>45427</v>
      </c>
      <c r="J127" s="99">
        <v>2</v>
      </c>
      <c r="K127" s="51" t="s">
        <v>81</v>
      </c>
    </row>
    <row r="128" spans="1:11" hidden="1" x14ac:dyDescent="0.3">
      <c r="A128" s="47">
        <v>113</v>
      </c>
      <c r="B128" s="48">
        <v>1</v>
      </c>
      <c r="C128" s="94" t="s">
        <v>14</v>
      </c>
      <c r="D128" s="302">
        <v>36</v>
      </c>
      <c r="E128" s="49">
        <v>25</v>
      </c>
      <c r="F128" s="50">
        <v>45427</v>
      </c>
      <c r="G128" s="98">
        <v>3</v>
      </c>
      <c r="H128" s="49">
        <v>2</v>
      </c>
      <c r="I128" s="50">
        <v>45427</v>
      </c>
      <c r="J128" s="99">
        <v>3</v>
      </c>
      <c r="K128" s="51" t="s">
        <v>84</v>
      </c>
    </row>
    <row r="129" spans="1:11" hidden="1" x14ac:dyDescent="0.3">
      <c r="A129" s="47">
        <v>114</v>
      </c>
      <c r="B129" s="48">
        <v>9</v>
      </c>
      <c r="C129" s="94" t="s">
        <v>22</v>
      </c>
      <c r="D129" s="302">
        <v>30</v>
      </c>
      <c r="E129" s="49">
        <v>57.14</v>
      </c>
      <c r="F129" s="50">
        <v>45427</v>
      </c>
      <c r="G129" s="98">
        <v>7</v>
      </c>
      <c r="H129" s="49">
        <v>8</v>
      </c>
      <c r="I129" s="50">
        <v>45427</v>
      </c>
      <c r="J129" s="99">
        <v>7</v>
      </c>
      <c r="K129" s="51" t="s">
        <v>225</v>
      </c>
    </row>
    <row r="130" spans="1:11" hidden="1" x14ac:dyDescent="0.3">
      <c r="A130" s="47">
        <v>115</v>
      </c>
      <c r="B130" s="48">
        <v>11</v>
      </c>
      <c r="C130" s="94" t="s">
        <v>24</v>
      </c>
      <c r="D130" s="302">
        <v>38</v>
      </c>
      <c r="E130" s="49">
        <v>50</v>
      </c>
      <c r="F130" s="50">
        <v>45427</v>
      </c>
      <c r="G130" s="98">
        <v>2</v>
      </c>
      <c r="H130" s="49">
        <v>12</v>
      </c>
      <c r="I130" s="50">
        <v>45427</v>
      </c>
      <c r="J130" s="99">
        <v>2</v>
      </c>
      <c r="K130" s="51" t="s">
        <v>81</v>
      </c>
    </row>
    <row r="131" spans="1:11" hidden="1" x14ac:dyDescent="0.3">
      <c r="A131" s="47">
        <v>116</v>
      </c>
      <c r="B131" s="48">
        <v>7</v>
      </c>
      <c r="C131" s="94" t="s">
        <v>20</v>
      </c>
      <c r="D131" s="302">
        <v>40</v>
      </c>
      <c r="E131" s="49">
        <v>20</v>
      </c>
      <c r="F131" s="50">
        <v>45427</v>
      </c>
      <c r="G131" s="98">
        <v>2</v>
      </c>
      <c r="H131" s="49">
        <v>2</v>
      </c>
      <c r="I131" s="50">
        <v>45427</v>
      </c>
      <c r="J131" s="99">
        <v>2</v>
      </c>
      <c r="K131" s="51" t="s">
        <v>81</v>
      </c>
    </row>
    <row r="132" spans="1:11" hidden="1" x14ac:dyDescent="0.3">
      <c r="A132" s="47">
        <v>117</v>
      </c>
      <c r="B132" s="48">
        <v>6</v>
      </c>
      <c r="C132" s="94" t="s">
        <v>19</v>
      </c>
      <c r="D132" s="302">
        <v>35</v>
      </c>
      <c r="E132" s="49">
        <v>120</v>
      </c>
      <c r="F132" s="50">
        <v>45427</v>
      </c>
      <c r="G132" s="98">
        <v>3</v>
      </c>
      <c r="H132" s="49">
        <v>12</v>
      </c>
      <c r="I132" s="50">
        <v>45427</v>
      </c>
      <c r="J132" s="99">
        <v>3</v>
      </c>
      <c r="K132" s="51" t="s">
        <v>84</v>
      </c>
    </row>
    <row r="133" spans="1:11" hidden="1" x14ac:dyDescent="0.3">
      <c r="A133" s="47">
        <v>118</v>
      </c>
      <c r="B133" s="48">
        <v>10</v>
      </c>
      <c r="C133" s="94" t="s">
        <v>23</v>
      </c>
      <c r="D133" s="302">
        <v>39</v>
      </c>
      <c r="E133" s="49">
        <v>100</v>
      </c>
      <c r="F133" s="50">
        <v>45427</v>
      </c>
      <c r="G133" s="98">
        <v>2</v>
      </c>
      <c r="H133" s="49">
        <v>8</v>
      </c>
      <c r="I133" s="50">
        <v>45427</v>
      </c>
      <c r="J133" s="99">
        <v>2</v>
      </c>
      <c r="K133" s="51" t="s">
        <v>81</v>
      </c>
    </row>
    <row r="134" spans="1:11" hidden="1" x14ac:dyDescent="0.3">
      <c r="A134" s="322" t="s">
        <v>228</v>
      </c>
      <c r="B134" s="86">
        <v>8</v>
      </c>
      <c r="C134" s="69" t="s">
        <v>21</v>
      </c>
      <c r="D134" s="100" t="s">
        <v>406</v>
      </c>
      <c r="E134" s="46">
        <v>0</v>
      </c>
      <c r="F134" s="50">
        <v>45427</v>
      </c>
      <c r="G134" s="78" t="s">
        <v>406</v>
      </c>
      <c r="H134" s="46">
        <v>4</v>
      </c>
      <c r="I134" s="50">
        <v>45427</v>
      </c>
      <c r="J134" s="82" t="s">
        <v>406</v>
      </c>
      <c r="K134" s="53" t="s">
        <v>165</v>
      </c>
    </row>
    <row r="135" spans="1:11" hidden="1" x14ac:dyDescent="0.3">
      <c r="A135" s="47">
        <v>119</v>
      </c>
      <c r="B135" s="48">
        <v>3</v>
      </c>
      <c r="C135" s="94" t="s">
        <v>16</v>
      </c>
      <c r="D135" s="302">
        <v>37</v>
      </c>
      <c r="E135" s="49">
        <v>100</v>
      </c>
      <c r="F135" s="50">
        <v>45458</v>
      </c>
      <c r="G135" s="98">
        <v>3</v>
      </c>
      <c r="H135" s="49">
        <v>20</v>
      </c>
      <c r="I135" s="50">
        <v>45458</v>
      </c>
      <c r="J135" s="99">
        <v>3</v>
      </c>
      <c r="K135" s="51" t="s">
        <v>84</v>
      </c>
    </row>
    <row r="136" spans="1:11" hidden="1" x14ac:dyDescent="0.3">
      <c r="A136" s="47">
        <v>120</v>
      </c>
      <c r="B136" s="48">
        <v>1</v>
      </c>
      <c r="C136" s="94" t="s">
        <v>14</v>
      </c>
      <c r="D136" s="302">
        <v>36</v>
      </c>
      <c r="E136" s="49">
        <v>25</v>
      </c>
      <c r="F136" s="50">
        <v>45458</v>
      </c>
      <c r="G136" s="98">
        <v>4</v>
      </c>
      <c r="H136" s="49">
        <v>2</v>
      </c>
      <c r="I136" s="50">
        <v>45458</v>
      </c>
      <c r="J136" s="99">
        <v>4</v>
      </c>
      <c r="K136" s="51" t="s">
        <v>86</v>
      </c>
    </row>
    <row r="137" spans="1:11" hidden="1" x14ac:dyDescent="0.3">
      <c r="A137" s="47">
        <v>121</v>
      </c>
      <c r="B137" s="48">
        <v>9</v>
      </c>
      <c r="C137" s="94" t="s">
        <v>22</v>
      </c>
      <c r="D137" s="302">
        <v>42</v>
      </c>
      <c r="E137" s="49">
        <v>85.74</v>
      </c>
      <c r="F137" s="50">
        <v>45458</v>
      </c>
      <c r="G137" s="98">
        <v>1</v>
      </c>
      <c r="H137" s="49">
        <v>12</v>
      </c>
      <c r="I137" s="50">
        <v>45458</v>
      </c>
      <c r="J137" s="99">
        <v>1</v>
      </c>
      <c r="K137" s="51" t="s">
        <v>80</v>
      </c>
    </row>
    <row r="138" spans="1:11" hidden="1" x14ac:dyDescent="0.3">
      <c r="A138" s="47">
        <v>122</v>
      </c>
      <c r="B138" s="48">
        <v>11</v>
      </c>
      <c r="C138" s="94" t="s">
        <v>24</v>
      </c>
      <c r="D138" s="302">
        <v>38</v>
      </c>
      <c r="E138" s="49">
        <v>50</v>
      </c>
      <c r="F138" s="50">
        <v>45458</v>
      </c>
      <c r="G138" s="98">
        <v>3</v>
      </c>
      <c r="H138" s="49">
        <v>12</v>
      </c>
      <c r="I138" s="50">
        <v>45458</v>
      </c>
      <c r="J138" s="99">
        <v>3</v>
      </c>
      <c r="K138" s="51" t="s">
        <v>84</v>
      </c>
    </row>
    <row r="139" spans="1:11" hidden="1" x14ac:dyDescent="0.3">
      <c r="A139" s="47">
        <v>123</v>
      </c>
      <c r="B139" s="48">
        <v>7</v>
      </c>
      <c r="C139" s="94" t="s">
        <v>20</v>
      </c>
      <c r="D139" s="302">
        <v>40</v>
      </c>
      <c r="E139" s="49">
        <v>20</v>
      </c>
      <c r="F139" s="50">
        <v>45458</v>
      </c>
      <c r="G139" s="98">
        <v>3</v>
      </c>
      <c r="H139" s="49">
        <v>2</v>
      </c>
      <c r="I139" s="50">
        <v>45458</v>
      </c>
      <c r="J139" s="99">
        <v>3</v>
      </c>
      <c r="K139" s="51" t="s">
        <v>84</v>
      </c>
    </row>
    <row r="140" spans="1:11" hidden="1" x14ac:dyDescent="0.3">
      <c r="A140" s="47">
        <v>124</v>
      </c>
      <c r="B140" s="48">
        <v>4</v>
      </c>
      <c r="C140" s="94" t="s">
        <v>17</v>
      </c>
      <c r="D140" s="302">
        <v>43</v>
      </c>
      <c r="E140" s="49">
        <v>100</v>
      </c>
      <c r="F140" s="50">
        <v>45458</v>
      </c>
      <c r="G140" s="98">
        <v>1</v>
      </c>
      <c r="H140" s="49">
        <v>8</v>
      </c>
      <c r="I140" s="50">
        <v>45458</v>
      </c>
      <c r="J140" s="99">
        <v>1</v>
      </c>
      <c r="K140" s="51" t="s">
        <v>80</v>
      </c>
    </row>
    <row r="141" spans="1:11" hidden="1" x14ac:dyDescent="0.3">
      <c r="A141" s="47">
        <v>125</v>
      </c>
      <c r="B141" s="48">
        <v>6</v>
      </c>
      <c r="C141" s="94" t="s">
        <v>19</v>
      </c>
      <c r="D141" s="302">
        <v>35</v>
      </c>
      <c r="E141" s="49">
        <v>120</v>
      </c>
      <c r="F141" s="50">
        <v>45458</v>
      </c>
      <c r="G141" s="98">
        <v>4</v>
      </c>
      <c r="H141" s="49">
        <v>12</v>
      </c>
      <c r="I141" s="50">
        <v>45458</v>
      </c>
      <c r="J141" s="99">
        <v>4</v>
      </c>
      <c r="K141" s="51" t="s">
        <v>86</v>
      </c>
    </row>
    <row r="142" spans="1:11" hidden="1" x14ac:dyDescent="0.3">
      <c r="A142" s="47">
        <v>126</v>
      </c>
      <c r="B142" s="48">
        <v>10</v>
      </c>
      <c r="C142" s="94" t="s">
        <v>23</v>
      </c>
      <c r="D142" s="302">
        <v>39</v>
      </c>
      <c r="E142" s="49">
        <v>0</v>
      </c>
      <c r="F142" s="50">
        <v>45458</v>
      </c>
      <c r="G142" s="98">
        <v>3</v>
      </c>
      <c r="H142" s="49">
        <v>8</v>
      </c>
      <c r="I142" s="50">
        <v>45458</v>
      </c>
      <c r="J142" s="99">
        <v>3</v>
      </c>
      <c r="K142" s="51" t="s">
        <v>235</v>
      </c>
    </row>
    <row r="143" spans="1:11" hidden="1" x14ac:dyDescent="0.3">
      <c r="A143" s="310" t="s">
        <v>349</v>
      </c>
      <c r="B143" s="48">
        <v>10</v>
      </c>
      <c r="C143" s="94" t="s">
        <v>23</v>
      </c>
      <c r="D143" s="302">
        <v>39</v>
      </c>
      <c r="E143" s="49">
        <v>200</v>
      </c>
      <c r="F143" s="50">
        <v>45458</v>
      </c>
      <c r="G143" s="98">
        <v>4</v>
      </c>
      <c r="H143" s="49">
        <v>8</v>
      </c>
      <c r="I143" s="50">
        <v>45458</v>
      </c>
      <c r="J143" s="99">
        <v>4</v>
      </c>
      <c r="K143" s="51" t="s">
        <v>233</v>
      </c>
    </row>
    <row r="144" spans="1:11" hidden="1" x14ac:dyDescent="0.3">
      <c r="A144" s="47">
        <v>127</v>
      </c>
      <c r="B144" s="48">
        <v>3</v>
      </c>
      <c r="C144" s="94" t="s">
        <v>16</v>
      </c>
      <c r="D144" s="302">
        <v>37</v>
      </c>
      <c r="E144" s="49">
        <v>100</v>
      </c>
      <c r="F144" s="50">
        <v>45488</v>
      </c>
      <c r="G144" s="98">
        <v>4</v>
      </c>
      <c r="H144" s="49">
        <v>20</v>
      </c>
      <c r="I144" s="50">
        <v>45488</v>
      </c>
      <c r="J144" s="99">
        <v>4</v>
      </c>
      <c r="K144" s="51" t="s">
        <v>86</v>
      </c>
    </row>
    <row r="145" spans="1:11" hidden="1" x14ac:dyDescent="0.3">
      <c r="A145" s="47">
        <v>128</v>
      </c>
      <c r="B145" s="48">
        <v>9</v>
      </c>
      <c r="C145" s="94" t="s">
        <v>22</v>
      </c>
      <c r="D145" s="302">
        <v>42</v>
      </c>
      <c r="E145" s="49">
        <v>85.71</v>
      </c>
      <c r="F145" s="50">
        <v>45488</v>
      </c>
      <c r="G145" s="98">
        <v>2</v>
      </c>
      <c r="H145" s="49">
        <v>12</v>
      </c>
      <c r="I145" s="50">
        <v>45488</v>
      </c>
      <c r="J145" s="99">
        <v>2</v>
      </c>
      <c r="K145" s="51" t="s">
        <v>81</v>
      </c>
    </row>
    <row r="146" spans="1:11" hidden="1" x14ac:dyDescent="0.3">
      <c r="A146" s="47">
        <v>129</v>
      </c>
      <c r="B146" s="48">
        <v>11</v>
      </c>
      <c r="C146" s="94" t="s">
        <v>24</v>
      </c>
      <c r="D146" s="302">
        <v>38</v>
      </c>
      <c r="E146" s="49">
        <v>50</v>
      </c>
      <c r="F146" s="50">
        <v>45488</v>
      </c>
      <c r="G146" s="98">
        <v>4</v>
      </c>
      <c r="H146" s="49">
        <v>12</v>
      </c>
      <c r="I146" s="50">
        <v>45488</v>
      </c>
      <c r="J146" s="99">
        <v>4</v>
      </c>
      <c r="K146" s="51" t="s">
        <v>86</v>
      </c>
    </row>
    <row r="147" spans="1:11" hidden="1" x14ac:dyDescent="0.3">
      <c r="A147" s="47">
        <v>130</v>
      </c>
      <c r="B147" s="48">
        <v>12</v>
      </c>
      <c r="C147" s="94" t="s">
        <v>25</v>
      </c>
      <c r="D147" s="302">
        <v>41</v>
      </c>
      <c r="E147" s="49">
        <v>150</v>
      </c>
      <c r="F147" s="50">
        <v>45488</v>
      </c>
      <c r="G147" s="98">
        <v>3</v>
      </c>
      <c r="H147" s="49">
        <v>9</v>
      </c>
      <c r="I147" s="50">
        <v>45488</v>
      </c>
      <c r="J147" s="99">
        <v>3</v>
      </c>
      <c r="K147" s="51" t="s">
        <v>237</v>
      </c>
    </row>
    <row r="148" spans="1:11" hidden="1" x14ac:dyDescent="0.3">
      <c r="A148" s="47">
        <v>131</v>
      </c>
      <c r="B148" s="48">
        <v>7</v>
      </c>
      <c r="C148" s="94" t="s">
        <v>20</v>
      </c>
      <c r="D148" s="302">
        <v>40</v>
      </c>
      <c r="E148" s="49">
        <v>20</v>
      </c>
      <c r="F148" s="50">
        <v>45488</v>
      </c>
      <c r="G148" s="98">
        <v>4</v>
      </c>
      <c r="H148" s="49">
        <v>2</v>
      </c>
      <c r="I148" s="50">
        <v>45488</v>
      </c>
      <c r="J148" s="99">
        <v>4</v>
      </c>
      <c r="K148" s="51" t="s">
        <v>86</v>
      </c>
    </row>
    <row r="149" spans="1:11" hidden="1" x14ac:dyDescent="0.3">
      <c r="A149" s="47">
        <v>132</v>
      </c>
      <c r="B149" s="48">
        <v>4</v>
      </c>
      <c r="C149" s="94" t="s">
        <v>17</v>
      </c>
      <c r="D149" s="302">
        <v>43</v>
      </c>
      <c r="E149" s="49">
        <v>100</v>
      </c>
      <c r="F149" s="50">
        <v>45488</v>
      </c>
      <c r="G149" s="98">
        <v>2</v>
      </c>
      <c r="H149" s="49">
        <v>8</v>
      </c>
      <c r="I149" s="50">
        <v>45488</v>
      </c>
      <c r="J149" s="99">
        <v>2</v>
      </c>
      <c r="K149" s="51" t="s">
        <v>81</v>
      </c>
    </row>
    <row r="150" spans="1:11" hidden="1" x14ac:dyDescent="0.3">
      <c r="A150" s="47">
        <v>133</v>
      </c>
      <c r="B150" s="48">
        <v>5</v>
      </c>
      <c r="C150" s="94" t="s">
        <v>18</v>
      </c>
      <c r="D150" s="302">
        <v>45</v>
      </c>
      <c r="E150" s="49">
        <v>100</v>
      </c>
      <c r="F150" s="50">
        <v>45488</v>
      </c>
      <c r="G150" s="98">
        <v>1</v>
      </c>
      <c r="H150" s="49">
        <v>6</v>
      </c>
      <c r="I150" s="50">
        <v>45488</v>
      </c>
      <c r="J150" s="99">
        <v>1</v>
      </c>
      <c r="K150" s="51" t="s">
        <v>80</v>
      </c>
    </row>
    <row r="151" spans="1:11" hidden="1" x14ac:dyDescent="0.3">
      <c r="A151" s="47">
        <v>134</v>
      </c>
      <c r="B151" s="48">
        <v>6</v>
      </c>
      <c r="C151" s="94" t="s">
        <v>19</v>
      </c>
      <c r="D151" s="302">
        <v>35</v>
      </c>
      <c r="E151" s="49">
        <v>120</v>
      </c>
      <c r="F151" s="50">
        <v>45488</v>
      </c>
      <c r="G151" s="98">
        <v>5</v>
      </c>
      <c r="H151" s="49">
        <v>12</v>
      </c>
      <c r="I151" s="50">
        <v>45488</v>
      </c>
      <c r="J151" s="99">
        <v>5</v>
      </c>
      <c r="K151" s="51" t="s">
        <v>238</v>
      </c>
    </row>
    <row r="152" spans="1:11" hidden="1" x14ac:dyDescent="0.3">
      <c r="A152" s="47">
        <v>135</v>
      </c>
      <c r="B152" s="48">
        <v>10</v>
      </c>
      <c r="C152" s="94" t="s">
        <v>23</v>
      </c>
      <c r="D152" s="302">
        <v>44</v>
      </c>
      <c r="E152" s="49">
        <v>140</v>
      </c>
      <c r="F152" s="50">
        <v>45488</v>
      </c>
      <c r="G152" s="98">
        <v>1</v>
      </c>
      <c r="H152" s="49">
        <v>14</v>
      </c>
      <c r="I152" s="50">
        <v>45488</v>
      </c>
      <c r="J152" s="99">
        <v>1</v>
      </c>
      <c r="K152" s="51" t="s">
        <v>80</v>
      </c>
    </row>
    <row r="153" spans="1:11" hidden="1" x14ac:dyDescent="0.3">
      <c r="A153" s="47">
        <v>136</v>
      </c>
      <c r="B153" s="48">
        <v>3</v>
      </c>
      <c r="C153" s="94" t="s">
        <v>16</v>
      </c>
      <c r="D153" s="302">
        <v>37</v>
      </c>
      <c r="E153" s="49">
        <v>100</v>
      </c>
      <c r="F153" s="50">
        <v>45519</v>
      </c>
      <c r="G153" s="98">
        <v>5</v>
      </c>
      <c r="H153" s="49">
        <v>20</v>
      </c>
      <c r="I153" s="50">
        <v>45519</v>
      </c>
      <c r="J153" s="99">
        <v>5</v>
      </c>
      <c r="K153" s="51" t="s">
        <v>208</v>
      </c>
    </row>
    <row r="154" spans="1:11" hidden="1" x14ac:dyDescent="0.3">
      <c r="A154" s="47">
        <v>137</v>
      </c>
      <c r="B154" s="48">
        <v>13</v>
      </c>
      <c r="C154" s="94" t="s">
        <v>26</v>
      </c>
      <c r="D154" s="302">
        <v>46</v>
      </c>
      <c r="E154" s="49">
        <v>100</v>
      </c>
      <c r="F154" s="50">
        <v>45519</v>
      </c>
      <c r="G154" s="98">
        <v>1</v>
      </c>
      <c r="H154" s="49">
        <v>10</v>
      </c>
      <c r="I154" s="50">
        <v>45519</v>
      </c>
      <c r="J154" s="99">
        <v>1</v>
      </c>
      <c r="K154" s="51" t="s">
        <v>80</v>
      </c>
    </row>
    <row r="155" spans="1:11" hidden="1" x14ac:dyDescent="0.3">
      <c r="A155" s="47">
        <v>138</v>
      </c>
      <c r="B155" s="48">
        <v>9</v>
      </c>
      <c r="C155" s="94" t="s">
        <v>22</v>
      </c>
      <c r="D155" s="302">
        <v>42</v>
      </c>
      <c r="E155" s="49">
        <v>85.71</v>
      </c>
      <c r="F155" s="50">
        <v>45519</v>
      </c>
      <c r="G155" s="98">
        <v>3</v>
      </c>
      <c r="H155" s="49">
        <v>12</v>
      </c>
      <c r="I155" s="50">
        <v>45519</v>
      </c>
      <c r="J155" s="99">
        <v>3</v>
      </c>
      <c r="K155" s="51" t="s">
        <v>84</v>
      </c>
    </row>
    <row r="156" spans="1:11" hidden="1" x14ac:dyDescent="0.3">
      <c r="A156" s="47">
        <v>139</v>
      </c>
      <c r="B156" s="48">
        <v>11</v>
      </c>
      <c r="C156" s="94" t="s">
        <v>24</v>
      </c>
      <c r="D156" s="302">
        <v>38</v>
      </c>
      <c r="E156" s="49">
        <v>50</v>
      </c>
      <c r="F156" s="50">
        <v>45519</v>
      </c>
      <c r="G156" s="98">
        <v>5</v>
      </c>
      <c r="H156" s="49">
        <v>12</v>
      </c>
      <c r="I156" s="50">
        <v>45519</v>
      </c>
      <c r="J156" s="99">
        <v>5</v>
      </c>
      <c r="K156" s="51" t="s">
        <v>208</v>
      </c>
    </row>
    <row r="157" spans="1:11" hidden="1" x14ac:dyDescent="0.3">
      <c r="A157" s="47">
        <v>140</v>
      </c>
      <c r="B157" s="48">
        <v>12</v>
      </c>
      <c r="C157" s="94" t="s">
        <v>25</v>
      </c>
      <c r="D157" s="302">
        <v>47</v>
      </c>
      <c r="E157" s="49">
        <v>41.67</v>
      </c>
      <c r="F157" s="50">
        <v>45519</v>
      </c>
      <c r="G157" s="98">
        <v>1</v>
      </c>
      <c r="H157" s="49">
        <v>10</v>
      </c>
      <c r="I157" s="50">
        <v>45519</v>
      </c>
      <c r="J157" s="99">
        <v>1</v>
      </c>
      <c r="K157" s="51" t="s">
        <v>80</v>
      </c>
    </row>
    <row r="158" spans="1:11" hidden="1" x14ac:dyDescent="0.3">
      <c r="A158" s="47">
        <v>141</v>
      </c>
      <c r="B158" s="48">
        <v>7</v>
      </c>
      <c r="C158" s="94" t="s">
        <v>20</v>
      </c>
      <c r="D158" s="302">
        <v>40</v>
      </c>
      <c r="E158" s="49">
        <v>20</v>
      </c>
      <c r="F158" s="50">
        <v>45519</v>
      </c>
      <c r="G158" s="98">
        <v>5</v>
      </c>
      <c r="H158" s="49">
        <v>2</v>
      </c>
      <c r="I158" s="50">
        <v>45519</v>
      </c>
      <c r="J158" s="99">
        <v>5</v>
      </c>
      <c r="K158" s="51" t="s">
        <v>208</v>
      </c>
    </row>
    <row r="159" spans="1:11" hidden="1" x14ac:dyDescent="0.3">
      <c r="A159" s="47">
        <v>142</v>
      </c>
      <c r="B159" s="48">
        <v>4</v>
      </c>
      <c r="C159" s="94" t="s">
        <v>17</v>
      </c>
      <c r="D159" s="302">
        <v>43</v>
      </c>
      <c r="E159" s="49">
        <v>100</v>
      </c>
      <c r="F159" s="50">
        <v>45519</v>
      </c>
      <c r="G159" s="98">
        <v>3</v>
      </c>
      <c r="H159" s="49">
        <v>8</v>
      </c>
      <c r="I159" s="50">
        <v>45519</v>
      </c>
      <c r="J159" s="99">
        <v>3</v>
      </c>
      <c r="K159" s="51" t="s">
        <v>84</v>
      </c>
    </row>
    <row r="160" spans="1:11" hidden="1" x14ac:dyDescent="0.3">
      <c r="A160" s="47">
        <v>143</v>
      </c>
      <c r="B160" s="48">
        <v>10</v>
      </c>
      <c r="C160" s="94" t="s">
        <v>23</v>
      </c>
      <c r="D160" s="302">
        <v>44</v>
      </c>
      <c r="E160" s="49">
        <v>140</v>
      </c>
      <c r="F160" s="50">
        <v>45519</v>
      </c>
      <c r="G160" s="98">
        <v>2</v>
      </c>
      <c r="H160" s="49">
        <v>14</v>
      </c>
      <c r="I160" s="50">
        <v>45519</v>
      </c>
      <c r="J160" s="99">
        <v>2</v>
      </c>
      <c r="K160" s="51" t="s">
        <v>81</v>
      </c>
    </row>
    <row r="161" spans="1:11" hidden="1" x14ac:dyDescent="0.3">
      <c r="A161" s="47">
        <v>144</v>
      </c>
      <c r="B161" s="48">
        <v>5</v>
      </c>
      <c r="C161" s="94" t="s">
        <v>18</v>
      </c>
      <c r="D161" s="302">
        <v>45</v>
      </c>
      <c r="E161" s="49">
        <v>100</v>
      </c>
      <c r="F161" s="50">
        <v>45519</v>
      </c>
      <c r="G161" s="98">
        <v>2</v>
      </c>
      <c r="H161" s="49">
        <v>6</v>
      </c>
      <c r="I161" s="50">
        <v>45519</v>
      </c>
      <c r="J161" s="99">
        <v>2</v>
      </c>
      <c r="K161" s="51" t="s">
        <v>81</v>
      </c>
    </row>
    <row r="162" spans="1:11" hidden="1" x14ac:dyDescent="0.3">
      <c r="A162" s="47">
        <v>145</v>
      </c>
      <c r="B162" s="48">
        <v>1</v>
      </c>
      <c r="C162" s="94" t="s">
        <v>14</v>
      </c>
      <c r="D162" s="302">
        <v>49</v>
      </c>
      <c r="E162" s="49">
        <v>50</v>
      </c>
      <c r="F162" s="50">
        <v>45550</v>
      </c>
      <c r="G162" s="98">
        <v>1</v>
      </c>
      <c r="H162" s="49">
        <v>6</v>
      </c>
      <c r="I162" s="50">
        <v>45550</v>
      </c>
      <c r="J162" s="99">
        <v>1</v>
      </c>
      <c r="K162" s="51" t="s">
        <v>253</v>
      </c>
    </row>
    <row r="163" spans="1:11" hidden="1" x14ac:dyDescent="0.3">
      <c r="A163" s="47">
        <v>146</v>
      </c>
      <c r="B163" s="48">
        <v>3</v>
      </c>
      <c r="C163" s="94" t="s">
        <v>16</v>
      </c>
      <c r="D163" s="302">
        <v>37</v>
      </c>
      <c r="E163" s="49">
        <v>100</v>
      </c>
      <c r="F163" s="50">
        <v>45550</v>
      </c>
      <c r="G163" s="98">
        <v>6</v>
      </c>
      <c r="H163" s="49">
        <v>20</v>
      </c>
      <c r="I163" s="50">
        <v>45550</v>
      </c>
      <c r="J163" s="99">
        <v>6</v>
      </c>
      <c r="K163" s="51" t="s">
        <v>254</v>
      </c>
    </row>
    <row r="164" spans="1:11" hidden="1" x14ac:dyDescent="0.3">
      <c r="A164" s="47">
        <v>147</v>
      </c>
      <c r="B164" s="48">
        <v>4</v>
      </c>
      <c r="C164" s="94" t="s">
        <v>17</v>
      </c>
      <c r="D164" s="302">
        <v>43</v>
      </c>
      <c r="E164" s="49">
        <v>100</v>
      </c>
      <c r="F164" s="50">
        <v>45550</v>
      </c>
      <c r="G164" s="98">
        <v>4</v>
      </c>
      <c r="H164" s="49">
        <v>8</v>
      </c>
      <c r="I164" s="50">
        <v>45550</v>
      </c>
      <c r="J164" s="99">
        <v>4</v>
      </c>
      <c r="K164" s="51" t="s">
        <v>255</v>
      </c>
    </row>
    <row r="165" spans="1:11" hidden="1" x14ac:dyDescent="0.3">
      <c r="A165" s="47">
        <v>148</v>
      </c>
      <c r="B165" s="48">
        <v>5</v>
      </c>
      <c r="C165" s="94" t="s">
        <v>18</v>
      </c>
      <c r="D165" s="302">
        <v>45</v>
      </c>
      <c r="E165" s="49">
        <v>100</v>
      </c>
      <c r="F165" s="50">
        <v>45550</v>
      </c>
      <c r="G165" s="98">
        <v>3</v>
      </c>
      <c r="H165" s="49">
        <v>6</v>
      </c>
      <c r="I165" s="50">
        <v>45550</v>
      </c>
      <c r="J165" s="99">
        <v>3</v>
      </c>
      <c r="K165" s="51" t="s">
        <v>256</v>
      </c>
    </row>
    <row r="166" spans="1:11" hidden="1" x14ac:dyDescent="0.3">
      <c r="A166" s="47">
        <v>149</v>
      </c>
      <c r="B166" s="48">
        <v>6</v>
      </c>
      <c r="C166" s="94" t="s">
        <v>19</v>
      </c>
      <c r="D166" s="302">
        <v>48</v>
      </c>
      <c r="E166" s="49">
        <v>100</v>
      </c>
      <c r="F166" s="50">
        <v>45550</v>
      </c>
      <c r="G166" s="98">
        <v>1</v>
      </c>
      <c r="H166" s="49">
        <v>12</v>
      </c>
      <c r="I166" s="50">
        <v>45550</v>
      </c>
      <c r="J166" s="99">
        <v>1</v>
      </c>
      <c r="K166" s="51" t="s">
        <v>253</v>
      </c>
    </row>
    <row r="167" spans="1:11" hidden="1" x14ac:dyDescent="0.3">
      <c r="A167" s="47">
        <v>150</v>
      </c>
      <c r="B167" s="48">
        <v>9</v>
      </c>
      <c r="C167" s="94" t="s">
        <v>22</v>
      </c>
      <c r="D167" s="302">
        <v>42</v>
      </c>
      <c r="E167" s="49">
        <v>85.71</v>
      </c>
      <c r="F167" s="50">
        <v>45550</v>
      </c>
      <c r="G167" s="98">
        <v>4</v>
      </c>
      <c r="H167" s="49">
        <v>12</v>
      </c>
      <c r="I167" s="50">
        <v>45550</v>
      </c>
      <c r="J167" s="99">
        <v>4</v>
      </c>
      <c r="K167" s="51" t="s">
        <v>255</v>
      </c>
    </row>
    <row r="168" spans="1:11" hidden="1" x14ac:dyDescent="0.3">
      <c r="A168" s="47">
        <v>151</v>
      </c>
      <c r="B168" s="48">
        <v>10</v>
      </c>
      <c r="C168" s="94" t="s">
        <v>23</v>
      </c>
      <c r="D168" s="302">
        <v>44</v>
      </c>
      <c r="E168" s="49">
        <v>140</v>
      </c>
      <c r="F168" s="50">
        <v>45550</v>
      </c>
      <c r="G168" s="98">
        <v>3</v>
      </c>
      <c r="H168" s="49">
        <v>14</v>
      </c>
      <c r="I168" s="50">
        <v>45550</v>
      </c>
      <c r="J168" s="99">
        <v>3</v>
      </c>
      <c r="K168" s="51" t="s">
        <v>256</v>
      </c>
    </row>
    <row r="169" spans="1:11" hidden="1" x14ac:dyDescent="0.3">
      <c r="A169" s="47">
        <v>152</v>
      </c>
      <c r="B169" s="48">
        <v>11</v>
      </c>
      <c r="C169" s="94" t="s">
        <v>24</v>
      </c>
      <c r="D169" s="302">
        <v>38</v>
      </c>
      <c r="E169" s="49">
        <v>50</v>
      </c>
      <c r="F169" s="50">
        <v>45550</v>
      </c>
      <c r="G169" s="98">
        <v>6</v>
      </c>
      <c r="H169" s="49">
        <v>12</v>
      </c>
      <c r="I169" s="50">
        <v>45550</v>
      </c>
      <c r="J169" s="99">
        <v>6</v>
      </c>
      <c r="K169" s="51" t="s">
        <v>254</v>
      </c>
    </row>
    <row r="170" spans="1:11" hidden="1" x14ac:dyDescent="0.3">
      <c r="A170" s="47">
        <v>153</v>
      </c>
      <c r="B170" s="48">
        <v>12</v>
      </c>
      <c r="C170" s="94" t="s">
        <v>25</v>
      </c>
      <c r="D170" s="302">
        <v>47</v>
      </c>
      <c r="E170" s="49">
        <v>41.67</v>
      </c>
      <c r="F170" s="50">
        <v>45550</v>
      </c>
      <c r="G170" s="98">
        <v>2</v>
      </c>
      <c r="H170" s="49">
        <v>10</v>
      </c>
      <c r="I170" s="50">
        <v>45550</v>
      </c>
      <c r="J170" s="99">
        <v>2</v>
      </c>
      <c r="K170" s="51" t="s">
        <v>257</v>
      </c>
    </row>
    <row r="171" spans="1:11" hidden="1" x14ac:dyDescent="0.3">
      <c r="A171" s="47">
        <v>154</v>
      </c>
      <c r="B171" s="48">
        <v>13</v>
      </c>
      <c r="C171" s="94" t="s">
        <v>26</v>
      </c>
      <c r="D171" s="302">
        <v>46</v>
      </c>
      <c r="E171" s="49">
        <v>100</v>
      </c>
      <c r="F171" s="50">
        <v>45550</v>
      </c>
      <c r="G171" s="98">
        <v>2</v>
      </c>
      <c r="H171" s="49">
        <v>10</v>
      </c>
      <c r="I171" s="50">
        <v>45550</v>
      </c>
      <c r="J171" s="99">
        <v>2</v>
      </c>
      <c r="K171" s="51" t="s">
        <v>257</v>
      </c>
    </row>
    <row r="172" spans="1:11" hidden="1" x14ac:dyDescent="0.3">
      <c r="A172" s="47">
        <v>155</v>
      </c>
      <c r="B172" s="48">
        <v>3</v>
      </c>
      <c r="C172" s="94" t="s">
        <v>16</v>
      </c>
      <c r="D172" s="302">
        <v>37</v>
      </c>
      <c r="E172" s="49">
        <v>100</v>
      </c>
      <c r="F172" s="50">
        <v>45580</v>
      </c>
      <c r="G172" s="98">
        <v>7</v>
      </c>
      <c r="H172" s="49">
        <v>20</v>
      </c>
      <c r="I172" s="50">
        <v>45580</v>
      </c>
      <c r="J172" s="99">
        <v>7</v>
      </c>
      <c r="K172" s="51" t="s">
        <v>261</v>
      </c>
    </row>
    <row r="173" spans="1:11" hidden="1" x14ac:dyDescent="0.3">
      <c r="A173" s="47">
        <v>156</v>
      </c>
      <c r="B173" s="48">
        <v>1</v>
      </c>
      <c r="C173" s="94" t="s">
        <v>14</v>
      </c>
      <c r="D173" s="302">
        <v>49</v>
      </c>
      <c r="E173" s="49">
        <v>50</v>
      </c>
      <c r="F173" s="50">
        <v>45580</v>
      </c>
      <c r="G173" s="98">
        <v>2</v>
      </c>
      <c r="H173" s="49">
        <v>6</v>
      </c>
      <c r="I173" s="50">
        <v>45580</v>
      </c>
      <c r="J173" s="99">
        <v>2</v>
      </c>
      <c r="K173" s="51" t="s">
        <v>257</v>
      </c>
    </row>
    <row r="174" spans="1:11" hidden="1" x14ac:dyDescent="0.3">
      <c r="A174" s="47">
        <v>157</v>
      </c>
      <c r="B174" s="48">
        <v>13</v>
      </c>
      <c r="C174" s="94" t="s">
        <v>26</v>
      </c>
      <c r="D174" s="302">
        <v>46</v>
      </c>
      <c r="E174" s="49">
        <v>100</v>
      </c>
      <c r="F174" s="50">
        <v>45580</v>
      </c>
      <c r="G174" s="98">
        <v>3</v>
      </c>
      <c r="H174" s="49">
        <v>10</v>
      </c>
      <c r="I174" s="50">
        <v>45580</v>
      </c>
      <c r="J174" s="99">
        <v>3</v>
      </c>
      <c r="K174" s="51" t="s">
        <v>256</v>
      </c>
    </row>
    <row r="175" spans="1:11" hidden="1" x14ac:dyDescent="0.3">
      <c r="A175" s="47">
        <v>158</v>
      </c>
      <c r="B175" s="48">
        <v>9</v>
      </c>
      <c r="C175" s="94" t="s">
        <v>22</v>
      </c>
      <c r="D175" s="302">
        <v>42</v>
      </c>
      <c r="E175" s="49">
        <v>85.71</v>
      </c>
      <c r="F175" s="50">
        <v>45580</v>
      </c>
      <c r="G175" s="98">
        <v>5</v>
      </c>
      <c r="H175" s="49">
        <v>12</v>
      </c>
      <c r="I175" s="50">
        <v>45580</v>
      </c>
      <c r="J175" s="99">
        <v>5</v>
      </c>
      <c r="K175" s="51" t="s">
        <v>262</v>
      </c>
    </row>
    <row r="176" spans="1:11" hidden="1" x14ac:dyDescent="0.3">
      <c r="A176" s="47">
        <v>159</v>
      </c>
      <c r="B176" s="48">
        <v>11</v>
      </c>
      <c r="C176" s="94" t="s">
        <v>24</v>
      </c>
      <c r="D176" s="302">
        <v>38</v>
      </c>
      <c r="E176" s="49">
        <v>50</v>
      </c>
      <c r="F176" s="50">
        <v>45580</v>
      </c>
      <c r="G176" s="98">
        <v>7</v>
      </c>
      <c r="H176" s="49">
        <v>12</v>
      </c>
      <c r="I176" s="50">
        <v>45580</v>
      </c>
      <c r="J176" s="99">
        <v>7</v>
      </c>
      <c r="K176" s="51" t="s">
        <v>261</v>
      </c>
    </row>
    <row r="177" spans="1:11" hidden="1" x14ac:dyDescent="0.3">
      <c r="A177" s="47">
        <v>160</v>
      </c>
      <c r="B177" s="48">
        <v>12</v>
      </c>
      <c r="C177" s="94" t="s">
        <v>25</v>
      </c>
      <c r="D177" s="302">
        <v>47</v>
      </c>
      <c r="E177" s="49">
        <v>41.67</v>
      </c>
      <c r="F177" s="50">
        <v>45580</v>
      </c>
      <c r="G177" s="98">
        <v>3</v>
      </c>
      <c r="H177" s="49">
        <v>10</v>
      </c>
      <c r="I177" s="50">
        <v>45580</v>
      </c>
      <c r="J177" s="99">
        <v>3</v>
      </c>
      <c r="K177" s="51" t="s">
        <v>256</v>
      </c>
    </row>
    <row r="178" spans="1:11" hidden="1" x14ac:dyDescent="0.3">
      <c r="A178" s="47">
        <v>161</v>
      </c>
      <c r="B178" s="48">
        <v>8</v>
      </c>
      <c r="C178" s="94" t="s">
        <v>21</v>
      </c>
      <c r="D178" s="302">
        <v>50</v>
      </c>
      <c r="E178" s="49">
        <v>100</v>
      </c>
      <c r="F178" s="50">
        <v>45580</v>
      </c>
      <c r="G178" s="98">
        <v>1</v>
      </c>
      <c r="H178" s="49">
        <v>8</v>
      </c>
      <c r="I178" s="50">
        <v>45580</v>
      </c>
      <c r="J178" s="99">
        <v>1</v>
      </c>
      <c r="K178" s="51" t="s">
        <v>253</v>
      </c>
    </row>
    <row r="179" spans="1:11" hidden="1" x14ac:dyDescent="0.3">
      <c r="A179" s="47">
        <v>162</v>
      </c>
      <c r="B179" s="48">
        <v>6</v>
      </c>
      <c r="C179" s="94" t="s">
        <v>19</v>
      </c>
      <c r="D179" s="302">
        <v>48</v>
      </c>
      <c r="E179" s="49">
        <v>100</v>
      </c>
      <c r="F179" s="50">
        <v>45580</v>
      </c>
      <c r="G179" s="98">
        <v>2</v>
      </c>
      <c r="H179" s="49">
        <v>12</v>
      </c>
      <c r="I179" s="50">
        <v>45580</v>
      </c>
      <c r="J179" s="99">
        <v>2</v>
      </c>
      <c r="K179" s="51" t="s">
        <v>257</v>
      </c>
    </row>
    <row r="180" spans="1:11" hidden="1" x14ac:dyDescent="0.3">
      <c r="A180" s="47">
        <v>163</v>
      </c>
      <c r="B180" s="48">
        <v>10</v>
      </c>
      <c r="C180" s="94" t="s">
        <v>23</v>
      </c>
      <c r="D180" s="302">
        <v>44</v>
      </c>
      <c r="E180" s="49">
        <v>280</v>
      </c>
      <c r="F180" s="50">
        <v>45580</v>
      </c>
      <c r="G180" s="98">
        <v>4</v>
      </c>
      <c r="H180" s="49">
        <v>14</v>
      </c>
      <c r="I180" s="50">
        <v>45580</v>
      </c>
      <c r="J180" s="99">
        <v>4</v>
      </c>
      <c r="K180" s="51" t="s">
        <v>265</v>
      </c>
    </row>
    <row r="181" spans="1:11" hidden="1" x14ac:dyDescent="0.3">
      <c r="A181" s="322" t="s">
        <v>311</v>
      </c>
      <c r="B181" s="48">
        <v>14</v>
      </c>
      <c r="C181" s="94" t="s">
        <v>16</v>
      </c>
      <c r="D181" s="60" t="s">
        <v>407</v>
      </c>
      <c r="E181" s="49">
        <v>13.35</v>
      </c>
      <c r="F181" s="50">
        <v>45580</v>
      </c>
      <c r="G181" s="98" t="s">
        <v>407</v>
      </c>
      <c r="H181" s="49">
        <v>0</v>
      </c>
      <c r="I181" s="50">
        <v>45580</v>
      </c>
      <c r="J181" s="99" t="s">
        <v>407</v>
      </c>
      <c r="K181" s="51" t="s">
        <v>310</v>
      </c>
    </row>
    <row r="182" spans="1:11" hidden="1" x14ac:dyDescent="0.3">
      <c r="A182" s="322" t="s">
        <v>312</v>
      </c>
      <c r="B182" s="48">
        <v>14</v>
      </c>
      <c r="C182" s="94" t="s">
        <v>17</v>
      </c>
      <c r="D182" s="60" t="s">
        <v>407</v>
      </c>
      <c r="E182" s="49">
        <v>13.35</v>
      </c>
      <c r="F182" s="50">
        <v>45580</v>
      </c>
      <c r="G182" s="98" t="s">
        <v>407</v>
      </c>
      <c r="H182" s="49">
        <v>0</v>
      </c>
      <c r="I182" s="50">
        <v>45580</v>
      </c>
      <c r="J182" s="99" t="s">
        <v>407</v>
      </c>
      <c r="K182" s="51" t="s">
        <v>310</v>
      </c>
    </row>
    <row r="183" spans="1:11" hidden="1" x14ac:dyDescent="0.3">
      <c r="A183" s="310" t="s">
        <v>328</v>
      </c>
      <c r="B183" s="48">
        <v>10</v>
      </c>
      <c r="C183" s="94" t="s">
        <v>23</v>
      </c>
      <c r="D183" s="302">
        <v>44</v>
      </c>
      <c r="E183" s="49">
        <v>0</v>
      </c>
      <c r="F183" s="50">
        <v>45580</v>
      </c>
      <c r="G183" s="98">
        <v>5</v>
      </c>
      <c r="H183" s="49">
        <v>14</v>
      </c>
      <c r="I183" s="50">
        <v>45580</v>
      </c>
      <c r="J183" s="99">
        <v>5</v>
      </c>
      <c r="K183" s="51" t="s">
        <v>288</v>
      </c>
    </row>
    <row r="184" spans="1:11" hidden="1" x14ac:dyDescent="0.3">
      <c r="A184" s="310" t="s">
        <v>387</v>
      </c>
      <c r="B184" s="48">
        <v>19</v>
      </c>
      <c r="C184" s="94" t="s">
        <v>75</v>
      </c>
      <c r="D184" s="60" t="s">
        <v>412</v>
      </c>
      <c r="E184" s="49">
        <v>200</v>
      </c>
      <c r="F184" s="50">
        <v>45580</v>
      </c>
      <c r="G184" s="98" t="s">
        <v>412</v>
      </c>
      <c r="H184" s="49">
        <v>0</v>
      </c>
      <c r="I184" s="50">
        <v>45580</v>
      </c>
      <c r="J184" s="99" t="s">
        <v>412</v>
      </c>
      <c r="K184" s="51" t="s">
        <v>271</v>
      </c>
    </row>
    <row r="185" spans="1:11" hidden="1" x14ac:dyDescent="0.3">
      <c r="A185" s="47">
        <v>164</v>
      </c>
      <c r="B185" s="48">
        <v>11</v>
      </c>
      <c r="C185" s="94" t="s">
        <v>24</v>
      </c>
      <c r="D185" s="302">
        <v>38</v>
      </c>
      <c r="E185" s="49">
        <v>50</v>
      </c>
      <c r="F185" s="50">
        <v>45611</v>
      </c>
      <c r="G185" s="98">
        <v>8</v>
      </c>
      <c r="H185" s="49">
        <v>12</v>
      </c>
      <c r="I185" s="50">
        <v>45611</v>
      </c>
      <c r="J185" s="99">
        <v>8</v>
      </c>
      <c r="K185" s="51" t="s">
        <v>300</v>
      </c>
    </row>
    <row r="186" spans="1:11" hidden="1" x14ac:dyDescent="0.3">
      <c r="A186" s="47">
        <v>165</v>
      </c>
      <c r="B186" s="48">
        <v>9</v>
      </c>
      <c r="C186" s="94" t="s">
        <v>22</v>
      </c>
      <c r="D186" s="302">
        <v>42</v>
      </c>
      <c r="E186" s="49">
        <v>85.71</v>
      </c>
      <c r="F186" s="50">
        <v>45611</v>
      </c>
      <c r="G186" s="98">
        <v>6</v>
      </c>
      <c r="H186" s="49">
        <v>12</v>
      </c>
      <c r="I186" s="50">
        <v>45611</v>
      </c>
      <c r="J186" s="99">
        <v>6</v>
      </c>
      <c r="K186" s="51" t="s">
        <v>254</v>
      </c>
    </row>
    <row r="187" spans="1:11" hidden="1" x14ac:dyDescent="0.3">
      <c r="A187" s="47">
        <v>166</v>
      </c>
      <c r="B187" s="48">
        <v>12</v>
      </c>
      <c r="C187" s="94" t="s">
        <v>25</v>
      </c>
      <c r="D187" s="302">
        <v>47</v>
      </c>
      <c r="E187" s="49">
        <v>41.67</v>
      </c>
      <c r="F187" s="50">
        <v>45611</v>
      </c>
      <c r="G187" s="98">
        <v>4</v>
      </c>
      <c r="H187" s="49">
        <v>10</v>
      </c>
      <c r="I187" s="50">
        <v>45611</v>
      </c>
      <c r="J187" s="99">
        <v>4</v>
      </c>
      <c r="K187" s="51" t="s">
        <v>255</v>
      </c>
    </row>
    <row r="188" spans="1:11" hidden="1" x14ac:dyDescent="0.3">
      <c r="A188" s="47">
        <v>167</v>
      </c>
      <c r="B188" s="48">
        <v>1</v>
      </c>
      <c r="C188" s="94" t="s">
        <v>14</v>
      </c>
      <c r="D188" s="302">
        <v>49</v>
      </c>
      <c r="E188" s="49">
        <v>50</v>
      </c>
      <c r="F188" s="50">
        <v>45611</v>
      </c>
      <c r="G188" s="98">
        <v>3</v>
      </c>
      <c r="H188" s="49">
        <v>6</v>
      </c>
      <c r="I188" s="50">
        <v>45611</v>
      </c>
      <c r="J188" s="99">
        <v>3</v>
      </c>
      <c r="K188" s="51" t="s">
        <v>256</v>
      </c>
    </row>
    <row r="189" spans="1:11" hidden="1" x14ac:dyDescent="0.3">
      <c r="A189" s="47">
        <v>168</v>
      </c>
      <c r="B189" s="48">
        <v>8</v>
      </c>
      <c r="C189" s="94" t="s">
        <v>21</v>
      </c>
      <c r="D189" s="302">
        <v>50</v>
      </c>
      <c r="E189" s="49">
        <v>100</v>
      </c>
      <c r="F189" s="50">
        <v>45611</v>
      </c>
      <c r="G189" s="98">
        <v>2</v>
      </c>
      <c r="H189" s="49">
        <v>8</v>
      </c>
      <c r="I189" s="50">
        <v>45611</v>
      </c>
      <c r="J189" s="99">
        <v>50</v>
      </c>
      <c r="K189" s="51" t="s">
        <v>257</v>
      </c>
    </row>
    <row r="190" spans="1:11" hidden="1" x14ac:dyDescent="0.3">
      <c r="A190" s="47">
        <v>169</v>
      </c>
      <c r="B190" s="48">
        <v>4</v>
      </c>
      <c r="C190" s="94" t="s">
        <v>17</v>
      </c>
      <c r="D190" s="302">
        <v>51</v>
      </c>
      <c r="E190" s="49">
        <v>62.5</v>
      </c>
      <c r="F190" s="50">
        <v>45611</v>
      </c>
      <c r="G190" s="98">
        <v>1</v>
      </c>
      <c r="H190" s="49">
        <v>5</v>
      </c>
      <c r="I190" s="50">
        <v>45611</v>
      </c>
      <c r="J190" s="99">
        <v>1</v>
      </c>
      <c r="K190" s="51" t="s">
        <v>253</v>
      </c>
    </row>
    <row r="191" spans="1:11" hidden="1" x14ac:dyDescent="0.3">
      <c r="A191" s="47">
        <v>170</v>
      </c>
      <c r="B191" s="48">
        <v>5</v>
      </c>
      <c r="C191" s="94" t="s">
        <v>18</v>
      </c>
      <c r="D191" s="302">
        <v>52</v>
      </c>
      <c r="E191" s="49">
        <v>62.5</v>
      </c>
      <c r="F191" s="50">
        <v>45611</v>
      </c>
      <c r="G191" s="98">
        <v>1</v>
      </c>
      <c r="H191" s="49">
        <v>5</v>
      </c>
      <c r="I191" s="50">
        <v>45611</v>
      </c>
      <c r="J191" s="99">
        <v>1</v>
      </c>
      <c r="K191" s="51" t="s">
        <v>253</v>
      </c>
    </row>
    <row r="192" spans="1:11" hidden="1" x14ac:dyDescent="0.3">
      <c r="A192" s="47">
        <v>171</v>
      </c>
      <c r="B192" s="48">
        <v>10</v>
      </c>
      <c r="C192" s="94" t="s">
        <v>23</v>
      </c>
      <c r="D192" s="302">
        <v>53</v>
      </c>
      <c r="E192" s="49">
        <v>125</v>
      </c>
      <c r="F192" s="50">
        <v>45611</v>
      </c>
      <c r="G192" s="98">
        <v>1</v>
      </c>
      <c r="H192" s="49">
        <v>10</v>
      </c>
      <c r="I192" s="50">
        <v>45611</v>
      </c>
      <c r="J192" s="99">
        <v>1</v>
      </c>
      <c r="K192" s="51" t="s">
        <v>253</v>
      </c>
    </row>
    <row r="193" spans="1:11" hidden="1" x14ac:dyDescent="0.3">
      <c r="A193" s="47">
        <v>172</v>
      </c>
      <c r="B193" s="48">
        <v>3</v>
      </c>
      <c r="C193" s="94" t="s">
        <v>16</v>
      </c>
      <c r="D193" s="302">
        <v>37</v>
      </c>
      <c r="E193" s="49">
        <v>100</v>
      </c>
      <c r="F193" s="50">
        <v>45611</v>
      </c>
      <c r="G193" s="98">
        <v>8</v>
      </c>
      <c r="H193" s="49">
        <v>20</v>
      </c>
      <c r="I193" s="50">
        <v>45611</v>
      </c>
      <c r="J193" s="99">
        <v>8</v>
      </c>
      <c r="K193" s="51" t="s">
        <v>301</v>
      </c>
    </row>
    <row r="194" spans="1:11" hidden="1" x14ac:dyDescent="0.3">
      <c r="A194" s="47">
        <v>173</v>
      </c>
      <c r="B194" s="48">
        <v>13</v>
      </c>
      <c r="C194" s="94" t="s">
        <v>26</v>
      </c>
      <c r="D194" s="302">
        <v>46</v>
      </c>
      <c r="E194" s="49">
        <v>100</v>
      </c>
      <c r="F194" s="50">
        <v>45611</v>
      </c>
      <c r="G194" s="98">
        <v>4</v>
      </c>
      <c r="H194" s="49">
        <v>10</v>
      </c>
      <c r="I194" s="50">
        <v>45611</v>
      </c>
      <c r="J194" s="99">
        <v>4</v>
      </c>
      <c r="K194" s="51" t="s">
        <v>255</v>
      </c>
    </row>
    <row r="195" spans="1:11" hidden="1" x14ac:dyDescent="0.3">
      <c r="A195" s="47">
        <v>174</v>
      </c>
      <c r="B195" s="48">
        <v>9</v>
      </c>
      <c r="C195" s="94" t="s">
        <v>22</v>
      </c>
      <c r="D195" s="302">
        <v>42</v>
      </c>
      <c r="E195" s="49">
        <v>85.71</v>
      </c>
      <c r="F195" s="50">
        <v>45611</v>
      </c>
      <c r="G195" s="98">
        <v>7</v>
      </c>
      <c r="H195" s="49">
        <v>0</v>
      </c>
      <c r="I195" s="50">
        <v>45611</v>
      </c>
      <c r="J195" s="99">
        <v>7</v>
      </c>
      <c r="K195" s="51" t="s">
        <v>306</v>
      </c>
    </row>
    <row r="196" spans="1:11" hidden="1" x14ac:dyDescent="0.3">
      <c r="A196" s="47">
        <v>175</v>
      </c>
      <c r="B196" s="48">
        <v>9</v>
      </c>
      <c r="C196" s="94" t="s">
        <v>22</v>
      </c>
      <c r="D196" s="302">
        <v>42</v>
      </c>
      <c r="E196" s="49">
        <v>0</v>
      </c>
      <c r="F196" s="50">
        <v>45611</v>
      </c>
      <c r="G196" s="98">
        <v>7</v>
      </c>
      <c r="H196" s="49">
        <v>12</v>
      </c>
      <c r="I196" s="50">
        <v>45611</v>
      </c>
      <c r="J196" s="99">
        <v>7</v>
      </c>
      <c r="K196" s="51" t="s">
        <v>308</v>
      </c>
    </row>
    <row r="197" spans="1:11" hidden="1" x14ac:dyDescent="0.3">
      <c r="A197" s="322" t="s">
        <v>313</v>
      </c>
      <c r="B197" s="48">
        <v>14</v>
      </c>
      <c r="C197" s="94" t="s">
        <v>15</v>
      </c>
      <c r="D197" s="100" t="s">
        <v>407</v>
      </c>
      <c r="E197" s="49">
        <v>13.35</v>
      </c>
      <c r="F197" s="50">
        <v>45611</v>
      </c>
      <c r="G197" s="98" t="s">
        <v>407</v>
      </c>
      <c r="H197" s="49">
        <v>0</v>
      </c>
      <c r="I197" s="50">
        <v>45611</v>
      </c>
      <c r="J197" s="99" t="s">
        <v>407</v>
      </c>
      <c r="K197" s="51" t="s">
        <v>310</v>
      </c>
    </row>
    <row r="198" spans="1:11" hidden="1" x14ac:dyDescent="0.3">
      <c r="A198" s="322" t="s">
        <v>314</v>
      </c>
      <c r="B198" s="86">
        <v>14</v>
      </c>
      <c r="C198" s="69" t="s">
        <v>19</v>
      </c>
      <c r="D198" s="100" t="s">
        <v>407</v>
      </c>
      <c r="E198" s="49">
        <v>13.35</v>
      </c>
      <c r="F198" s="50">
        <v>45611</v>
      </c>
      <c r="G198" s="78" t="s">
        <v>407</v>
      </c>
      <c r="H198" s="49">
        <v>0</v>
      </c>
      <c r="I198" s="50">
        <v>45611</v>
      </c>
      <c r="J198" s="82" t="s">
        <v>407</v>
      </c>
      <c r="K198" s="51" t="s">
        <v>310</v>
      </c>
    </row>
    <row r="199" spans="1:11" hidden="1" x14ac:dyDescent="0.3">
      <c r="A199" s="322" t="s">
        <v>315</v>
      </c>
      <c r="B199" s="86">
        <v>14</v>
      </c>
      <c r="C199" s="69" t="s">
        <v>20</v>
      </c>
      <c r="D199" s="100" t="s">
        <v>407</v>
      </c>
      <c r="E199" s="49">
        <v>13.35</v>
      </c>
      <c r="F199" s="50">
        <v>45611</v>
      </c>
      <c r="G199" s="78" t="s">
        <v>407</v>
      </c>
      <c r="H199" s="49">
        <v>0</v>
      </c>
      <c r="I199" s="50">
        <v>45611</v>
      </c>
      <c r="J199" s="82" t="s">
        <v>407</v>
      </c>
      <c r="K199" s="51" t="s">
        <v>310</v>
      </c>
    </row>
    <row r="200" spans="1:11" hidden="1" x14ac:dyDescent="0.3">
      <c r="A200" s="322" t="s">
        <v>316</v>
      </c>
      <c r="B200" s="86">
        <v>14</v>
      </c>
      <c r="C200" s="69" t="s">
        <v>21</v>
      </c>
      <c r="D200" s="100" t="s">
        <v>407</v>
      </c>
      <c r="E200" s="49">
        <v>13.35</v>
      </c>
      <c r="F200" s="50">
        <v>45611</v>
      </c>
      <c r="G200" s="78" t="s">
        <v>407</v>
      </c>
      <c r="H200" s="49">
        <v>0</v>
      </c>
      <c r="I200" s="50">
        <v>45611</v>
      </c>
      <c r="J200" s="82" t="s">
        <v>407</v>
      </c>
      <c r="K200" s="51" t="s">
        <v>310</v>
      </c>
    </row>
    <row r="201" spans="1:11" hidden="1" x14ac:dyDescent="0.3">
      <c r="A201" s="322" t="s">
        <v>317</v>
      </c>
      <c r="B201" s="86">
        <v>14</v>
      </c>
      <c r="C201" s="69" t="s">
        <v>22</v>
      </c>
      <c r="D201" s="100" t="s">
        <v>407</v>
      </c>
      <c r="E201" s="49">
        <v>13.35</v>
      </c>
      <c r="F201" s="50">
        <v>45611</v>
      </c>
      <c r="G201" s="78" t="s">
        <v>407</v>
      </c>
      <c r="H201" s="49">
        <v>0</v>
      </c>
      <c r="I201" s="50">
        <v>45611</v>
      </c>
      <c r="J201" s="82" t="s">
        <v>407</v>
      </c>
      <c r="K201" s="51" t="s">
        <v>310</v>
      </c>
    </row>
    <row r="202" spans="1:11" hidden="1" x14ac:dyDescent="0.3">
      <c r="A202" s="322" t="s">
        <v>318</v>
      </c>
      <c r="B202" s="86">
        <v>14</v>
      </c>
      <c r="C202" s="69" t="s">
        <v>23</v>
      </c>
      <c r="D202" s="100" t="s">
        <v>407</v>
      </c>
      <c r="E202" s="49">
        <v>13.35</v>
      </c>
      <c r="F202" s="50">
        <v>45611</v>
      </c>
      <c r="G202" s="78" t="s">
        <v>407</v>
      </c>
      <c r="H202" s="49">
        <v>0</v>
      </c>
      <c r="I202" s="50">
        <v>45611</v>
      </c>
      <c r="J202" s="82" t="s">
        <v>407</v>
      </c>
      <c r="K202" s="51" t="s">
        <v>310</v>
      </c>
    </row>
    <row r="203" spans="1:11" hidden="1" x14ac:dyDescent="0.3">
      <c r="A203" s="322" t="s">
        <v>319</v>
      </c>
      <c r="B203" s="86">
        <v>14</v>
      </c>
      <c r="C203" s="69" t="s">
        <v>24</v>
      </c>
      <c r="D203" s="100" t="s">
        <v>407</v>
      </c>
      <c r="E203" s="49">
        <v>13.35</v>
      </c>
      <c r="F203" s="50">
        <v>45611</v>
      </c>
      <c r="G203" s="78" t="s">
        <v>407</v>
      </c>
      <c r="H203" s="250">
        <v>0</v>
      </c>
      <c r="I203" s="50">
        <v>45611</v>
      </c>
      <c r="J203" s="82" t="s">
        <v>407</v>
      </c>
      <c r="K203" s="51" t="s">
        <v>310</v>
      </c>
    </row>
    <row r="204" spans="1:11" hidden="1" x14ac:dyDescent="0.3">
      <c r="A204" s="322" t="s">
        <v>320</v>
      </c>
      <c r="B204" s="86">
        <v>14</v>
      </c>
      <c r="C204" s="69" t="s">
        <v>25</v>
      </c>
      <c r="D204" s="100" t="s">
        <v>407</v>
      </c>
      <c r="E204" s="49">
        <v>13.35</v>
      </c>
      <c r="F204" s="50">
        <v>45611</v>
      </c>
      <c r="G204" s="78" t="s">
        <v>407</v>
      </c>
      <c r="H204" s="49">
        <v>0</v>
      </c>
      <c r="I204" s="50">
        <v>45611</v>
      </c>
      <c r="J204" s="82" t="s">
        <v>407</v>
      </c>
      <c r="K204" s="51" t="s">
        <v>310</v>
      </c>
    </row>
    <row r="205" spans="1:11" hidden="1" x14ac:dyDescent="0.3">
      <c r="A205" s="47">
        <v>176</v>
      </c>
      <c r="B205" s="48">
        <v>6</v>
      </c>
      <c r="C205" s="94" t="s">
        <v>19</v>
      </c>
      <c r="D205" s="302">
        <v>48</v>
      </c>
      <c r="E205" s="49">
        <v>100</v>
      </c>
      <c r="F205" s="50">
        <v>45611</v>
      </c>
      <c r="G205" s="98">
        <v>3</v>
      </c>
      <c r="H205" s="49">
        <v>12</v>
      </c>
      <c r="I205" s="50">
        <v>45611</v>
      </c>
      <c r="J205" s="99">
        <v>3</v>
      </c>
      <c r="K205" s="51" t="s">
        <v>256</v>
      </c>
    </row>
    <row r="206" spans="1:11" hidden="1" x14ac:dyDescent="0.3">
      <c r="A206" s="47">
        <v>177</v>
      </c>
      <c r="B206" s="48">
        <v>11</v>
      </c>
      <c r="C206" s="94" t="s">
        <v>24</v>
      </c>
      <c r="D206" s="302">
        <v>38</v>
      </c>
      <c r="E206" s="49">
        <v>50</v>
      </c>
      <c r="F206" s="50">
        <v>45641</v>
      </c>
      <c r="G206" s="98">
        <v>9</v>
      </c>
      <c r="H206" s="49">
        <v>12</v>
      </c>
      <c r="I206" s="50">
        <v>45641</v>
      </c>
      <c r="J206" s="99">
        <v>9</v>
      </c>
      <c r="K206" s="51" t="s">
        <v>322</v>
      </c>
    </row>
    <row r="207" spans="1:11" hidden="1" x14ac:dyDescent="0.3">
      <c r="A207" s="47">
        <v>178</v>
      </c>
      <c r="B207" s="48">
        <v>3</v>
      </c>
      <c r="C207" s="94" t="s">
        <v>16</v>
      </c>
      <c r="D207" s="302">
        <v>37</v>
      </c>
      <c r="E207" s="49">
        <v>100</v>
      </c>
      <c r="F207" s="50">
        <v>45641</v>
      </c>
      <c r="G207" s="98">
        <v>9</v>
      </c>
      <c r="H207" s="49">
        <v>20</v>
      </c>
      <c r="I207" s="50">
        <v>45641</v>
      </c>
      <c r="J207" s="99">
        <v>9</v>
      </c>
      <c r="K207" s="51" t="s">
        <v>322</v>
      </c>
    </row>
    <row r="208" spans="1:11" hidden="1" x14ac:dyDescent="0.3">
      <c r="A208" s="47">
        <v>179</v>
      </c>
      <c r="B208" s="48">
        <v>9</v>
      </c>
      <c r="C208" s="94" t="s">
        <v>22</v>
      </c>
      <c r="D208" s="311">
        <v>55</v>
      </c>
      <c r="E208" s="49">
        <v>100</v>
      </c>
      <c r="F208" s="50">
        <v>45641</v>
      </c>
      <c r="G208" s="98">
        <v>1</v>
      </c>
      <c r="H208" s="49">
        <v>20</v>
      </c>
      <c r="I208" s="50">
        <v>45641</v>
      </c>
      <c r="J208" s="99">
        <v>1</v>
      </c>
      <c r="K208" s="51" t="s">
        <v>253</v>
      </c>
    </row>
    <row r="209" spans="1:11" hidden="1" x14ac:dyDescent="0.3">
      <c r="A209" s="47">
        <v>180</v>
      </c>
      <c r="B209" s="48">
        <v>12</v>
      </c>
      <c r="C209" s="94" t="s">
        <v>25</v>
      </c>
      <c r="D209" s="302">
        <v>47</v>
      </c>
      <c r="E209" s="49">
        <v>41.67</v>
      </c>
      <c r="F209" s="50">
        <v>45641</v>
      </c>
      <c r="G209" s="98">
        <v>5</v>
      </c>
      <c r="H209" s="49">
        <v>10</v>
      </c>
      <c r="I209" s="50">
        <v>45641</v>
      </c>
      <c r="J209" s="99">
        <v>5</v>
      </c>
      <c r="K209" s="51" t="s">
        <v>262</v>
      </c>
    </row>
    <row r="210" spans="1:11" hidden="1" x14ac:dyDescent="0.3">
      <c r="A210" s="47">
        <v>181</v>
      </c>
      <c r="B210" s="48">
        <v>6</v>
      </c>
      <c r="C210" s="94" t="s">
        <v>19</v>
      </c>
      <c r="D210" s="302">
        <v>48</v>
      </c>
      <c r="E210" s="49">
        <v>100</v>
      </c>
      <c r="F210" s="50">
        <v>45641</v>
      </c>
      <c r="G210" s="98">
        <v>4</v>
      </c>
      <c r="H210" s="49">
        <v>12</v>
      </c>
      <c r="I210" s="50">
        <v>45641</v>
      </c>
      <c r="J210" s="99">
        <v>4</v>
      </c>
      <c r="K210" s="51" t="s">
        <v>255</v>
      </c>
    </row>
    <row r="211" spans="1:11" hidden="1" x14ac:dyDescent="0.3">
      <c r="A211" s="47">
        <v>182</v>
      </c>
      <c r="B211" s="48">
        <v>1</v>
      </c>
      <c r="C211" s="94" t="s">
        <v>14</v>
      </c>
      <c r="D211" s="302">
        <v>49</v>
      </c>
      <c r="E211" s="49">
        <v>50</v>
      </c>
      <c r="F211" s="50">
        <v>45641</v>
      </c>
      <c r="G211" s="98">
        <v>4</v>
      </c>
      <c r="H211" s="49">
        <v>6</v>
      </c>
      <c r="I211" s="50">
        <v>45641</v>
      </c>
      <c r="J211" s="99">
        <v>4</v>
      </c>
      <c r="K211" s="51" t="s">
        <v>255</v>
      </c>
    </row>
    <row r="212" spans="1:11" hidden="1" x14ac:dyDescent="0.3">
      <c r="A212" s="47">
        <v>183</v>
      </c>
      <c r="B212" s="48">
        <v>8</v>
      </c>
      <c r="C212" s="94" t="s">
        <v>21</v>
      </c>
      <c r="D212" s="302">
        <v>50</v>
      </c>
      <c r="E212" s="49">
        <v>100</v>
      </c>
      <c r="F212" s="50">
        <v>45641</v>
      </c>
      <c r="G212" s="98">
        <v>3</v>
      </c>
      <c r="H212" s="49">
        <v>8</v>
      </c>
      <c r="I212" s="50">
        <v>45641</v>
      </c>
      <c r="J212" s="99">
        <v>3</v>
      </c>
      <c r="K212" s="51" t="s">
        <v>256</v>
      </c>
    </row>
    <row r="213" spans="1:11" hidden="1" x14ac:dyDescent="0.3">
      <c r="A213" s="47">
        <v>184</v>
      </c>
      <c r="B213" s="48">
        <v>4</v>
      </c>
      <c r="C213" s="94" t="s">
        <v>17</v>
      </c>
      <c r="D213" s="302">
        <v>51</v>
      </c>
      <c r="E213" s="49">
        <v>62.5</v>
      </c>
      <c r="F213" s="50">
        <v>45641</v>
      </c>
      <c r="G213" s="98">
        <v>2</v>
      </c>
      <c r="H213" s="49">
        <v>5</v>
      </c>
      <c r="I213" s="50">
        <v>45641</v>
      </c>
      <c r="J213" s="99">
        <v>2</v>
      </c>
      <c r="K213" s="51" t="s">
        <v>257</v>
      </c>
    </row>
    <row r="214" spans="1:11" hidden="1" x14ac:dyDescent="0.3">
      <c r="A214" s="47">
        <v>185</v>
      </c>
      <c r="B214" s="48">
        <v>5</v>
      </c>
      <c r="C214" s="94" t="s">
        <v>18</v>
      </c>
      <c r="D214" s="302">
        <v>52</v>
      </c>
      <c r="E214" s="49">
        <v>62.5</v>
      </c>
      <c r="F214" s="50">
        <v>45641</v>
      </c>
      <c r="G214" s="98">
        <v>2</v>
      </c>
      <c r="H214" s="49">
        <v>5</v>
      </c>
      <c r="I214" s="50">
        <v>45641</v>
      </c>
      <c r="J214" s="99">
        <v>2</v>
      </c>
      <c r="K214" s="51" t="s">
        <v>257</v>
      </c>
    </row>
    <row r="215" spans="1:11" hidden="1" x14ac:dyDescent="0.3">
      <c r="A215" s="47">
        <v>186</v>
      </c>
      <c r="B215" s="48">
        <v>10</v>
      </c>
      <c r="C215" s="94" t="s">
        <v>23</v>
      </c>
      <c r="D215" s="302">
        <v>53</v>
      </c>
      <c r="E215" s="49">
        <v>125</v>
      </c>
      <c r="F215" s="50">
        <v>45641</v>
      </c>
      <c r="G215" s="98">
        <v>2</v>
      </c>
      <c r="H215" s="49">
        <v>10</v>
      </c>
      <c r="I215" s="50">
        <v>45641</v>
      </c>
      <c r="J215" s="99">
        <v>2</v>
      </c>
      <c r="K215" s="51" t="s">
        <v>257</v>
      </c>
    </row>
    <row r="216" spans="1:11" hidden="1" x14ac:dyDescent="0.3">
      <c r="A216" s="47">
        <v>187</v>
      </c>
      <c r="B216" s="48">
        <v>7</v>
      </c>
      <c r="C216" s="94" t="s">
        <v>20</v>
      </c>
      <c r="D216" s="302">
        <v>56</v>
      </c>
      <c r="E216" s="49">
        <v>40</v>
      </c>
      <c r="F216" s="50">
        <v>45641</v>
      </c>
      <c r="G216" s="98">
        <v>1</v>
      </c>
      <c r="H216" s="49">
        <v>4</v>
      </c>
      <c r="I216" s="50">
        <v>45641</v>
      </c>
      <c r="J216" s="99">
        <v>1</v>
      </c>
      <c r="K216" s="51" t="s">
        <v>253</v>
      </c>
    </row>
    <row r="217" spans="1:11" hidden="1" x14ac:dyDescent="0.3">
      <c r="A217" s="322" t="s">
        <v>323</v>
      </c>
      <c r="B217" s="48">
        <v>14</v>
      </c>
      <c r="C217" s="94" t="s">
        <v>26</v>
      </c>
      <c r="D217" s="60" t="s">
        <v>407</v>
      </c>
      <c r="E217" s="49">
        <v>13.35</v>
      </c>
      <c r="F217" s="50">
        <v>45641</v>
      </c>
      <c r="G217" s="98" t="s">
        <v>407</v>
      </c>
      <c r="H217" s="49">
        <v>0</v>
      </c>
      <c r="I217" s="50">
        <v>45641</v>
      </c>
      <c r="J217" s="99" t="s">
        <v>407</v>
      </c>
      <c r="K217" s="51" t="s">
        <v>310</v>
      </c>
    </row>
    <row r="218" spans="1:11" hidden="1" x14ac:dyDescent="0.3">
      <c r="A218" s="322" t="s">
        <v>324</v>
      </c>
      <c r="B218" s="48">
        <v>14</v>
      </c>
      <c r="C218" s="94" t="s">
        <v>18</v>
      </c>
      <c r="D218" s="60" t="s">
        <v>407</v>
      </c>
      <c r="E218" s="49">
        <v>13.35</v>
      </c>
      <c r="F218" s="50">
        <v>45641</v>
      </c>
      <c r="G218" s="98" t="s">
        <v>407</v>
      </c>
      <c r="H218" s="49">
        <v>0</v>
      </c>
      <c r="I218" s="50">
        <v>45641</v>
      </c>
      <c r="J218" s="99" t="s">
        <v>407</v>
      </c>
      <c r="K218" s="51" t="s">
        <v>310</v>
      </c>
    </row>
    <row r="219" spans="1:11" hidden="1" x14ac:dyDescent="0.3">
      <c r="A219" s="47">
        <v>188</v>
      </c>
      <c r="B219" s="48">
        <v>2</v>
      </c>
      <c r="C219" s="94" t="s">
        <v>15</v>
      </c>
      <c r="D219" s="302">
        <v>54</v>
      </c>
      <c r="E219" s="49">
        <v>166.67</v>
      </c>
      <c r="F219" s="50">
        <v>45641</v>
      </c>
      <c r="G219" s="98">
        <v>1</v>
      </c>
      <c r="H219" s="49">
        <v>10</v>
      </c>
      <c r="I219" s="50">
        <v>45641</v>
      </c>
      <c r="J219" s="99">
        <v>1</v>
      </c>
      <c r="K219" s="51" t="s">
        <v>253</v>
      </c>
    </row>
    <row r="220" spans="1:11" hidden="1" x14ac:dyDescent="0.3">
      <c r="A220" s="310" t="s">
        <v>404</v>
      </c>
      <c r="B220" s="48">
        <v>13</v>
      </c>
      <c r="C220" s="94" t="s">
        <v>26</v>
      </c>
      <c r="D220" s="302">
        <v>46</v>
      </c>
      <c r="E220" s="49">
        <v>100</v>
      </c>
      <c r="F220" s="50">
        <v>45641</v>
      </c>
      <c r="G220" s="98">
        <v>5</v>
      </c>
      <c r="H220" s="49">
        <v>0</v>
      </c>
      <c r="I220" s="50">
        <v>45641</v>
      </c>
      <c r="J220" s="99">
        <v>5</v>
      </c>
      <c r="K220" s="51" t="s">
        <v>327</v>
      </c>
    </row>
    <row r="221" spans="1:11" hidden="1" x14ac:dyDescent="0.3">
      <c r="A221" s="310" t="s">
        <v>454</v>
      </c>
      <c r="B221" s="48">
        <v>13</v>
      </c>
      <c r="C221" s="94" t="s">
        <v>26</v>
      </c>
      <c r="D221" s="302">
        <v>46</v>
      </c>
      <c r="E221" s="49">
        <v>0</v>
      </c>
      <c r="F221" s="50">
        <v>45641</v>
      </c>
      <c r="G221" s="98">
        <v>5</v>
      </c>
      <c r="H221" s="49">
        <v>10</v>
      </c>
      <c r="I221" s="50">
        <v>45641</v>
      </c>
      <c r="J221" s="99">
        <v>5</v>
      </c>
      <c r="K221" s="51" t="s">
        <v>308</v>
      </c>
    </row>
    <row r="222" spans="1:11" hidden="1" x14ac:dyDescent="0.3">
      <c r="A222" s="310" t="s">
        <v>455</v>
      </c>
      <c r="B222" s="48">
        <v>8</v>
      </c>
      <c r="C222" s="94" t="s">
        <v>21</v>
      </c>
      <c r="D222" s="302">
        <v>50</v>
      </c>
      <c r="E222" s="49">
        <v>100</v>
      </c>
      <c r="F222" s="50">
        <v>45641</v>
      </c>
      <c r="G222" s="98">
        <v>4</v>
      </c>
      <c r="H222" s="49">
        <v>0</v>
      </c>
      <c r="I222" s="50">
        <v>45641</v>
      </c>
      <c r="J222" s="99">
        <v>4</v>
      </c>
      <c r="K222" s="51" t="s">
        <v>331</v>
      </c>
    </row>
    <row r="223" spans="1:11" hidden="1" x14ac:dyDescent="0.3">
      <c r="A223" s="310" t="s">
        <v>456</v>
      </c>
      <c r="B223" s="48">
        <v>8</v>
      </c>
      <c r="C223" s="94" t="s">
        <v>21</v>
      </c>
      <c r="D223" s="302">
        <v>50</v>
      </c>
      <c r="E223" s="49">
        <v>0</v>
      </c>
      <c r="F223" s="50">
        <v>45641</v>
      </c>
      <c r="G223" s="98">
        <v>4</v>
      </c>
      <c r="H223" s="49">
        <v>8</v>
      </c>
      <c r="I223" s="50">
        <v>45641</v>
      </c>
      <c r="J223" s="99">
        <v>4</v>
      </c>
      <c r="K223" s="51" t="s">
        <v>332</v>
      </c>
    </row>
    <row r="224" spans="1:11" hidden="1" x14ac:dyDescent="0.3">
      <c r="A224" s="47">
        <v>189</v>
      </c>
      <c r="B224" s="48">
        <v>11</v>
      </c>
      <c r="C224" s="94" t="s">
        <v>24</v>
      </c>
      <c r="D224" s="302">
        <v>38</v>
      </c>
      <c r="E224" s="49">
        <v>50</v>
      </c>
      <c r="F224" s="50">
        <v>45672</v>
      </c>
      <c r="G224" s="98">
        <v>10</v>
      </c>
      <c r="H224" s="49">
        <v>12</v>
      </c>
      <c r="I224" s="50">
        <v>45672</v>
      </c>
      <c r="J224" s="99">
        <v>10</v>
      </c>
      <c r="K224" s="51" t="s">
        <v>340</v>
      </c>
    </row>
    <row r="225" spans="1:11" hidden="1" x14ac:dyDescent="0.3">
      <c r="A225" s="47">
        <v>190</v>
      </c>
      <c r="B225" s="48">
        <v>12</v>
      </c>
      <c r="C225" s="94" t="s">
        <v>25</v>
      </c>
      <c r="D225" s="302">
        <v>47</v>
      </c>
      <c r="E225" s="49">
        <v>41.67</v>
      </c>
      <c r="F225" s="50">
        <v>45672</v>
      </c>
      <c r="G225" s="98">
        <v>6</v>
      </c>
      <c r="H225" s="49">
        <v>10</v>
      </c>
      <c r="I225" s="50">
        <v>45672</v>
      </c>
      <c r="J225" s="99">
        <v>6</v>
      </c>
      <c r="K225" s="51" t="s">
        <v>220</v>
      </c>
    </row>
    <row r="226" spans="1:11" hidden="1" x14ac:dyDescent="0.3">
      <c r="A226" s="47">
        <v>191</v>
      </c>
      <c r="B226" s="48">
        <v>1</v>
      </c>
      <c r="C226" s="94" t="s">
        <v>14</v>
      </c>
      <c r="D226" s="302">
        <v>49</v>
      </c>
      <c r="E226" s="49">
        <v>50</v>
      </c>
      <c r="F226" s="50">
        <v>45672</v>
      </c>
      <c r="G226" s="98">
        <v>5</v>
      </c>
      <c r="H226" s="49">
        <v>6</v>
      </c>
      <c r="I226" s="50">
        <v>45672</v>
      </c>
      <c r="J226" s="99">
        <v>5</v>
      </c>
      <c r="K226" s="51" t="s">
        <v>208</v>
      </c>
    </row>
    <row r="227" spans="1:11" hidden="1" x14ac:dyDescent="0.3">
      <c r="A227" s="47">
        <v>192</v>
      </c>
      <c r="B227" s="48">
        <v>4</v>
      </c>
      <c r="C227" s="94" t="s">
        <v>17</v>
      </c>
      <c r="D227" s="302">
        <v>51</v>
      </c>
      <c r="E227" s="49">
        <v>62.5</v>
      </c>
      <c r="F227" s="50">
        <v>45672</v>
      </c>
      <c r="G227" s="98">
        <v>3</v>
      </c>
      <c r="H227" s="49">
        <v>5</v>
      </c>
      <c r="I227" s="50">
        <v>45672</v>
      </c>
      <c r="J227" s="99">
        <v>3</v>
      </c>
      <c r="K227" s="51" t="s">
        <v>341</v>
      </c>
    </row>
    <row r="228" spans="1:11" hidden="1" x14ac:dyDescent="0.3">
      <c r="A228" s="47">
        <v>193</v>
      </c>
      <c r="B228" s="48">
        <v>5</v>
      </c>
      <c r="C228" s="94" t="s">
        <v>18</v>
      </c>
      <c r="D228" s="302">
        <v>52</v>
      </c>
      <c r="E228" s="49">
        <v>62.5</v>
      </c>
      <c r="F228" s="50">
        <v>45672</v>
      </c>
      <c r="G228" s="98">
        <v>3</v>
      </c>
      <c r="H228" s="49">
        <v>5</v>
      </c>
      <c r="I228" s="50">
        <v>45672</v>
      </c>
      <c r="J228" s="99">
        <v>3</v>
      </c>
      <c r="K228" s="51" t="s">
        <v>84</v>
      </c>
    </row>
    <row r="229" spans="1:11" hidden="1" x14ac:dyDescent="0.3">
      <c r="A229" s="47">
        <v>194</v>
      </c>
      <c r="B229" s="48">
        <v>10</v>
      </c>
      <c r="C229" s="94" t="s">
        <v>23</v>
      </c>
      <c r="D229" s="302">
        <v>53</v>
      </c>
      <c r="E229" s="49">
        <v>125</v>
      </c>
      <c r="F229" s="50">
        <v>45672</v>
      </c>
      <c r="G229" s="98">
        <v>3</v>
      </c>
      <c r="H229" s="49">
        <v>10</v>
      </c>
      <c r="I229" s="50">
        <v>45672</v>
      </c>
      <c r="J229" s="99">
        <v>3</v>
      </c>
      <c r="K229" s="51" t="s">
        <v>84</v>
      </c>
    </row>
    <row r="230" spans="1:11" hidden="1" x14ac:dyDescent="0.3">
      <c r="A230" s="47">
        <v>195</v>
      </c>
      <c r="B230" s="48">
        <v>9</v>
      </c>
      <c r="C230" s="94" t="s">
        <v>22</v>
      </c>
      <c r="D230" s="311">
        <v>55</v>
      </c>
      <c r="E230" s="49">
        <v>100</v>
      </c>
      <c r="F230" s="50">
        <v>45672</v>
      </c>
      <c r="G230" s="98">
        <v>2</v>
      </c>
      <c r="H230" s="49">
        <v>20</v>
      </c>
      <c r="I230" s="50">
        <v>45672</v>
      </c>
      <c r="J230" s="99">
        <v>2</v>
      </c>
      <c r="K230" s="51" t="s">
        <v>342</v>
      </c>
    </row>
    <row r="231" spans="1:11" hidden="1" x14ac:dyDescent="0.3">
      <c r="A231" s="47">
        <v>196</v>
      </c>
      <c r="B231" s="48">
        <v>13</v>
      </c>
      <c r="C231" s="94" t="s">
        <v>26</v>
      </c>
      <c r="D231" s="311">
        <v>57</v>
      </c>
      <c r="E231" s="49">
        <v>100</v>
      </c>
      <c r="F231" s="50">
        <v>45672</v>
      </c>
      <c r="G231" s="98">
        <v>1</v>
      </c>
      <c r="H231" s="49">
        <v>20</v>
      </c>
      <c r="I231" s="50">
        <v>45672</v>
      </c>
      <c r="J231" s="99">
        <v>1</v>
      </c>
      <c r="K231" s="51" t="s">
        <v>253</v>
      </c>
    </row>
    <row r="232" spans="1:11" hidden="1" x14ac:dyDescent="0.3">
      <c r="A232" s="47">
        <v>197</v>
      </c>
      <c r="B232" s="48">
        <v>8</v>
      </c>
      <c r="C232" s="94" t="s">
        <v>21</v>
      </c>
      <c r="D232" s="302">
        <v>58</v>
      </c>
      <c r="E232" s="49">
        <v>100</v>
      </c>
      <c r="F232" s="50">
        <v>45672</v>
      </c>
      <c r="G232" s="98">
        <v>1</v>
      </c>
      <c r="H232" s="49">
        <v>10</v>
      </c>
      <c r="I232" s="50">
        <v>45672</v>
      </c>
      <c r="J232" s="99">
        <v>1</v>
      </c>
      <c r="K232" s="51" t="s">
        <v>343</v>
      </c>
    </row>
    <row r="233" spans="1:11" hidden="1" x14ac:dyDescent="0.3">
      <c r="A233" s="47">
        <v>198</v>
      </c>
      <c r="B233" s="48">
        <v>3</v>
      </c>
      <c r="C233" s="94" t="s">
        <v>16</v>
      </c>
      <c r="D233" s="302">
        <v>37</v>
      </c>
      <c r="E233" s="49">
        <v>100</v>
      </c>
      <c r="F233" s="50">
        <v>45672</v>
      </c>
      <c r="G233" s="98">
        <v>10</v>
      </c>
      <c r="H233" s="49">
        <v>20</v>
      </c>
      <c r="I233" s="50">
        <v>45672</v>
      </c>
      <c r="J233" s="99">
        <v>10</v>
      </c>
      <c r="K233" s="51" t="s">
        <v>344</v>
      </c>
    </row>
    <row r="234" spans="1:11" hidden="1" x14ac:dyDescent="0.3">
      <c r="A234" s="47">
        <v>199</v>
      </c>
      <c r="B234" s="48">
        <v>7</v>
      </c>
      <c r="C234" s="94" t="s">
        <v>20</v>
      </c>
      <c r="D234" s="302">
        <v>56</v>
      </c>
      <c r="E234" s="49">
        <v>40</v>
      </c>
      <c r="F234" s="50">
        <v>45672</v>
      </c>
      <c r="G234" s="98">
        <v>2</v>
      </c>
      <c r="H234" s="49">
        <v>4</v>
      </c>
      <c r="I234" s="50">
        <v>45672</v>
      </c>
      <c r="J234" s="99">
        <v>2</v>
      </c>
      <c r="K234" s="51" t="s">
        <v>355</v>
      </c>
    </row>
    <row r="235" spans="1:11" hidden="1" x14ac:dyDescent="0.3">
      <c r="A235" s="310" t="s">
        <v>457</v>
      </c>
      <c r="B235" s="48">
        <v>6</v>
      </c>
      <c r="C235" s="94" t="s">
        <v>19</v>
      </c>
      <c r="D235" s="302">
        <v>48</v>
      </c>
      <c r="E235" s="49">
        <v>100</v>
      </c>
      <c r="F235" s="50">
        <v>45672</v>
      </c>
      <c r="G235" s="98">
        <v>5</v>
      </c>
      <c r="H235" s="49">
        <v>12</v>
      </c>
      <c r="I235" s="50">
        <v>45672</v>
      </c>
      <c r="J235" s="99">
        <v>5</v>
      </c>
      <c r="K235" s="51" t="s">
        <v>356</v>
      </c>
    </row>
    <row r="236" spans="1:11" hidden="1" x14ac:dyDescent="0.3">
      <c r="A236" s="310" t="s">
        <v>458</v>
      </c>
      <c r="B236" s="48">
        <v>6</v>
      </c>
      <c r="C236" s="94" t="s">
        <v>19</v>
      </c>
      <c r="D236" s="302">
        <v>48</v>
      </c>
      <c r="E236" s="49">
        <v>100</v>
      </c>
      <c r="F236" s="50">
        <v>45672</v>
      </c>
      <c r="G236" s="98">
        <v>6</v>
      </c>
      <c r="H236" s="49">
        <v>0</v>
      </c>
      <c r="I236" s="50">
        <v>45672</v>
      </c>
      <c r="J236" s="99">
        <v>6</v>
      </c>
      <c r="K236" s="51" t="s">
        <v>357</v>
      </c>
    </row>
    <row r="237" spans="1:11" hidden="1" x14ac:dyDescent="0.3">
      <c r="A237" s="310" t="s">
        <v>459</v>
      </c>
      <c r="B237" s="48">
        <v>6</v>
      </c>
      <c r="C237" s="94" t="s">
        <v>19</v>
      </c>
      <c r="D237" s="302">
        <v>48</v>
      </c>
      <c r="E237" s="49">
        <v>0</v>
      </c>
      <c r="F237" s="50">
        <v>45672</v>
      </c>
      <c r="G237" s="98">
        <v>6</v>
      </c>
      <c r="H237" s="49">
        <v>12</v>
      </c>
      <c r="I237" s="50">
        <v>45672</v>
      </c>
      <c r="J237" s="99">
        <v>6</v>
      </c>
      <c r="K237" s="51" t="s">
        <v>233</v>
      </c>
    </row>
    <row r="238" spans="1:11" hidden="1" x14ac:dyDescent="0.3">
      <c r="A238" s="47">
        <v>200</v>
      </c>
      <c r="B238" s="48">
        <v>2</v>
      </c>
      <c r="C238" s="94" t="s">
        <v>15</v>
      </c>
      <c r="D238" s="302">
        <v>54</v>
      </c>
      <c r="E238" s="49">
        <v>166.67</v>
      </c>
      <c r="F238" s="50">
        <v>45672</v>
      </c>
      <c r="G238" s="98">
        <v>2</v>
      </c>
      <c r="H238" s="49">
        <v>10</v>
      </c>
      <c r="I238" s="50">
        <v>45672</v>
      </c>
      <c r="J238" s="99">
        <v>2</v>
      </c>
      <c r="K238" s="51" t="s">
        <v>346</v>
      </c>
    </row>
    <row r="239" spans="1:11" hidden="1" x14ac:dyDescent="0.3">
      <c r="A239" s="310" t="s">
        <v>460</v>
      </c>
      <c r="B239" s="48">
        <v>10</v>
      </c>
      <c r="C239" s="94" t="s">
        <v>23</v>
      </c>
      <c r="D239" s="302">
        <v>53</v>
      </c>
      <c r="E239" s="49">
        <v>125</v>
      </c>
      <c r="F239" s="50">
        <v>45672</v>
      </c>
      <c r="G239" s="98">
        <v>4</v>
      </c>
      <c r="H239" s="49">
        <v>0</v>
      </c>
      <c r="I239" s="50">
        <v>45672</v>
      </c>
      <c r="J239" s="99">
        <v>4</v>
      </c>
      <c r="K239" s="51" t="s">
        <v>358</v>
      </c>
    </row>
    <row r="240" spans="1:11" hidden="1" x14ac:dyDescent="0.3">
      <c r="A240" s="310" t="s">
        <v>461</v>
      </c>
      <c r="B240" s="48">
        <v>10</v>
      </c>
      <c r="C240" s="94" t="s">
        <v>23</v>
      </c>
      <c r="D240" s="302">
        <v>53</v>
      </c>
      <c r="E240" s="49">
        <v>0</v>
      </c>
      <c r="F240" s="50">
        <v>45672</v>
      </c>
      <c r="G240" s="98">
        <v>4</v>
      </c>
      <c r="H240" s="49">
        <v>10</v>
      </c>
      <c r="I240" s="50">
        <v>45672</v>
      </c>
      <c r="J240" s="99">
        <v>4</v>
      </c>
      <c r="K240" s="51" t="s">
        <v>233</v>
      </c>
    </row>
    <row r="241" spans="1:11" hidden="1" x14ac:dyDescent="0.3">
      <c r="A241" s="40">
        <v>201</v>
      </c>
      <c r="B241" s="86">
        <v>12</v>
      </c>
      <c r="C241" s="69" t="s">
        <v>25</v>
      </c>
      <c r="D241" s="305">
        <v>59</v>
      </c>
      <c r="E241" s="46">
        <v>80</v>
      </c>
      <c r="F241" s="70">
        <v>45672</v>
      </c>
      <c r="G241" s="78">
        <v>1</v>
      </c>
      <c r="H241" s="46">
        <v>1.6</v>
      </c>
      <c r="I241" s="70">
        <v>45672</v>
      </c>
      <c r="J241" s="82">
        <v>1</v>
      </c>
      <c r="K241" s="53" t="s">
        <v>352</v>
      </c>
    </row>
    <row r="242" spans="1:11" hidden="1" x14ac:dyDescent="0.3">
      <c r="A242" s="40">
        <v>202</v>
      </c>
      <c r="B242" s="48">
        <v>11</v>
      </c>
      <c r="C242" s="94" t="s">
        <v>24</v>
      </c>
      <c r="D242" s="302">
        <v>38</v>
      </c>
      <c r="E242" s="49">
        <v>50</v>
      </c>
      <c r="F242" s="50">
        <v>45704</v>
      </c>
      <c r="G242" s="98">
        <v>11</v>
      </c>
      <c r="H242" s="49">
        <v>12</v>
      </c>
      <c r="I242" s="50">
        <v>45704</v>
      </c>
      <c r="J242" s="99">
        <v>11</v>
      </c>
      <c r="K242" s="51" t="s">
        <v>360</v>
      </c>
    </row>
    <row r="243" spans="1:11" hidden="1" x14ac:dyDescent="0.3">
      <c r="A243" s="40">
        <v>203</v>
      </c>
      <c r="B243" s="48">
        <v>12</v>
      </c>
      <c r="C243" s="94" t="s">
        <v>25</v>
      </c>
      <c r="D243" s="302">
        <v>47</v>
      </c>
      <c r="E243" s="49">
        <v>41.67</v>
      </c>
      <c r="F243" s="50">
        <v>45704</v>
      </c>
      <c r="G243" s="98">
        <v>7</v>
      </c>
      <c r="H243" s="49">
        <v>10</v>
      </c>
      <c r="I243" s="50">
        <v>45704</v>
      </c>
      <c r="J243" s="99">
        <v>7</v>
      </c>
      <c r="K243" s="51" t="s">
        <v>261</v>
      </c>
    </row>
    <row r="244" spans="1:11" hidden="1" x14ac:dyDescent="0.3">
      <c r="A244" s="40">
        <v>204</v>
      </c>
      <c r="B244" s="48">
        <v>1</v>
      </c>
      <c r="C244" s="94" t="s">
        <v>14</v>
      </c>
      <c r="D244" s="302">
        <v>49</v>
      </c>
      <c r="E244" s="49">
        <v>50</v>
      </c>
      <c r="F244" s="50">
        <v>45704</v>
      </c>
      <c r="G244" s="98">
        <v>6</v>
      </c>
      <c r="H244" s="49">
        <v>6</v>
      </c>
      <c r="I244" s="50">
        <v>45704</v>
      </c>
      <c r="J244" s="99">
        <v>6</v>
      </c>
      <c r="K244" s="51" t="s">
        <v>361</v>
      </c>
    </row>
    <row r="245" spans="1:11" hidden="1" x14ac:dyDescent="0.3">
      <c r="A245" s="40">
        <v>205</v>
      </c>
      <c r="B245" s="48">
        <v>4</v>
      </c>
      <c r="C245" s="94" t="s">
        <v>17</v>
      </c>
      <c r="D245" s="302">
        <v>51</v>
      </c>
      <c r="E245" s="49">
        <v>62.5</v>
      </c>
      <c r="F245" s="50">
        <v>45704</v>
      </c>
      <c r="G245" s="98">
        <v>4</v>
      </c>
      <c r="H245" s="49">
        <v>5</v>
      </c>
      <c r="I245" s="50">
        <v>45704</v>
      </c>
      <c r="J245" s="99">
        <v>4</v>
      </c>
      <c r="K245" s="51" t="s">
        <v>362</v>
      </c>
    </row>
    <row r="246" spans="1:11" hidden="1" x14ac:dyDescent="0.3">
      <c r="A246" s="40">
        <v>206</v>
      </c>
      <c r="B246" s="48">
        <v>5</v>
      </c>
      <c r="C246" s="94" t="s">
        <v>18</v>
      </c>
      <c r="D246" s="302">
        <v>52</v>
      </c>
      <c r="E246" s="49">
        <v>62.5</v>
      </c>
      <c r="F246" s="50">
        <v>45704</v>
      </c>
      <c r="G246" s="98">
        <v>4</v>
      </c>
      <c r="H246" s="49">
        <v>5</v>
      </c>
      <c r="I246" s="50">
        <v>45704</v>
      </c>
      <c r="J246" s="99">
        <v>4</v>
      </c>
      <c r="K246" s="51" t="s">
        <v>363</v>
      </c>
    </row>
    <row r="247" spans="1:11" hidden="1" x14ac:dyDescent="0.3">
      <c r="A247" s="40">
        <v>207</v>
      </c>
      <c r="B247" s="48">
        <v>2</v>
      </c>
      <c r="C247" s="94" t="s">
        <v>15</v>
      </c>
      <c r="D247" s="302">
        <v>54</v>
      </c>
      <c r="E247" s="49">
        <v>166.67</v>
      </c>
      <c r="F247" s="50">
        <v>45704</v>
      </c>
      <c r="G247" s="98">
        <v>3</v>
      </c>
      <c r="H247" s="49">
        <v>10</v>
      </c>
      <c r="I247" s="50">
        <v>45704</v>
      </c>
      <c r="J247" s="99">
        <v>3</v>
      </c>
      <c r="K247" s="51" t="s">
        <v>364</v>
      </c>
    </row>
    <row r="248" spans="1:11" hidden="1" x14ac:dyDescent="0.3">
      <c r="A248" s="40">
        <v>208</v>
      </c>
      <c r="B248" s="48">
        <v>9</v>
      </c>
      <c r="C248" s="94" t="s">
        <v>22</v>
      </c>
      <c r="D248" s="311">
        <v>55</v>
      </c>
      <c r="E248" s="49">
        <v>100</v>
      </c>
      <c r="F248" s="50">
        <v>45704</v>
      </c>
      <c r="G248" s="98">
        <v>3</v>
      </c>
      <c r="H248" s="49">
        <v>20</v>
      </c>
      <c r="I248" s="50">
        <v>45704</v>
      </c>
      <c r="J248" s="99">
        <v>3</v>
      </c>
      <c r="K248" s="51" t="s">
        <v>256</v>
      </c>
    </row>
    <row r="249" spans="1:11" hidden="1" x14ac:dyDescent="0.3">
      <c r="A249" s="40">
        <v>209</v>
      </c>
      <c r="B249" s="48">
        <v>7</v>
      </c>
      <c r="C249" s="94" t="s">
        <v>20</v>
      </c>
      <c r="D249" s="302">
        <v>56</v>
      </c>
      <c r="E249" s="49">
        <v>40</v>
      </c>
      <c r="F249" s="50">
        <v>45704</v>
      </c>
      <c r="G249" s="98">
        <v>3</v>
      </c>
      <c r="H249" s="49">
        <v>4</v>
      </c>
      <c r="I249" s="50">
        <v>45704</v>
      </c>
      <c r="J249" s="99">
        <v>3</v>
      </c>
      <c r="K249" s="51" t="s">
        <v>256</v>
      </c>
    </row>
    <row r="250" spans="1:11" hidden="1" x14ac:dyDescent="0.3">
      <c r="A250" s="40">
        <v>210</v>
      </c>
      <c r="B250" s="48">
        <v>13</v>
      </c>
      <c r="C250" s="94" t="s">
        <v>26</v>
      </c>
      <c r="D250" s="311">
        <v>57</v>
      </c>
      <c r="E250" s="49">
        <v>100</v>
      </c>
      <c r="F250" s="50">
        <v>45704</v>
      </c>
      <c r="G250" s="98">
        <v>2</v>
      </c>
      <c r="H250" s="49">
        <v>20</v>
      </c>
      <c r="I250" s="50">
        <v>45704</v>
      </c>
      <c r="J250" s="99">
        <v>2</v>
      </c>
      <c r="K250" s="51" t="s">
        <v>257</v>
      </c>
    </row>
    <row r="251" spans="1:11" hidden="1" x14ac:dyDescent="0.3">
      <c r="A251" s="40">
        <v>211</v>
      </c>
      <c r="B251" s="48">
        <v>8</v>
      </c>
      <c r="C251" s="94" t="s">
        <v>21</v>
      </c>
      <c r="D251" s="302">
        <v>58</v>
      </c>
      <c r="E251" s="49">
        <v>100</v>
      </c>
      <c r="F251" s="50">
        <v>45704</v>
      </c>
      <c r="G251" s="98">
        <v>2</v>
      </c>
      <c r="H251" s="49">
        <v>10</v>
      </c>
      <c r="I251" s="50">
        <v>45704</v>
      </c>
      <c r="J251" s="99">
        <v>2</v>
      </c>
      <c r="K251" s="51" t="s">
        <v>257</v>
      </c>
    </row>
    <row r="252" spans="1:11" hidden="1" x14ac:dyDescent="0.3">
      <c r="A252" s="40">
        <v>212</v>
      </c>
      <c r="B252" s="48">
        <v>6</v>
      </c>
      <c r="C252" s="94" t="s">
        <v>19</v>
      </c>
      <c r="D252" s="311">
        <v>60</v>
      </c>
      <c r="E252" s="49">
        <v>100</v>
      </c>
      <c r="F252" s="50">
        <v>45704</v>
      </c>
      <c r="G252" s="98">
        <v>1</v>
      </c>
      <c r="H252" s="49">
        <v>14</v>
      </c>
      <c r="I252" s="50">
        <v>45704</v>
      </c>
      <c r="J252" s="99">
        <v>1</v>
      </c>
      <c r="K252" s="51" t="s">
        <v>253</v>
      </c>
    </row>
    <row r="253" spans="1:11" hidden="1" x14ac:dyDescent="0.3">
      <c r="A253" s="40">
        <v>213</v>
      </c>
      <c r="B253" s="48">
        <v>10</v>
      </c>
      <c r="C253" s="94" t="s">
        <v>23</v>
      </c>
      <c r="D253" s="311">
        <v>61</v>
      </c>
      <c r="E253" s="49">
        <v>100</v>
      </c>
      <c r="F253" s="50">
        <v>45704</v>
      </c>
      <c r="G253" s="98">
        <v>1</v>
      </c>
      <c r="H253" s="49">
        <v>14</v>
      </c>
      <c r="I253" s="50">
        <v>45704</v>
      </c>
      <c r="J253" s="99">
        <v>1</v>
      </c>
      <c r="K253" s="51" t="s">
        <v>253</v>
      </c>
    </row>
    <row r="254" spans="1:11" hidden="1" x14ac:dyDescent="0.3">
      <c r="A254" s="322" t="s">
        <v>365</v>
      </c>
      <c r="B254" s="48">
        <v>18</v>
      </c>
      <c r="C254" s="94" t="s">
        <v>74</v>
      </c>
      <c r="D254" s="60" t="s">
        <v>406</v>
      </c>
      <c r="E254" s="49">
        <v>0</v>
      </c>
      <c r="F254" s="50">
        <v>45704</v>
      </c>
      <c r="G254" s="98" t="s">
        <v>406</v>
      </c>
      <c r="H254" s="49">
        <v>1</v>
      </c>
      <c r="I254" s="50">
        <v>45704</v>
      </c>
      <c r="J254" s="99" t="s">
        <v>406</v>
      </c>
      <c r="K254" s="51" t="s">
        <v>366</v>
      </c>
    </row>
    <row r="255" spans="1:11" hidden="1" x14ac:dyDescent="0.3">
      <c r="A255" s="47">
        <v>214</v>
      </c>
      <c r="B255" s="48">
        <v>12</v>
      </c>
      <c r="C255" s="94" t="s">
        <v>25</v>
      </c>
      <c r="D255" s="302">
        <v>62</v>
      </c>
      <c r="E255" s="49">
        <v>75</v>
      </c>
      <c r="F255" s="50">
        <v>45708</v>
      </c>
      <c r="G255" s="98">
        <v>1</v>
      </c>
      <c r="H255" s="49">
        <v>3</v>
      </c>
      <c r="I255" s="50">
        <v>45723</v>
      </c>
      <c r="J255" s="99">
        <v>1</v>
      </c>
      <c r="K255" s="51" t="s">
        <v>80</v>
      </c>
    </row>
    <row r="256" spans="1:11" hidden="1" x14ac:dyDescent="0.3">
      <c r="A256" s="47">
        <v>215</v>
      </c>
      <c r="B256" s="48">
        <v>11</v>
      </c>
      <c r="C256" s="94" t="s">
        <v>24</v>
      </c>
      <c r="D256" s="302">
        <v>38</v>
      </c>
      <c r="E256" s="49">
        <v>50</v>
      </c>
      <c r="F256" s="50">
        <v>45731</v>
      </c>
      <c r="G256" s="98">
        <v>11</v>
      </c>
      <c r="H256" s="49">
        <v>12</v>
      </c>
      <c r="I256" s="50">
        <v>45731</v>
      </c>
      <c r="J256" s="99">
        <v>11</v>
      </c>
      <c r="K256" s="51" t="s">
        <v>374</v>
      </c>
    </row>
    <row r="257" spans="1:11" hidden="1" x14ac:dyDescent="0.3">
      <c r="A257" s="47">
        <v>216</v>
      </c>
      <c r="B257" s="48">
        <v>12</v>
      </c>
      <c r="C257" s="94" t="s">
        <v>25</v>
      </c>
      <c r="D257" s="302">
        <v>47</v>
      </c>
      <c r="E257" s="49">
        <v>41.67</v>
      </c>
      <c r="F257" s="50">
        <v>45731</v>
      </c>
      <c r="G257" s="98">
        <v>7</v>
      </c>
      <c r="H257" s="49">
        <v>10</v>
      </c>
      <c r="I257" s="50">
        <v>45731</v>
      </c>
      <c r="J257" s="99">
        <v>7</v>
      </c>
      <c r="K257" s="51" t="s">
        <v>225</v>
      </c>
    </row>
    <row r="258" spans="1:11" hidden="1" x14ac:dyDescent="0.3">
      <c r="A258" s="47">
        <v>217</v>
      </c>
      <c r="B258" s="48">
        <v>9</v>
      </c>
      <c r="C258" s="94" t="s">
        <v>22</v>
      </c>
      <c r="D258" s="311">
        <v>55</v>
      </c>
      <c r="E258" s="49">
        <v>100</v>
      </c>
      <c r="F258" s="50">
        <v>45731</v>
      </c>
      <c r="G258" s="98">
        <v>4</v>
      </c>
      <c r="H258" s="49">
        <v>20</v>
      </c>
      <c r="I258" s="50">
        <v>45731</v>
      </c>
      <c r="J258" s="99">
        <v>4</v>
      </c>
      <c r="K258" s="51" t="s">
        <v>255</v>
      </c>
    </row>
    <row r="259" spans="1:11" hidden="1" x14ac:dyDescent="0.3">
      <c r="A259" s="47">
        <v>218</v>
      </c>
      <c r="B259" s="48">
        <v>13</v>
      </c>
      <c r="C259" s="94" t="s">
        <v>26</v>
      </c>
      <c r="D259" s="311">
        <v>57</v>
      </c>
      <c r="E259" s="49">
        <v>100</v>
      </c>
      <c r="F259" s="50">
        <v>45731</v>
      </c>
      <c r="G259" s="98">
        <v>2</v>
      </c>
      <c r="H259" s="49">
        <v>20</v>
      </c>
      <c r="I259" s="50">
        <v>45731</v>
      </c>
      <c r="J259" s="99">
        <v>2</v>
      </c>
      <c r="K259" s="51" t="s">
        <v>81</v>
      </c>
    </row>
    <row r="260" spans="1:11" hidden="1" x14ac:dyDescent="0.3">
      <c r="A260" s="47">
        <v>219</v>
      </c>
      <c r="B260" s="48">
        <v>8</v>
      </c>
      <c r="C260" s="94" t="s">
        <v>21</v>
      </c>
      <c r="D260" s="302">
        <v>58</v>
      </c>
      <c r="E260" s="49">
        <v>100</v>
      </c>
      <c r="F260" s="50">
        <v>45731</v>
      </c>
      <c r="G260" s="98">
        <v>2</v>
      </c>
      <c r="H260" s="49">
        <v>10</v>
      </c>
      <c r="I260" s="50">
        <v>45731</v>
      </c>
      <c r="J260" s="99">
        <v>2</v>
      </c>
      <c r="K260" s="51" t="s">
        <v>81</v>
      </c>
    </row>
    <row r="261" spans="1:11" hidden="1" x14ac:dyDescent="0.3">
      <c r="A261" s="47">
        <v>220</v>
      </c>
      <c r="B261" s="48">
        <v>10</v>
      </c>
      <c r="C261" s="94" t="s">
        <v>23</v>
      </c>
      <c r="D261" s="311">
        <v>61</v>
      </c>
      <c r="E261" s="49">
        <v>100</v>
      </c>
      <c r="F261" s="50">
        <v>45731</v>
      </c>
      <c r="G261" s="98">
        <v>2</v>
      </c>
      <c r="H261" s="49">
        <v>10</v>
      </c>
      <c r="I261" s="50">
        <v>45731</v>
      </c>
      <c r="J261" s="99">
        <v>2</v>
      </c>
      <c r="K261" s="51" t="s">
        <v>81</v>
      </c>
    </row>
    <row r="262" spans="1:11" hidden="1" x14ac:dyDescent="0.3">
      <c r="A262" s="47">
        <v>221</v>
      </c>
      <c r="B262" s="48">
        <v>3</v>
      </c>
      <c r="C262" s="94" t="s">
        <v>16</v>
      </c>
      <c r="D262" s="302">
        <v>63</v>
      </c>
      <c r="E262" s="49">
        <v>100</v>
      </c>
      <c r="F262" s="50">
        <v>45731</v>
      </c>
      <c r="G262" s="98">
        <v>1</v>
      </c>
      <c r="H262" s="49">
        <v>10</v>
      </c>
      <c r="I262" s="50">
        <v>45731</v>
      </c>
      <c r="J262" s="99">
        <v>1</v>
      </c>
      <c r="K262" s="51" t="s">
        <v>253</v>
      </c>
    </row>
    <row r="263" spans="1:11" hidden="1" x14ac:dyDescent="0.3">
      <c r="A263" s="47">
        <v>222</v>
      </c>
      <c r="B263" s="48">
        <v>5</v>
      </c>
      <c r="C263" s="94" t="s">
        <v>18</v>
      </c>
      <c r="D263" s="302">
        <v>64</v>
      </c>
      <c r="E263" s="49">
        <v>100</v>
      </c>
      <c r="F263" s="50">
        <v>45731</v>
      </c>
      <c r="G263" s="98">
        <v>1</v>
      </c>
      <c r="H263" s="49">
        <v>6</v>
      </c>
      <c r="I263" s="50">
        <v>45731</v>
      </c>
      <c r="J263" s="99">
        <v>1</v>
      </c>
      <c r="K263" s="51" t="s">
        <v>257</v>
      </c>
    </row>
    <row r="264" spans="1:11" hidden="1" x14ac:dyDescent="0.3">
      <c r="A264" s="47">
        <v>223</v>
      </c>
      <c r="B264" s="48">
        <v>12</v>
      </c>
      <c r="C264" s="94" t="s">
        <v>25</v>
      </c>
      <c r="D264" s="302">
        <v>62</v>
      </c>
      <c r="E264" s="49">
        <v>75</v>
      </c>
      <c r="F264" s="50">
        <v>45736</v>
      </c>
      <c r="G264" s="98">
        <v>2</v>
      </c>
      <c r="H264" s="49">
        <v>3</v>
      </c>
      <c r="I264" s="50">
        <v>45736</v>
      </c>
      <c r="J264" s="99">
        <v>2</v>
      </c>
      <c r="K264" s="51" t="s">
        <v>81</v>
      </c>
    </row>
    <row r="265" spans="1:11" hidden="1" x14ac:dyDescent="0.3">
      <c r="A265" s="47">
        <v>224</v>
      </c>
      <c r="B265" s="48">
        <v>12</v>
      </c>
      <c r="C265" s="94" t="s">
        <v>25</v>
      </c>
      <c r="D265" s="302">
        <v>65</v>
      </c>
      <c r="E265" s="49">
        <v>400</v>
      </c>
      <c r="F265" s="50">
        <v>45736</v>
      </c>
      <c r="G265" s="98">
        <v>1</v>
      </c>
      <c r="H265" s="49">
        <v>8</v>
      </c>
      <c r="I265" s="50">
        <v>45736</v>
      </c>
      <c r="J265" s="99">
        <v>1</v>
      </c>
      <c r="K265" s="51" t="s">
        <v>379</v>
      </c>
    </row>
    <row r="266" spans="1:11" hidden="1" x14ac:dyDescent="0.3">
      <c r="A266" s="47">
        <v>225</v>
      </c>
      <c r="B266" s="48">
        <v>7</v>
      </c>
      <c r="C266" s="94" t="s">
        <v>20</v>
      </c>
      <c r="D266" s="302">
        <v>56</v>
      </c>
      <c r="E266" s="49">
        <v>40</v>
      </c>
      <c r="F266" s="50">
        <v>45746</v>
      </c>
      <c r="G266" s="98">
        <v>4</v>
      </c>
      <c r="H266" s="49">
        <v>4</v>
      </c>
      <c r="I266" s="50">
        <v>45746</v>
      </c>
      <c r="J266" s="99">
        <v>4</v>
      </c>
      <c r="K266" s="51" t="s">
        <v>84</v>
      </c>
    </row>
    <row r="267" spans="1:11" hidden="1" x14ac:dyDescent="0.3">
      <c r="A267" s="47">
        <v>226</v>
      </c>
      <c r="B267" s="48">
        <v>6</v>
      </c>
      <c r="C267" s="94" t="s">
        <v>19</v>
      </c>
      <c r="D267" s="311">
        <v>60</v>
      </c>
      <c r="E267" s="49">
        <v>100</v>
      </c>
      <c r="F267" s="50">
        <v>45746</v>
      </c>
      <c r="G267" s="98">
        <v>2</v>
      </c>
      <c r="H267" s="49">
        <v>14</v>
      </c>
      <c r="I267" s="50">
        <v>45746</v>
      </c>
      <c r="J267" s="99">
        <v>2</v>
      </c>
      <c r="K267" s="51" t="s">
        <v>380</v>
      </c>
    </row>
    <row r="268" spans="1:11" hidden="1" x14ac:dyDescent="0.3">
      <c r="A268" s="47">
        <v>227</v>
      </c>
      <c r="B268" s="48">
        <v>9</v>
      </c>
      <c r="C268" s="94" t="s">
        <v>22</v>
      </c>
      <c r="D268" s="311">
        <v>55</v>
      </c>
      <c r="E268" s="49">
        <v>100</v>
      </c>
      <c r="F268" s="50">
        <v>45762</v>
      </c>
      <c r="G268" s="98">
        <v>5</v>
      </c>
      <c r="H268" s="49">
        <v>20</v>
      </c>
      <c r="I268" s="50">
        <v>45762</v>
      </c>
      <c r="J268" s="99">
        <v>5</v>
      </c>
      <c r="K268" s="51" t="s">
        <v>262</v>
      </c>
    </row>
    <row r="269" spans="1:11" hidden="1" x14ac:dyDescent="0.3">
      <c r="A269" s="47">
        <v>228</v>
      </c>
      <c r="B269" s="48">
        <v>13</v>
      </c>
      <c r="C269" s="94" t="s">
        <v>26</v>
      </c>
      <c r="D269" s="311">
        <v>57</v>
      </c>
      <c r="E269" s="49">
        <v>100</v>
      </c>
      <c r="F269" s="50">
        <v>45762</v>
      </c>
      <c r="G269" s="98">
        <v>4</v>
      </c>
      <c r="H269" s="49">
        <v>20</v>
      </c>
      <c r="I269" s="50">
        <v>45762</v>
      </c>
      <c r="J269" s="99">
        <v>4</v>
      </c>
      <c r="K269" s="51" t="s">
        <v>255</v>
      </c>
    </row>
    <row r="270" spans="1:11" hidden="1" x14ac:dyDescent="0.3">
      <c r="A270" s="47">
        <v>229</v>
      </c>
      <c r="B270" s="48">
        <v>8</v>
      </c>
      <c r="C270" s="94" t="s">
        <v>21</v>
      </c>
      <c r="D270" s="302">
        <v>58</v>
      </c>
      <c r="E270" s="49">
        <v>100</v>
      </c>
      <c r="F270" s="50">
        <v>45762</v>
      </c>
      <c r="G270" s="98">
        <v>4</v>
      </c>
      <c r="H270" s="49">
        <v>10</v>
      </c>
      <c r="I270" s="50">
        <v>45762</v>
      </c>
      <c r="J270" s="99">
        <v>4</v>
      </c>
      <c r="K270" s="51" t="s">
        <v>255</v>
      </c>
    </row>
    <row r="271" spans="1:11" hidden="1" x14ac:dyDescent="0.3">
      <c r="A271" s="47">
        <v>230</v>
      </c>
      <c r="B271" s="48">
        <v>10</v>
      </c>
      <c r="C271" s="94" t="s">
        <v>23</v>
      </c>
      <c r="D271" s="311">
        <v>61</v>
      </c>
      <c r="E271" s="49">
        <v>100</v>
      </c>
      <c r="F271" s="50">
        <v>45762</v>
      </c>
      <c r="G271" s="98">
        <v>3</v>
      </c>
      <c r="H271" s="49">
        <v>14</v>
      </c>
      <c r="I271" s="50">
        <v>45762</v>
      </c>
      <c r="J271" s="99">
        <v>3</v>
      </c>
      <c r="K271" s="51" t="s">
        <v>256</v>
      </c>
    </row>
    <row r="272" spans="1:11" hidden="1" x14ac:dyDescent="0.3">
      <c r="A272" s="47">
        <v>231</v>
      </c>
      <c r="B272" s="48">
        <v>3</v>
      </c>
      <c r="C272" s="94" t="s">
        <v>16</v>
      </c>
      <c r="D272" s="302">
        <v>63</v>
      </c>
      <c r="E272" s="49">
        <v>100</v>
      </c>
      <c r="F272" s="50">
        <v>45762</v>
      </c>
      <c r="G272" s="98">
        <v>2</v>
      </c>
      <c r="H272" s="49">
        <v>10</v>
      </c>
      <c r="I272" s="50">
        <v>45762</v>
      </c>
      <c r="J272" s="99">
        <v>2</v>
      </c>
      <c r="K272" s="51" t="s">
        <v>257</v>
      </c>
    </row>
    <row r="273" spans="1:11" hidden="1" x14ac:dyDescent="0.3">
      <c r="A273" s="47">
        <v>232</v>
      </c>
      <c r="B273" s="48">
        <v>5</v>
      </c>
      <c r="C273" s="94" t="s">
        <v>18</v>
      </c>
      <c r="D273" s="302">
        <v>64</v>
      </c>
      <c r="E273" s="49">
        <v>100</v>
      </c>
      <c r="F273" s="50">
        <v>45762</v>
      </c>
      <c r="G273" s="98">
        <v>2</v>
      </c>
      <c r="H273" s="49">
        <v>6</v>
      </c>
      <c r="I273" s="50">
        <v>45762</v>
      </c>
      <c r="J273" s="99">
        <v>2</v>
      </c>
      <c r="K273" s="51" t="s">
        <v>257</v>
      </c>
    </row>
    <row r="274" spans="1:11" hidden="1" x14ac:dyDescent="0.3">
      <c r="A274" s="310" t="s">
        <v>462</v>
      </c>
      <c r="B274" s="48">
        <v>7</v>
      </c>
      <c r="C274" s="94" t="s">
        <v>20</v>
      </c>
      <c r="D274" s="302">
        <v>56</v>
      </c>
      <c r="E274" s="49">
        <v>40</v>
      </c>
      <c r="F274" s="50">
        <v>45762</v>
      </c>
      <c r="G274" s="98">
        <v>5</v>
      </c>
      <c r="H274" s="49">
        <v>0</v>
      </c>
      <c r="I274" s="50">
        <v>45762</v>
      </c>
      <c r="J274" s="99">
        <v>0</v>
      </c>
      <c r="K274" s="51" t="s">
        <v>385</v>
      </c>
    </row>
    <row r="275" spans="1:11" hidden="1" x14ac:dyDescent="0.3">
      <c r="A275" s="310" t="s">
        <v>463</v>
      </c>
      <c r="B275" s="48">
        <v>7</v>
      </c>
      <c r="C275" s="94" t="s">
        <v>20</v>
      </c>
      <c r="D275" s="302">
        <v>56</v>
      </c>
      <c r="E275" s="49">
        <v>0</v>
      </c>
      <c r="F275" s="50">
        <v>45762</v>
      </c>
      <c r="G275" s="98">
        <v>5</v>
      </c>
      <c r="H275" s="49">
        <v>4</v>
      </c>
      <c r="I275" s="50">
        <v>45762</v>
      </c>
      <c r="J275" s="99">
        <v>5</v>
      </c>
      <c r="K275" s="51" t="s">
        <v>386</v>
      </c>
    </row>
    <row r="276" spans="1:11" hidden="1" x14ac:dyDescent="0.3">
      <c r="A276" s="310" t="s">
        <v>464</v>
      </c>
      <c r="B276" s="48">
        <v>5</v>
      </c>
      <c r="C276" s="94" t="s">
        <v>18</v>
      </c>
      <c r="D276" s="302">
        <v>64</v>
      </c>
      <c r="E276" s="49">
        <v>100</v>
      </c>
      <c r="F276" s="50">
        <v>45764</v>
      </c>
      <c r="G276" s="98">
        <v>3</v>
      </c>
      <c r="H276" s="49">
        <v>0</v>
      </c>
      <c r="I276" s="50">
        <v>45764</v>
      </c>
      <c r="J276" s="99">
        <v>3</v>
      </c>
      <c r="K276" s="51" t="s">
        <v>402</v>
      </c>
    </row>
    <row r="277" spans="1:11" hidden="1" x14ac:dyDescent="0.3">
      <c r="A277" s="310" t="s">
        <v>465</v>
      </c>
      <c r="B277" s="48">
        <v>5</v>
      </c>
      <c r="C277" s="94" t="s">
        <v>18</v>
      </c>
      <c r="D277" s="302">
        <v>64</v>
      </c>
      <c r="E277" s="49">
        <v>0</v>
      </c>
      <c r="F277" s="50">
        <v>45764</v>
      </c>
      <c r="G277" s="98">
        <v>3</v>
      </c>
      <c r="H277" s="49">
        <v>6</v>
      </c>
      <c r="I277" s="50">
        <v>45764</v>
      </c>
      <c r="J277" s="99">
        <v>3</v>
      </c>
      <c r="K277" s="51" t="s">
        <v>403</v>
      </c>
    </row>
    <row r="278" spans="1:11" hidden="1" x14ac:dyDescent="0.3">
      <c r="A278" s="47">
        <v>233</v>
      </c>
      <c r="B278" s="48">
        <v>12</v>
      </c>
      <c r="C278" s="94" t="s">
        <v>25</v>
      </c>
      <c r="D278" s="302">
        <v>47</v>
      </c>
      <c r="E278" s="49">
        <v>41.67</v>
      </c>
      <c r="F278" s="50">
        <v>45764</v>
      </c>
      <c r="G278" s="98">
        <v>9</v>
      </c>
      <c r="H278" s="49">
        <v>10</v>
      </c>
      <c r="I278" s="50">
        <v>45764</v>
      </c>
      <c r="J278" s="99">
        <v>9</v>
      </c>
      <c r="K278" s="51" t="s">
        <v>405</v>
      </c>
    </row>
    <row r="279" spans="1:11" hidden="1" x14ac:dyDescent="0.3">
      <c r="A279" s="47">
        <v>234</v>
      </c>
      <c r="B279" s="48">
        <v>6</v>
      </c>
      <c r="C279" s="94" t="s">
        <v>19</v>
      </c>
      <c r="D279" s="311">
        <v>60</v>
      </c>
      <c r="E279" s="49">
        <v>100</v>
      </c>
      <c r="F279" s="50">
        <v>45764</v>
      </c>
      <c r="G279" s="98">
        <v>3</v>
      </c>
      <c r="H279" s="49">
        <v>14</v>
      </c>
      <c r="I279" s="50">
        <v>45764</v>
      </c>
      <c r="J279" s="99">
        <v>3</v>
      </c>
      <c r="K279" s="51" t="s">
        <v>256</v>
      </c>
    </row>
    <row r="280" spans="1:11" hidden="1" x14ac:dyDescent="0.3">
      <c r="A280" s="47" t="s">
        <v>397</v>
      </c>
      <c r="B280" s="61">
        <v>14</v>
      </c>
      <c r="C280" s="94" t="s">
        <v>389</v>
      </c>
      <c r="D280" s="60" t="s">
        <v>101</v>
      </c>
      <c r="E280" s="49">
        <v>0</v>
      </c>
      <c r="F280" s="50">
        <v>45764</v>
      </c>
      <c r="G280" s="98" t="s">
        <v>101</v>
      </c>
      <c r="H280" s="49">
        <v>0</v>
      </c>
      <c r="I280" s="50">
        <v>45764</v>
      </c>
      <c r="J280" s="99" t="s">
        <v>101</v>
      </c>
      <c r="K280" s="51" t="s">
        <v>411</v>
      </c>
    </row>
    <row r="281" spans="1:11" hidden="1" x14ac:dyDescent="0.3">
      <c r="A281" s="40" t="s">
        <v>399</v>
      </c>
      <c r="B281" s="61">
        <v>15</v>
      </c>
      <c r="C281" s="94" t="s">
        <v>390</v>
      </c>
      <c r="D281" s="60" t="s">
        <v>101</v>
      </c>
      <c r="E281" s="46">
        <v>0</v>
      </c>
      <c r="F281" s="50">
        <v>45764</v>
      </c>
      <c r="G281" s="98" t="s">
        <v>101</v>
      </c>
      <c r="H281" s="46">
        <v>0</v>
      </c>
      <c r="I281" s="50">
        <v>45764</v>
      </c>
      <c r="J281" s="99" t="s">
        <v>101</v>
      </c>
      <c r="K281" s="51" t="s">
        <v>411</v>
      </c>
    </row>
    <row r="282" spans="1:11" hidden="1" x14ac:dyDescent="0.3">
      <c r="A282" s="40" t="s">
        <v>413</v>
      </c>
      <c r="B282" s="61">
        <v>16</v>
      </c>
      <c r="C282" s="94" t="s">
        <v>391</v>
      </c>
      <c r="D282" s="60" t="s">
        <v>101</v>
      </c>
      <c r="E282" s="46">
        <v>0</v>
      </c>
      <c r="F282" s="50">
        <v>45764</v>
      </c>
      <c r="G282" s="98" t="s">
        <v>101</v>
      </c>
      <c r="H282" s="46">
        <v>0</v>
      </c>
      <c r="I282" s="50">
        <v>45764</v>
      </c>
      <c r="J282" s="99" t="s">
        <v>101</v>
      </c>
      <c r="K282" s="51" t="s">
        <v>411</v>
      </c>
    </row>
    <row r="283" spans="1:11" hidden="1" x14ac:dyDescent="0.3">
      <c r="A283" s="47">
        <v>235</v>
      </c>
      <c r="B283" s="48">
        <v>4</v>
      </c>
      <c r="C283" s="94" t="s">
        <v>17</v>
      </c>
      <c r="D283" s="302">
        <v>67</v>
      </c>
      <c r="E283" s="49">
        <v>1200</v>
      </c>
      <c r="F283" s="50">
        <v>45788</v>
      </c>
      <c r="G283" s="98">
        <v>1</v>
      </c>
      <c r="H283" s="49">
        <v>24</v>
      </c>
      <c r="I283" s="50">
        <v>45788</v>
      </c>
      <c r="J283" s="99">
        <v>1</v>
      </c>
      <c r="K283" s="51" t="s">
        <v>414</v>
      </c>
    </row>
    <row r="284" spans="1:11" hidden="1" x14ac:dyDescent="0.3">
      <c r="A284" s="47">
        <v>236</v>
      </c>
      <c r="B284" s="48">
        <v>12</v>
      </c>
      <c r="C284" s="94" t="s">
        <v>25</v>
      </c>
      <c r="D284" s="302">
        <v>47</v>
      </c>
      <c r="E284" s="49">
        <v>41.67</v>
      </c>
      <c r="F284" s="50">
        <v>45792</v>
      </c>
      <c r="G284" s="98">
        <v>10</v>
      </c>
      <c r="H284" s="49">
        <v>10</v>
      </c>
      <c r="I284" s="50">
        <v>45792</v>
      </c>
      <c r="J284" s="99">
        <v>10</v>
      </c>
      <c r="K284" s="51" t="s">
        <v>340</v>
      </c>
    </row>
    <row r="285" spans="1:11" hidden="1" x14ac:dyDescent="0.3">
      <c r="A285" s="47">
        <v>237</v>
      </c>
      <c r="B285" s="48">
        <v>13</v>
      </c>
      <c r="C285" s="94" t="s">
        <v>26</v>
      </c>
      <c r="D285" s="311">
        <v>57</v>
      </c>
      <c r="E285" s="49">
        <v>100</v>
      </c>
      <c r="F285" s="50">
        <v>45792</v>
      </c>
      <c r="G285" s="98">
        <v>5</v>
      </c>
      <c r="H285" s="49">
        <v>20</v>
      </c>
      <c r="I285" s="50">
        <v>45792</v>
      </c>
      <c r="J285" s="99">
        <v>5</v>
      </c>
      <c r="K285" s="51" t="s">
        <v>262</v>
      </c>
    </row>
    <row r="286" spans="1:11" hidden="1" x14ac:dyDescent="0.3">
      <c r="A286" s="47">
        <v>238</v>
      </c>
      <c r="B286" s="48">
        <v>8</v>
      </c>
      <c r="C286" s="94" t="s">
        <v>21</v>
      </c>
      <c r="D286" s="302">
        <v>58</v>
      </c>
      <c r="E286" s="49">
        <v>100</v>
      </c>
      <c r="F286" s="50">
        <v>45792</v>
      </c>
      <c r="G286" s="98">
        <v>5</v>
      </c>
      <c r="H286" s="49">
        <v>10</v>
      </c>
      <c r="I286" s="50">
        <v>45792</v>
      </c>
      <c r="J286" s="99">
        <v>5</v>
      </c>
      <c r="K286" s="51" t="s">
        <v>416</v>
      </c>
    </row>
    <row r="287" spans="1:11" hidden="1" x14ac:dyDescent="0.3">
      <c r="A287" s="47">
        <v>239</v>
      </c>
      <c r="B287" s="48">
        <v>6</v>
      </c>
      <c r="C287" s="94" t="s">
        <v>19</v>
      </c>
      <c r="D287" s="311">
        <v>60</v>
      </c>
      <c r="E287" s="49">
        <v>100</v>
      </c>
      <c r="F287" s="50">
        <v>45792</v>
      </c>
      <c r="G287" s="98">
        <v>4</v>
      </c>
      <c r="H287" s="49">
        <v>14</v>
      </c>
      <c r="I287" s="50">
        <v>45792</v>
      </c>
      <c r="J287" s="99">
        <v>4</v>
      </c>
      <c r="K287" s="51" t="s">
        <v>255</v>
      </c>
    </row>
    <row r="288" spans="1:11" hidden="1" x14ac:dyDescent="0.3">
      <c r="A288" s="47">
        <v>240</v>
      </c>
      <c r="B288" s="48">
        <v>10</v>
      </c>
      <c r="C288" s="94" t="s">
        <v>23</v>
      </c>
      <c r="D288" s="311">
        <v>61</v>
      </c>
      <c r="E288" s="49">
        <v>100</v>
      </c>
      <c r="F288" s="50">
        <v>45792</v>
      </c>
      <c r="G288" s="98">
        <v>4</v>
      </c>
      <c r="H288" s="49">
        <v>14</v>
      </c>
      <c r="I288" s="50">
        <v>45792</v>
      </c>
      <c r="J288" s="99">
        <v>4</v>
      </c>
      <c r="K288" s="51" t="s">
        <v>255</v>
      </c>
    </row>
    <row r="289" spans="1:11" hidden="1" x14ac:dyDescent="0.3">
      <c r="A289" s="47">
        <v>241</v>
      </c>
      <c r="B289" s="48">
        <v>3</v>
      </c>
      <c r="C289" s="94" t="s">
        <v>16</v>
      </c>
      <c r="D289" s="302">
        <v>63</v>
      </c>
      <c r="E289" s="49">
        <v>100</v>
      </c>
      <c r="F289" s="50">
        <v>45792</v>
      </c>
      <c r="G289" s="98">
        <v>3</v>
      </c>
      <c r="H289" s="49">
        <v>10</v>
      </c>
      <c r="I289" s="50">
        <v>45792</v>
      </c>
      <c r="J289" s="99">
        <v>3</v>
      </c>
      <c r="K289" s="51" t="s">
        <v>256</v>
      </c>
    </row>
    <row r="290" spans="1:11" hidden="1" x14ac:dyDescent="0.3">
      <c r="A290" s="47">
        <v>242</v>
      </c>
      <c r="B290" s="48">
        <v>7</v>
      </c>
      <c r="C290" s="94" t="s">
        <v>20</v>
      </c>
      <c r="D290" s="311">
        <v>68</v>
      </c>
      <c r="E290" s="49">
        <v>40</v>
      </c>
      <c r="F290" s="50">
        <v>45792</v>
      </c>
      <c r="G290" s="98">
        <v>1</v>
      </c>
      <c r="H290" s="49">
        <v>4</v>
      </c>
      <c r="I290" s="50">
        <v>45792</v>
      </c>
      <c r="J290" s="99">
        <v>1</v>
      </c>
      <c r="K290" s="51" t="s">
        <v>125</v>
      </c>
    </row>
    <row r="291" spans="1:11" hidden="1" x14ac:dyDescent="0.3">
      <c r="A291" s="47">
        <v>243</v>
      </c>
      <c r="B291" s="48">
        <v>5</v>
      </c>
      <c r="C291" s="94" t="s">
        <v>18</v>
      </c>
      <c r="D291" s="311">
        <v>70</v>
      </c>
      <c r="E291" s="49">
        <v>100</v>
      </c>
      <c r="F291" s="50">
        <v>45792</v>
      </c>
      <c r="G291" s="98">
        <v>1</v>
      </c>
      <c r="H291" s="49">
        <v>10</v>
      </c>
      <c r="I291" s="50">
        <v>45792</v>
      </c>
      <c r="J291" s="99">
        <v>1</v>
      </c>
      <c r="K291" s="51" t="s">
        <v>253</v>
      </c>
    </row>
    <row r="292" spans="1:11" hidden="1" x14ac:dyDescent="0.3">
      <c r="A292" s="47">
        <v>244</v>
      </c>
      <c r="B292" s="48">
        <v>9</v>
      </c>
      <c r="C292" s="94" t="s">
        <v>22</v>
      </c>
      <c r="D292" s="311">
        <v>55</v>
      </c>
      <c r="E292" s="49">
        <v>100</v>
      </c>
      <c r="F292" s="50">
        <v>45792</v>
      </c>
      <c r="G292" s="98">
        <v>6</v>
      </c>
      <c r="H292" s="49">
        <v>20</v>
      </c>
      <c r="I292" s="50">
        <v>45792</v>
      </c>
      <c r="J292" s="99">
        <v>6</v>
      </c>
      <c r="K292" s="51" t="s">
        <v>254</v>
      </c>
    </row>
    <row r="293" spans="1:11" hidden="1" x14ac:dyDescent="0.3">
      <c r="A293" s="47">
        <v>245</v>
      </c>
      <c r="B293" s="48">
        <v>1</v>
      </c>
      <c r="C293" s="94" t="s">
        <v>14</v>
      </c>
      <c r="D293" s="302">
        <v>66</v>
      </c>
      <c r="E293" s="49">
        <v>233.33</v>
      </c>
      <c r="F293" s="50">
        <v>45792</v>
      </c>
      <c r="G293" s="98">
        <v>1</v>
      </c>
      <c r="H293" s="49">
        <v>14</v>
      </c>
      <c r="I293" s="50">
        <v>45792</v>
      </c>
      <c r="J293" s="99">
        <v>1</v>
      </c>
      <c r="K293" s="51" t="s">
        <v>417</v>
      </c>
    </row>
    <row r="294" spans="1:11" hidden="1" x14ac:dyDescent="0.3">
      <c r="A294" s="47">
        <v>246</v>
      </c>
      <c r="B294" s="48">
        <v>2</v>
      </c>
      <c r="C294" s="94" t="s">
        <v>15</v>
      </c>
      <c r="D294" s="302">
        <v>69</v>
      </c>
      <c r="E294" s="49">
        <v>200</v>
      </c>
      <c r="F294" s="50">
        <v>45792</v>
      </c>
      <c r="G294" s="98">
        <v>1</v>
      </c>
      <c r="H294" s="49">
        <v>12</v>
      </c>
      <c r="I294" s="50">
        <v>45792</v>
      </c>
      <c r="J294" s="99">
        <v>1</v>
      </c>
      <c r="K294" s="51" t="s">
        <v>253</v>
      </c>
    </row>
    <row r="295" spans="1:11" hidden="1" x14ac:dyDescent="0.3">
      <c r="A295" s="310" t="s">
        <v>270</v>
      </c>
      <c r="B295" s="48">
        <v>3</v>
      </c>
      <c r="C295" s="94" t="s">
        <v>16</v>
      </c>
      <c r="D295" s="302">
        <v>63</v>
      </c>
      <c r="E295" s="49">
        <v>100</v>
      </c>
      <c r="F295" s="50">
        <v>45792</v>
      </c>
      <c r="G295" s="98">
        <v>4</v>
      </c>
      <c r="H295" s="49">
        <v>0</v>
      </c>
      <c r="I295" s="50">
        <v>45792</v>
      </c>
      <c r="J295" s="99">
        <v>4</v>
      </c>
      <c r="K295" s="51" t="s">
        <v>422</v>
      </c>
    </row>
    <row r="296" spans="1:11" hidden="1" x14ac:dyDescent="0.3">
      <c r="A296" s="310" t="s">
        <v>466</v>
      </c>
      <c r="B296" s="48">
        <v>3</v>
      </c>
      <c r="C296" s="94" t="s">
        <v>16</v>
      </c>
      <c r="D296" s="302">
        <v>63</v>
      </c>
      <c r="E296" s="49">
        <v>100</v>
      </c>
      <c r="F296" s="50">
        <v>45792</v>
      </c>
      <c r="G296" s="98">
        <v>5</v>
      </c>
      <c r="H296" s="49">
        <v>0</v>
      </c>
      <c r="I296" s="50">
        <v>45792</v>
      </c>
      <c r="J296" s="99">
        <v>5</v>
      </c>
      <c r="K296" s="51" t="s">
        <v>423</v>
      </c>
    </row>
    <row r="297" spans="1:11" hidden="1" x14ac:dyDescent="0.3">
      <c r="A297" s="310" t="s">
        <v>467</v>
      </c>
      <c r="B297" s="48">
        <v>3</v>
      </c>
      <c r="C297" s="94" t="s">
        <v>16</v>
      </c>
      <c r="D297" s="302">
        <v>63</v>
      </c>
      <c r="E297" s="49">
        <v>0</v>
      </c>
      <c r="F297" s="50">
        <v>45792</v>
      </c>
      <c r="G297" s="98">
        <v>4</v>
      </c>
      <c r="H297" s="49">
        <v>10</v>
      </c>
      <c r="I297" s="50">
        <v>45792</v>
      </c>
      <c r="J297" s="99">
        <v>4</v>
      </c>
      <c r="K297" s="51" t="s">
        <v>424</v>
      </c>
    </row>
    <row r="298" spans="1:11" hidden="1" x14ac:dyDescent="0.3">
      <c r="A298" s="310" t="s">
        <v>468</v>
      </c>
      <c r="B298" s="48">
        <v>3</v>
      </c>
      <c r="C298" s="94" t="s">
        <v>16</v>
      </c>
      <c r="D298" s="302">
        <v>63</v>
      </c>
      <c r="E298" s="49">
        <v>0</v>
      </c>
      <c r="F298" s="50">
        <v>45792</v>
      </c>
      <c r="G298" s="98">
        <v>5</v>
      </c>
      <c r="H298" s="49">
        <v>10</v>
      </c>
      <c r="I298" s="50">
        <v>45792</v>
      </c>
      <c r="J298" s="99">
        <v>5</v>
      </c>
      <c r="K298" s="51" t="s">
        <v>425</v>
      </c>
    </row>
    <row r="299" spans="1:11" hidden="1" x14ac:dyDescent="0.3">
      <c r="A299" s="47">
        <v>247</v>
      </c>
      <c r="B299" s="48">
        <v>12</v>
      </c>
      <c r="C299" s="94" t="s">
        <v>25</v>
      </c>
      <c r="D299" s="302">
        <v>74</v>
      </c>
      <c r="E299" s="49">
        <v>40</v>
      </c>
      <c r="F299" s="50">
        <v>45823</v>
      </c>
      <c r="G299" s="98">
        <v>1</v>
      </c>
      <c r="H299" s="49">
        <v>0.8</v>
      </c>
      <c r="I299" s="50">
        <v>45823</v>
      </c>
      <c r="J299" s="99">
        <v>1</v>
      </c>
      <c r="K299" s="51" t="s">
        <v>430</v>
      </c>
    </row>
    <row r="300" spans="1:11" hidden="1" x14ac:dyDescent="0.3">
      <c r="A300" s="47">
        <v>248</v>
      </c>
      <c r="B300" s="48">
        <v>9</v>
      </c>
      <c r="C300" s="94" t="s">
        <v>22</v>
      </c>
      <c r="D300" s="311">
        <v>55</v>
      </c>
      <c r="E300" s="49">
        <v>100</v>
      </c>
      <c r="F300" s="50">
        <v>45823</v>
      </c>
      <c r="G300" s="98">
        <v>6</v>
      </c>
      <c r="H300" s="49">
        <v>20</v>
      </c>
      <c r="I300" s="50">
        <v>45823</v>
      </c>
      <c r="J300" s="99">
        <v>6</v>
      </c>
      <c r="K300" s="51" t="s">
        <v>261</v>
      </c>
    </row>
    <row r="301" spans="1:11" hidden="1" x14ac:dyDescent="0.3">
      <c r="A301" s="47">
        <v>249</v>
      </c>
      <c r="B301" s="48">
        <v>13</v>
      </c>
      <c r="C301" s="94" t="s">
        <v>26</v>
      </c>
      <c r="D301" s="311">
        <v>57</v>
      </c>
      <c r="E301" s="49">
        <v>100</v>
      </c>
      <c r="F301" s="50">
        <v>45823</v>
      </c>
      <c r="G301" s="98">
        <v>6</v>
      </c>
      <c r="H301" s="49">
        <v>20</v>
      </c>
      <c r="I301" s="50">
        <v>45823</v>
      </c>
      <c r="J301" s="99">
        <v>6</v>
      </c>
      <c r="K301" s="51" t="s">
        <v>254</v>
      </c>
    </row>
    <row r="302" spans="1:11" hidden="1" x14ac:dyDescent="0.3">
      <c r="A302" s="47">
        <v>250</v>
      </c>
      <c r="B302" s="48">
        <v>6</v>
      </c>
      <c r="C302" s="94" t="s">
        <v>19</v>
      </c>
      <c r="D302" s="311">
        <v>60</v>
      </c>
      <c r="E302" s="49">
        <v>100</v>
      </c>
      <c r="F302" s="50">
        <v>45823</v>
      </c>
      <c r="G302" s="98">
        <v>5</v>
      </c>
      <c r="H302" s="49">
        <v>14</v>
      </c>
      <c r="I302" s="50">
        <v>45823</v>
      </c>
      <c r="J302" s="99">
        <v>5</v>
      </c>
      <c r="K302" s="51" t="s">
        <v>262</v>
      </c>
    </row>
    <row r="303" spans="1:11" hidden="1" x14ac:dyDescent="0.3">
      <c r="A303" s="47">
        <v>251</v>
      </c>
      <c r="B303" s="48">
        <v>10</v>
      </c>
      <c r="C303" s="94" t="s">
        <v>23</v>
      </c>
      <c r="D303" s="311">
        <v>61</v>
      </c>
      <c r="E303" s="49">
        <v>100</v>
      </c>
      <c r="F303" s="50">
        <v>45823</v>
      </c>
      <c r="G303" s="98">
        <v>5</v>
      </c>
      <c r="H303" s="49">
        <v>14</v>
      </c>
      <c r="I303" s="50">
        <v>45823</v>
      </c>
      <c r="J303" s="99">
        <v>5</v>
      </c>
      <c r="K303" s="51" t="s">
        <v>262</v>
      </c>
    </row>
    <row r="304" spans="1:11" hidden="1" x14ac:dyDescent="0.3">
      <c r="A304" s="47">
        <v>252</v>
      </c>
      <c r="B304" s="48">
        <v>7</v>
      </c>
      <c r="C304" s="94" t="s">
        <v>20</v>
      </c>
      <c r="D304" s="311">
        <v>68</v>
      </c>
      <c r="E304" s="49">
        <v>40</v>
      </c>
      <c r="F304" s="50">
        <v>45823</v>
      </c>
      <c r="G304" s="98">
        <v>2</v>
      </c>
      <c r="H304" s="49">
        <v>4</v>
      </c>
      <c r="I304" s="50">
        <v>45823</v>
      </c>
      <c r="J304" s="99">
        <v>2</v>
      </c>
      <c r="K304" s="51" t="s">
        <v>257</v>
      </c>
    </row>
    <row r="305" spans="1:11" hidden="1" x14ac:dyDescent="0.3">
      <c r="A305" s="47">
        <v>253</v>
      </c>
      <c r="B305" s="48">
        <v>5</v>
      </c>
      <c r="C305" s="94" t="s">
        <v>18</v>
      </c>
      <c r="D305" s="311">
        <v>70</v>
      </c>
      <c r="E305" s="49">
        <v>100</v>
      </c>
      <c r="F305" s="50">
        <v>45823</v>
      </c>
      <c r="G305" s="98">
        <v>2</v>
      </c>
      <c r="H305" s="49">
        <v>10</v>
      </c>
      <c r="I305" s="50">
        <v>45823</v>
      </c>
      <c r="J305" s="99">
        <v>2</v>
      </c>
      <c r="K305" s="51" t="s">
        <v>257</v>
      </c>
    </row>
    <row r="306" spans="1:11" hidden="1" x14ac:dyDescent="0.3">
      <c r="A306" s="47">
        <v>254</v>
      </c>
      <c r="B306" s="48">
        <v>3</v>
      </c>
      <c r="C306" s="94" t="s">
        <v>16</v>
      </c>
      <c r="D306" s="311">
        <v>71</v>
      </c>
      <c r="E306" s="49">
        <v>100</v>
      </c>
      <c r="F306" s="50">
        <v>45823</v>
      </c>
      <c r="G306" s="98">
        <v>1</v>
      </c>
      <c r="H306" s="49">
        <v>24</v>
      </c>
      <c r="I306" s="50">
        <v>45823</v>
      </c>
      <c r="J306" s="99">
        <v>1</v>
      </c>
      <c r="K306" s="51" t="s">
        <v>253</v>
      </c>
    </row>
    <row r="307" spans="1:11" hidden="1" x14ac:dyDescent="0.3">
      <c r="A307" s="47">
        <v>255</v>
      </c>
      <c r="B307" s="48">
        <v>14</v>
      </c>
      <c r="C307" s="94" t="s">
        <v>389</v>
      </c>
      <c r="D307" s="311">
        <v>72</v>
      </c>
      <c r="E307" s="49">
        <v>166.67</v>
      </c>
      <c r="F307" s="50">
        <v>45823</v>
      </c>
      <c r="G307" s="98">
        <v>1</v>
      </c>
      <c r="H307" s="49">
        <v>40</v>
      </c>
      <c r="I307" s="50">
        <v>45823</v>
      </c>
      <c r="J307" s="99">
        <v>1</v>
      </c>
      <c r="K307" s="51" t="s">
        <v>253</v>
      </c>
    </row>
    <row r="308" spans="1:11" hidden="1" x14ac:dyDescent="0.3">
      <c r="A308" s="47">
        <v>256</v>
      </c>
      <c r="B308" s="48">
        <v>2</v>
      </c>
      <c r="C308" s="94" t="s">
        <v>15</v>
      </c>
      <c r="D308" s="302">
        <v>69</v>
      </c>
      <c r="E308" s="49">
        <v>200</v>
      </c>
      <c r="F308" s="50">
        <v>45823</v>
      </c>
      <c r="G308" s="98">
        <v>2</v>
      </c>
      <c r="H308" s="49">
        <v>12</v>
      </c>
      <c r="I308" s="50">
        <v>45823</v>
      </c>
      <c r="J308" s="99">
        <v>2</v>
      </c>
      <c r="K308" s="51" t="s">
        <v>256</v>
      </c>
    </row>
    <row r="309" spans="1:11" hidden="1" x14ac:dyDescent="0.3">
      <c r="A309" s="47">
        <v>257</v>
      </c>
      <c r="B309" s="48">
        <v>1</v>
      </c>
      <c r="C309" s="94" t="s">
        <v>14</v>
      </c>
      <c r="D309" s="302">
        <v>66</v>
      </c>
      <c r="E309" s="49">
        <f>233.33</f>
        <v>233.33</v>
      </c>
      <c r="F309" s="50">
        <v>45823</v>
      </c>
      <c r="G309" s="98">
        <v>2</v>
      </c>
      <c r="H309" s="49">
        <v>14</v>
      </c>
      <c r="I309" s="50">
        <v>45823</v>
      </c>
      <c r="J309" s="99">
        <v>2</v>
      </c>
      <c r="K309" s="51" t="s">
        <v>257</v>
      </c>
    </row>
    <row r="310" spans="1:11" hidden="1" x14ac:dyDescent="0.3">
      <c r="A310" s="47">
        <v>258</v>
      </c>
      <c r="B310" s="48">
        <v>12</v>
      </c>
      <c r="C310" s="94" t="s">
        <v>25</v>
      </c>
      <c r="D310" s="302">
        <v>47</v>
      </c>
      <c r="E310" s="49">
        <v>41.67</v>
      </c>
      <c r="F310" s="50">
        <v>45823</v>
      </c>
      <c r="G310" s="98">
        <v>11</v>
      </c>
      <c r="H310" s="49">
        <v>10</v>
      </c>
      <c r="I310" s="50">
        <v>45823</v>
      </c>
      <c r="J310" s="99">
        <v>11</v>
      </c>
      <c r="K310" s="51" t="s">
        <v>374</v>
      </c>
    </row>
    <row r="311" spans="1:11" hidden="1" x14ac:dyDescent="0.3">
      <c r="A311" s="47">
        <v>259</v>
      </c>
      <c r="B311" s="48">
        <v>8</v>
      </c>
      <c r="C311" s="94" t="s">
        <v>21</v>
      </c>
      <c r="D311" s="311">
        <v>73</v>
      </c>
      <c r="E311" s="49">
        <v>100</v>
      </c>
      <c r="F311" s="50">
        <v>45823</v>
      </c>
      <c r="G311" s="98">
        <v>1</v>
      </c>
      <c r="H311" s="49">
        <v>6</v>
      </c>
      <c r="I311" s="50">
        <v>45823</v>
      </c>
      <c r="J311" s="99">
        <v>1</v>
      </c>
      <c r="K311" s="51" t="s">
        <v>253</v>
      </c>
    </row>
    <row r="312" spans="1:11" hidden="1" x14ac:dyDescent="0.3">
      <c r="A312" s="47">
        <v>260</v>
      </c>
      <c r="B312" s="48">
        <v>9</v>
      </c>
      <c r="C312" s="94" t="s">
        <v>22</v>
      </c>
      <c r="D312" s="311">
        <v>55</v>
      </c>
      <c r="E312" s="49">
        <v>100</v>
      </c>
      <c r="F312" s="50">
        <v>45853</v>
      </c>
      <c r="G312" s="98">
        <v>8</v>
      </c>
      <c r="H312" s="49">
        <v>20</v>
      </c>
      <c r="I312" s="50">
        <v>45853</v>
      </c>
      <c r="J312" s="99">
        <v>8</v>
      </c>
      <c r="K312" s="51" t="s">
        <v>301</v>
      </c>
    </row>
    <row r="313" spans="1:11" hidden="1" x14ac:dyDescent="0.3">
      <c r="A313" s="47">
        <v>261</v>
      </c>
      <c r="B313" s="48">
        <v>13</v>
      </c>
      <c r="C313" s="94" t="s">
        <v>26</v>
      </c>
      <c r="D313" s="311">
        <v>57</v>
      </c>
      <c r="E313" s="49">
        <v>100</v>
      </c>
      <c r="F313" s="50">
        <v>45853</v>
      </c>
      <c r="G313" s="98">
        <v>7</v>
      </c>
      <c r="H313" s="49">
        <v>20</v>
      </c>
      <c r="I313" s="50">
        <v>45853</v>
      </c>
      <c r="J313" s="99">
        <v>7</v>
      </c>
      <c r="K313" s="51" t="s">
        <v>261</v>
      </c>
    </row>
    <row r="314" spans="1:11" hidden="1" x14ac:dyDescent="0.3">
      <c r="A314" s="47">
        <v>262</v>
      </c>
      <c r="B314" s="48">
        <v>6</v>
      </c>
      <c r="C314" s="94" t="s">
        <v>19</v>
      </c>
      <c r="D314" s="311">
        <v>60</v>
      </c>
      <c r="E314" s="49">
        <v>100</v>
      </c>
      <c r="F314" s="50">
        <v>45853</v>
      </c>
      <c r="G314" s="98">
        <v>6</v>
      </c>
      <c r="H314" s="49">
        <v>14</v>
      </c>
      <c r="I314" s="50">
        <v>45853</v>
      </c>
      <c r="J314" s="99">
        <v>6</v>
      </c>
      <c r="K314" s="51" t="s">
        <v>254</v>
      </c>
    </row>
    <row r="315" spans="1:11" hidden="1" x14ac:dyDescent="0.3">
      <c r="A315" s="47">
        <v>263</v>
      </c>
      <c r="B315" s="48">
        <v>10</v>
      </c>
      <c r="C315" s="94" t="s">
        <v>23</v>
      </c>
      <c r="D315" s="311">
        <v>61</v>
      </c>
      <c r="E315" s="49">
        <v>100</v>
      </c>
      <c r="F315" s="50">
        <v>45853</v>
      </c>
      <c r="G315" s="98">
        <v>6</v>
      </c>
      <c r="H315" s="49">
        <v>14</v>
      </c>
      <c r="I315" s="50">
        <v>45853</v>
      </c>
      <c r="J315" s="99">
        <v>6</v>
      </c>
      <c r="K315" s="51" t="s">
        <v>254</v>
      </c>
    </row>
    <row r="316" spans="1:11" hidden="1" x14ac:dyDescent="0.3">
      <c r="A316" s="47">
        <v>264</v>
      </c>
      <c r="B316" s="48">
        <v>7</v>
      </c>
      <c r="C316" s="94" t="s">
        <v>20</v>
      </c>
      <c r="D316" s="311">
        <v>68</v>
      </c>
      <c r="E316" s="49">
        <v>40</v>
      </c>
      <c r="F316" s="50">
        <v>45853</v>
      </c>
      <c r="G316" s="98">
        <v>3</v>
      </c>
      <c r="H316" s="49">
        <v>4</v>
      </c>
      <c r="I316" s="50">
        <v>45853</v>
      </c>
      <c r="J316" s="99">
        <v>3</v>
      </c>
      <c r="K316" s="51" t="s">
        <v>256</v>
      </c>
    </row>
    <row r="317" spans="1:11" hidden="1" x14ac:dyDescent="0.3">
      <c r="A317" s="47">
        <v>265</v>
      </c>
      <c r="B317" s="48">
        <v>5</v>
      </c>
      <c r="C317" s="94" t="s">
        <v>18</v>
      </c>
      <c r="D317" s="311">
        <v>70</v>
      </c>
      <c r="E317" s="49">
        <v>100</v>
      </c>
      <c r="F317" s="50">
        <v>45853</v>
      </c>
      <c r="G317" s="98">
        <v>3</v>
      </c>
      <c r="H317" s="49">
        <v>10</v>
      </c>
      <c r="I317" s="50">
        <v>45853</v>
      </c>
      <c r="J317" s="99">
        <v>3</v>
      </c>
      <c r="K317" s="51" t="s">
        <v>256</v>
      </c>
    </row>
    <row r="318" spans="1:11" hidden="1" x14ac:dyDescent="0.3">
      <c r="A318" s="47">
        <v>266</v>
      </c>
      <c r="B318" s="48">
        <v>3</v>
      </c>
      <c r="C318" s="94" t="s">
        <v>16</v>
      </c>
      <c r="D318" s="311">
        <v>71</v>
      </c>
      <c r="E318" s="49">
        <v>100</v>
      </c>
      <c r="F318" s="50">
        <v>45853</v>
      </c>
      <c r="G318" s="98">
        <v>2</v>
      </c>
      <c r="H318" s="49">
        <v>24</v>
      </c>
      <c r="I318" s="50">
        <v>45853</v>
      </c>
      <c r="J318" s="99">
        <v>2</v>
      </c>
      <c r="K318" s="51" t="s">
        <v>257</v>
      </c>
    </row>
    <row r="319" spans="1:11" hidden="1" x14ac:dyDescent="0.3">
      <c r="A319" s="47">
        <v>267</v>
      </c>
      <c r="B319" s="48">
        <v>14</v>
      </c>
      <c r="C319" s="94" t="s">
        <v>389</v>
      </c>
      <c r="D319" s="311">
        <v>72</v>
      </c>
      <c r="E319" s="49">
        <v>166.67</v>
      </c>
      <c r="F319" s="50">
        <v>45853</v>
      </c>
      <c r="G319" s="98">
        <v>2</v>
      </c>
      <c r="H319" s="49">
        <v>40</v>
      </c>
      <c r="I319" s="50">
        <v>45853</v>
      </c>
      <c r="J319" s="99">
        <v>2</v>
      </c>
      <c r="K319" s="51" t="s">
        <v>257</v>
      </c>
    </row>
    <row r="320" spans="1:11" hidden="1" x14ac:dyDescent="0.3">
      <c r="A320" s="47">
        <v>268</v>
      </c>
      <c r="B320" s="48">
        <v>1</v>
      </c>
      <c r="C320" s="94" t="s">
        <v>14</v>
      </c>
      <c r="D320" s="302">
        <v>66</v>
      </c>
      <c r="E320" s="49">
        <v>233.34</v>
      </c>
      <c r="F320" s="50">
        <v>45853</v>
      </c>
      <c r="G320" s="98">
        <v>3</v>
      </c>
      <c r="H320" s="49">
        <v>14</v>
      </c>
      <c r="I320" s="50">
        <v>45853</v>
      </c>
      <c r="J320" s="99">
        <v>3</v>
      </c>
      <c r="K320" s="51" t="s">
        <v>256</v>
      </c>
    </row>
    <row r="321" spans="1:11" hidden="1" x14ac:dyDescent="0.3">
      <c r="A321" s="47">
        <v>269</v>
      </c>
      <c r="B321" s="48">
        <v>2</v>
      </c>
      <c r="C321" s="94" t="s">
        <v>15</v>
      </c>
      <c r="D321" s="302">
        <v>69</v>
      </c>
      <c r="E321" s="49">
        <f>200</f>
        <v>200</v>
      </c>
      <c r="F321" s="50">
        <v>45853</v>
      </c>
      <c r="G321" s="98">
        <v>3</v>
      </c>
      <c r="H321" s="49">
        <v>12</v>
      </c>
      <c r="I321" s="50">
        <v>45853</v>
      </c>
      <c r="J321" s="99">
        <v>3</v>
      </c>
      <c r="K321" s="51" t="s">
        <v>256</v>
      </c>
    </row>
    <row r="322" spans="1:11" hidden="1" x14ac:dyDescent="0.3">
      <c r="A322" s="47">
        <v>270</v>
      </c>
      <c r="B322" s="48">
        <v>12</v>
      </c>
      <c r="C322" s="94" t="s">
        <v>25</v>
      </c>
      <c r="D322" s="302">
        <v>47</v>
      </c>
      <c r="E322" s="49">
        <v>41.67</v>
      </c>
      <c r="F322" s="50">
        <v>45853</v>
      </c>
      <c r="G322" s="98">
        <v>12</v>
      </c>
      <c r="H322" s="49">
        <v>10</v>
      </c>
      <c r="I322" s="50">
        <v>45853</v>
      </c>
      <c r="J322" s="99">
        <v>12</v>
      </c>
      <c r="K322" s="51" t="s">
        <v>433</v>
      </c>
    </row>
    <row r="323" spans="1:11" hidden="1" x14ac:dyDescent="0.3">
      <c r="A323" s="47">
        <v>271</v>
      </c>
      <c r="B323" s="48">
        <v>8</v>
      </c>
      <c r="C323" s="94" t="s">
        <v>21</v>
      </c>
      <c r="D323" s="311">
        <v>73</v>
      </c>
      <c r="E323" s="49">
        <v>100</v>
      </c>
      <c r="F323" s="50">
        <v>45853</v>
      </c>
      <c r="G323" s="98">
        <v>2</v>
      </c>
      <c r="H323" s="49">
        <v>6</v>
      </c>
      <c r="I323" s="50">
        <v>45853</v>
      </c>
      <c r="J323" s="99">
        <v>2</v>
      </c>
      <c r="K323" s="51" t="s">
        <v>434</v>
      </c>
    </row>
  </sheetData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scale="53" fitToHeight="0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G37"/>
  <sheetViews>
    <sheetView workbookViewId="0">
      <selection activeCell="C6" sqref="C6"/>
    </sheetView>
  </sheetViews>
  <sheetFormatPr baseColWidth="10" defaultRowHeight="14.4" x14ac:dyDescent="0.3"/>
  <cols>
    <col min="1" max="1" width="12.33203125" style="295" customWidth="1"/>
    <col min="2" max="2" width="10.5546875" bestFit="1" customWidth="1"/>
    <col min="3" max="3" width="9.6640625" customWidth="1"/>
    <col min="4" max="4" width="42.6640625" bestFit="1" customWidth="1"/>
  </cols>
  <sheetData>
    <row r="1" spans="1:7" x14ac:dyDescent="0.3">
      <c r="A1" s="296" t="s">
        <v>438</v>
      </c>
      <c r="B1" s="297" t="s">
        <v>50</v>
      </c>
      <c r="C1" s="297" t="s">
        <v>73</v>
      </c>
      <c r="D1" s="298" t="s">
        <v>338</v>
      </c>
    </row>
    <row r="2" spans="1:7" x14ac:dyDescent="0.3">
      <c r="A2" s="299" cm="1">
        <f t="array" ref="A2">IF(DENERO_CAJA[[#This Row],[MONTO]]&lt;&gt;"",ROW()-ROW(DENERO_CAJA[#Headers]),"")</f>
        <v>1</v>
      </c>
      <c r="B2" s="280">
        <v>44788</v>
      </c>
      <c r="C2" s="59">
        <v>130</v>
      </c>
      <c r="D2" s="293" t="s">
        <v>469</v>
      </c>
      <c r="F2" s="325">
        <v>130</v>
      </c>
      <c r="G2" s="275">
        <v>130</v>
      </c>
    </row>
    <row r="3" spans="1:7" x14ac:dyDescent="0.3">
      <c r="A3" s="299" cm="1">
        <f t="array" ref="A3">IF(DENERO_CAJA[[#This Row],[MONTO]]&lt;&gt;"",ROW()-ROW(DENERO_CAJA[#Headers]),"")</f>
        <v>2</v>
      </c>
      <c r="B3" s="280">
        <v>44819</v>
      </c>
      <c r="C3" s="59">
        <v>0</v>
      </c>
      <c r="D3" s="293"/>
      <c r="F3" s="325">
        <v>0</v>
      </c>
      <c r="G3" s="275">
        <v>0</v>
      </c>
    </row>
    <row r="4" spans="1:7" x14ac:dyDescent="0.3">
      <c r="A4" s="299" cm="1">
        <f t="array" ref="A4">IF(DENERO_CAJA[[#This Row],[MONTO]]&lt;&gt;"",ROW()-ROW(DENERO_CAJA[#Headers]),"")</f>
        <v>3</v>
      </c>
      <c r="B4" s="280">
        <v>44849</v>
      </c>
      <c r="C4" s="59">
        <v>13.2</v>
      </c>
      <c r="D4" s="293"/>
      <c r="F4" s="325">
        <v>13.2</v>
      </c>
      <c r="G4" s="275">
        <v>13.2</v>
      </c>
    </row>
    <row r="5" spans="1:7" x14ac:dyDescent="0.3">
      <c r="A5" s="299" cm="1">
        <f t="array" ref="A5">IF(DENERO_CAJA[[#This Row],[MONTO]]&lt;&gt;"",ROW()-ROW(DENERO_CAJA[#Headers]),"")</f>
        <v>4</v>
      </c>
      <c r="B5" s="280">
        <v>44880</v>
      </c>
      <c r="C5" s="59">
        <v>80.400000000000006</v>
      </c>
      <c r="D5" s="293"/>
      <c r="F5" s="325">
        <v>80.400000000000006</v>
      </c>
      <c r="G5" s="275">
        <v>30.4</v>
      </c>
    </row>
    <row r="6" spans="1:7" x14ac:dyDescent="0.3">
      <c r="A6" s="299" cm="1">
        <f t="array" ref="A6">IF(DENERO_CAJA[[#This Row],[MONTO]]&lt;&gt;"",ROW()-ROW(DENERO_CAJA[#Headers]),"")</f>
        <v>5</v>
      </c>
      <c r="B6" s="280">
        <v>44910</v>
      </c>
      <c r="C6" s="59">
        <v>158.4</v>
      </c>
      <c r="D6" s="293"/>
      <c r="F6" s="325">
        <v>158.4</v>
      </c>
      <c r="G6" s="275">
        <v>108.4</v>
      </c>
    </row>
    <row r="7" spans="1:7" x14ac:dyDescent="0.3">
      <c r="A7" s="299" cm="1">
        <f t="array" ref="A7">IF(DENERO_CAJA[[#This Row],[MONTO]]&lt;&gt;"",ROW()-ROW(DENERO_CAJA[#Headers]),"")</f>
        <v>6</v>
      </c>
      <c r="B7" s="280">
        <v>44941</v>
      </c>
      <c r="C7" s="59">
        <v>133.80000000000001</v>
      </c>
      <c r="D7" s="293"/>
      <c r="F7" s="325">
        <v>133.80000000000001</v>
      </c>
      <c r="G7" s="275">
        <v>83.8</v>
      </c>
    </row>
    <row r="8" spans="1:7" x14ac:dyDescent="0.3">
      <c r="A8" s="299" cm="1">
        <f t="array" ref="A8">IF(DENERO_CAJA[[#This Row],[MONTO]]&lt;&gt;"",ROW()-ROW(DENERO_CAJA[#Headers]),"")</f>
        <v>7</v>
      </c>
      <c r="B8" s="280">
        <v>44972</v>
      </c>
      <c r="C8" s="59">
        <v>70.53</v>
      </c>
      <c r="D8" s="293"/>
      <c r="F8" s="325">
        <v>70.53</v>
      </c>
      <c r="G8" s="275">
        <v>20.53</v>
      </c>
    </row>
    <row r="9" spans="1:7" x14ac:dyDescent="0.3">
      <c r="A9" s="300" cm="1">
        <f t="array" ref="A9">IF(DENERO_CAJA[[#This Row],[MONTO]]&lt;&gt;"",ROW()-ROW(DENERO_CAJA[#Headers]),"")</f>
        <v>8</v>
      </c>
      <c r="B9" s="280">
        <v>45000</v>
      </c>
      <c r="C9" s="59">
        <v>60.26</v>
      </c>
      <c r="D9" s="301"/>
      <c r="F9" s="325">
        <v>60.26</v>
      </c>
      <c r="G9" s="59">
        <v>10.26</v>
      </c>
    </row>
    <row r="10" spans="1:7" x14ac:dyDescent="0.3">
      <c r="A10" s="300" cm="1">
        <f t="array" ref="A10">IF(DENERO_CAJA[[#This Row],[MONTO]]&lt;&gt;"",ROW()-ROW(DENERO_CAJA[#Headers]),"")</f>
        <v>9</v>
      </c>
      <c r="B10" s="280">
        <v>45031</v>
      </c>
      <c r="C10" s="59">
        <v>419.59</v>
      </c>
      <c r="D10" s="301"/>
      <c r="F10" s="325">
        <v>419.59</v>
      </c>
      <c r="G10" s="59">
        <v>369.59</v>
      </c>
    </row>
    <row r="11" spans="1:7" x14ac:dyDescent="0.3">
      <c r="A11" s="300" cm="1">
        <f t="array" ref="A11">IF(DENERO_CAJA[[#This Row],[MONTO]]&lt;&gt;"",ROW()-ROW(DENERO_CAJA[#Headers]),"")</f>
        <v>10</v>
      </c>
      <c r="B11" s="280">
        <v>45061</v>
      </c>
      <c r="C11" s="59">
        <v>635.99</v>
      </c>
      <c r="D11" s="301"/>
      <c r="F11" s="325">
        <v>635.99</v>
      </c>
      <c r="G11" s="59">
        <v>585.99</v>
      </c>
    </row>
    <row r="12" spans="1:7" x14ac:dyDescent="0.3">
      <c r="A12" s="300" cm="1">
        <f t="array" ref="A12">IF(DENERO_CAJA[[#This Row],[MONTO]]&lt;&gt;"",ROW()-ROW(DENERO_CAJA[#Headers]),"")</f>
        <v>11</v>
      </c>
      <c r="B12" s="280">
        <v>45092</v>
      </c>
      <c r="C12" s="59">
        <v>112.99</v>
      </c>
      <c r="D12" s="301"/>
      <c r="F12" s="325">
        <v>112.99</v>
      </c>
      <c r="G12" s="59">
        <v>62.99</v>
      </c>
    </row>
    <row r="13" spans="1:7" x14ac:dyDescent="0.3">
      <c r="A13" s="300" cm="1">
        <f t="array" ref="A13">IF(DENERO_CAJA[[#This Row],[MONTO]]&lt;&gt;"",ROW()-ROW(DENERO_CAJA[#Headers]),"")</f>
        <v>12</v>
      </c>
      <c r="B13" s="280">
        <v>45122</v>
      </c>
      <c r="C13" s="59">
        <v>282.99</v>
      </c>
      <c r="D13" s="301"/>
      <c r="F13" s="325">
        <v>282.99</v>
      </c>
      <c r="G13" s="59">
        <v>482.99</v>
      </c>
    </row>
    <row r="14" spans="1:7" x14ac:dyDescent="0.3">
      <c r="A14" s="300" cm="1">
        <f t="array" ref="A14">IF(DENERO_CAJA[[#This Row],[MONTO]]&lt;&gt;"",ROW()-ROW(DENERO_CAJA[#Headers]),"")</f>
        <v>13</v>
      </c>
      <c r="B14" s="280">
        <v>45153</v>
      </c>
      <c r="C14" s="59">
        <v>396.99</v>
      </c>
      <c r="D14" s="301"/>
      <c r="F14" s="325">
        <v>396.99</v>
      </c>
      <c r="G14" s="59">
        <v>1204.99</v>
      </c>
    </row>
    <row r="15" spans="1:7" x14ac:dyDescent="0.3">
      <c r="A15" s="300" cm="1">
        <f t="array" ref="A15">IF(DENERO_CAJA[[#This Row],[MONTO]]&lt;&gt;"",ROW()-ROW(DENERO_CAJA[#Headers]),"")</f>
        <v>14</v>
      </c>
      <c r="B15" s="280">
        <v>45184</v>
      </c>
      <c r="C15" s="59">
        <v>77.989999999999995</v>
      </c>
      <c r="D15" s="301"/>
      <c r="F15" s="325">
        <v>77.989999999999995</v>
      </c>
      <c r="G15" s="59">
        <v>1135.99</v>
      </c>
    </row>
    <row r="16" spans="1:7" x14ac:dyDescent="0.3">
      <c r="A16" s="300" cm="1">
        <f t="array" ref="A16">IF(DENERO_CAJA[[#This Row],[MONTO]]&lt;&gt;"",ROW()-ROW(DENERO_CAJA[#Headers]),"")</f>
        <v>15</v>
      </c>
      <c r="B16" s="280">
        <v>45214</v>
      </c>
      <c r="C16" s="59">
        <v>166.99</v>
      </c>
      <c r="D16" s="301"/>
      <c r="F16" s="325">
        <v>166.99</v>
      </c>
      <c r="G16" s="59">
        <v>366.99</v>
      </c>
    </row>
    <row r="17" spans="1:7" x14ac:dyDescent="0.3">
      <c r="A17" s="300" cm="1">
        <f t="array" ref="A17">IF(DENERO_CAJA[[#This Row],[MONTO]]&lt;&gt;"",ROW()-ROW(DENERO_CAJA[#Headers]),"")</f>
        <v>16</v>
      </c>
      <c r="B17" s="280">
        <v>45245</v>
      </c>
      <c r="C17" s="59">
        <v>16.649999999999999</v>
      </c>
      <c r="D17" s="301"/>
      <c r="F17" s="325">
        <v>16.649999999999999</v>
      </c>
      <c r="G17" s="59">
        <v>216.63</v>
      </c>
    </row>
    <row r="18" spans="1:7" x14ac:dyDescent="0.3">
      <c r="A18" s="300" cm="1">
        <f t="array" ref="A18">IF(DENERO_CAJA[[#This Row],[MONTO]]&lt;&gt;"",ROW()-ROW(DENERO_CAJA[#Headers]),"")</f>
        <v>17</v>
      </c>
      <c r="B18" s="280">
        <v>45275</v>
      </c>
      <c r="C18" s="59">
        <v>323.79000000000002</v>
      </c>
      <c r="D18" s="301"/>
      <c r="F18" s="325">
        <v>323.79000000000002</v>
      </c>
      <c r="G18" s="59">
        <v>523.77</v>
      </c>
    </row>
    <row r="19" spans="1:7" x14ac:dyDescent="0.3">
      <c r="A19" s="300" cm="1">
        <f t="array" ref="A19">IF(DENERO_CAJA[[#This Row],[MONTO]]&lt;&gt;"",ROW()-ROW(DENERO_CAJA[#Headers]),"")</f>
        <v>18</v>
      </c>
      <c r="B19" s="280">
        <v>45306</v>
      </c>
      <c r="C19" s="59">
        <v>334.93</v>
      </c>
      <c r="D19" s="301"/>
      <c r="F19" s="325">
        <v>334.93</v>
      </c>
      <c r="G19" s="59">
        <v>534.91</v>
      </c>
    </row>
    <row r="20" spans="1:7" x14ac:dyDescent="0.3">
      <c r="A20" s="300" cm="1">
        <f t="array" ref="A20">IF(DENERO_CAJA[[#This Row],[MONTO]]&lt;&gt;"",ROW()-ROW(DENERO_CAJA[#Headers]),"")</f>
        <v>19</v>
      </c>
      <c r="B20" s="280">
        <v>45337</v>
      </c>
      <c r="C20" s="59">
        <v>476.07</v>
      </c>
      <c r="D20" s="301"/>
      <c r="F20" s="325">
        <v>476.07</v>
      </c>
      <c r="G20" s="59">
        <v>676.05</v>
      </c>
    </row>
    <row r="21" spans="1:7" x14ac:dyDescent="0.3">
      <c r="A21" s="300" cm="1">
        <f t="array" ref="A21">IF(DENERO_CAJA[[#This Row],[MONTO]]&lt;&gt;"",ROW()-ROW(DENERO_CAJA[#Headers]),"")</f>
        <v>20</v>
      </c>
      <c r="B21" s="280">
        <v>45366</v>
      </c>
      <c r="C21" s="59">
        <v>56.21</v>
      </c>
      <c r="D21" s="301"/>
      <c r="F21" s="325">
        <v>56.21</v>
      </c>
      <c r="G21" s="59">
        <v>256.19</v>
      </c>
    </row>
    <row r="22" spans="1:7" x14ac:dyDescent="0.3">
      <c r="A22" s="300" cm="1">
        <f t="array" ref="A22">IF(DENERO_CAJA[[#This Row],[MONTO]]&lt;&gt;"",ROW()-ROW(DENERO_CAJA[#Headers]),"")</f>
        <v>21</v>
      </c>
      <c r="B22" s="280">
        <v>45397</v>
      </c>
      <c r="C22" s="59">
        <v>472.35</v>
      </c>
      <c r="D22" s="301"/>
      <c r="F22" s="325">
        <v>472.35</v>
      </c>
      <c r="G22" s="59">
        <v>672.33</v>
      </c>
    </row>
    <row r="23" spans="1:7" x14ac:dyDescent="0.3">
      <c r="A23" s="300" cm="1">
        <f t="array" ref="A23">IF(DENERO_CAJA[[#This Row],[MONTO]]&lt;&gt;"",ROW()-ROW(DENERO_CAJA[#Headers]),"")</f>
        <v>22</v>
      </c>
      <c r="B23" s="280">
        <v>45427</v>
      </c>
      <c r="C23" s="59">
        <v>142.49</v>
      </c>
      <c r="D23" s="301"/>
      <c r="F23" s="325">
        <v>142.49</v>
      </c>
      <c r="G23" s="59">
        <v>342.47</v>
      </c>
    </row>
    <row r="24" spans="1:7" x14ac:dyDescent="0.3">
      <c r="A24" s="300" cm="1">
        <f t="array" ref="A24">IF(DENERO_CAJA[[#This Row],[MONTO]]&lt;&gt;"",ROW()-ROW(DENERO_CAJA[#Headers]),"")</f>
        <v>23</v>
      </c>
      <c r="B24" s="280">
        <v>45458</v>
      </c>
      <c r="C24" s="59">
        <v>49.23</v>
      </c>
      <c r="D24" s="301"/>
      <c r="F24" s="325">
        <v>49.23</v>
      </c>
      <c r="G24" s="59">
        <v>241.18</v>
      </c>
    </row>
    <row r="25" spans="1:7" x14ac:dyDescent="0.3">
      <c r="A25" s="300" cm="1">
        <f t="array" ref="A25">IF(DENERO_CAJA[[#This Row],[MONTO]]&lt;&gt;"",ROW()-ROW(DENERO_CAJA[#Headers]),"")</f>
        <v>24</v>
      </c>
      <c r="B25" s="280">
        <v>45488</v>
      </c>
      <c r="C25" s="59">
        <v>139.94</v>
      </c>
      <c r="D25" s="301"/>
      <c r="F25" s="325">
        <v>139.94</v>
      </c>
      <c r="G25" s="59">
        <v>331.89</v>
      </c>
    </row>
    <row r="26" spans="1:7" x14ac:dyDescent="0.3">
      <c r="A26" s="300" cm="1">
        <f t="array" ref="A26">IF(DENERO_CAJA[[#This Row],[MONTO]]&lt;&gt;"",ROW()-ROW(DENERO_CAJA[#Headers]),"")</f>
        <v>25</v>
      </c>
      <c r="B26" s="280">
        <v>45519</v>
      </c>
      <c r="C26" s="59">
        <v>201.32</v>
      </c>
      <c r="D26" s="301"/>
      <c r="F26" s="325">
        <v>201.32</v>
      </c>
      <c r="G26" s="59">
        <v>393.27</v>
      </c>
    </row>
    <row r="27" spans="1:7" x14ac:dyDescent="0.3">
      <c r="A27" s="300" cm="1">
        <f t="array" ref="A27">IF(DENERO_CAJA[[#This Row],[MONTO]]&lt;&gt;"",ROW()-ROW(DENERO_CAJA[#Headers]),"")</f>
        <v>26</v>
      </c>
      <c r="B27" s="280">
        <v>45550</v>
      </c>
      <c r="C27" s="59">
        <v>648.70000000000005</v>
      </c>
      <c r="D27" s="301"/>
      <c r="F27" s="325">
        <v>648.70000000000005</v>
      </c>
      <c r="G27" s="59">
        <v>840.65</v>
      </c>
    </row>
    <row r="28" spans="1:7" x14ac:dyDescent="0.3">
      <c r="A28" s="300" cm="1">
        <f t="array" ref="A28">IF(DENERO_CAJA[[#This Row],[MONTO]]&lt;&gt;"",ROW()-ROW(DENERO_CAJA[#Headers]),"")</f>
        <v>27</v>
      </c>
      <c r="B28" s="280">
        <v>45580</v>
      </c>
      <c r="C28" s="59">
        <v>616.78</v>
      </c>
      <c r="D28" s="301"/>
      <c r="F28" s="325">
        <v>616.78</v>
      </c>
      <c r="G28" s="59">
        <v>1008.73</v>
      </c>
    </row>
    <row r="29" spans="1:7" x14ac:dyDescent="0.3">
      <c r="A29" s="300" cm="1">
        <f t="array" ref="A29">IF(DENERO_CAJA[[#This Row],[MONTO]]&lt;&gt;"",ROW()-ROW(DENERO_CAJA[#Headers]),"")</f>
        <v>28</v>
      </c>
      <c r="B29" s="280">
        <v>45611</v>
      </c>
      <c r="C29" s="59">
        <v>238.67</v>
      </c>
      <c r="D29" s="301"/>
      <c r="F29" s="325">
        <v>238.67</v>
      </c>
      <c r="G29" s="59">
        <v>618.46</v>
      </c>
    </row>
    <row r="30" spans="1:7" x14ac:dyDescent="0.3">
      <c r="A30" s="300" cm="1">
        <f t="array" ref="A30">IF(DENERO_CAJA[[#This Row],[MONTO]]&lt;&gt;"",ROW()-ROW(DENERO_CAJA[#Headers]),"")</f>
        <v>29</v>
      </c>
      <c r="B30" s="280">
        <v>45641</v>
      </c>
      <c r="C30" s="59">
        <v>135.71</v>
      </c>
      <c r="D30" s="301"/>
      <c r="F30" s="325">
        <v>135.71</v>
      </c>
      <c r="G30" s="59">
        <v>515.46</v>
      </c>
    </row>
    <row r="31" spans="1:7" x14ac:dyDescent="0.3">
      <c r="A31" s="300" cm="1">
        <f t="array" ref="A31">IF(DENERO_CAJA[[#This Row],[MONTO]]&lt;&gt;"",ROW()-ROW(DENERO_CAJA[#Headers]),"")</f>
        <v>30</v>
      </c>
      <c r="B31" s="280">
        <v>45672</v>
      </c>
      <c r="C31" s="59">
        <v>252.65</v>
      </c>
      <c r="D31" s="301"/>
      <c r="F31" s="325">
        <v>252.65</v>
      </c>
      <c r="G31" s="59">
        <v>644.4</v>
      </c>
    </row>
    <row r="32" spans="1:7" x14ac:dyDescent="0.3">
      <c r="A32" s="300" cm="1">
        <f t="array" ref="A32">IF(DENERO_CAJA[[#This Row],[MONTO]]&lt;&gt;"",ROW()-ROW(DENERO_CAJA[#Headers]),"")</f>
        <v>31</v>
      </c>
      <c r="B32" s="280">
        <v>45703</v>
      </c>
      <c r="C32" s="59">
        <v>364.99</v>
      </c>
      <c r="D32" s="301"/>
      <c r="F32" s="325">
        <v>364.99</v>
      </c>
      <c r="G32" s="59">
        <v>756.74</v>
      </c>
    </row>
    <row r="33" spans="1:7" x14ac:dyDescent="0.3">
      <c r="A33" s="300" cm="1">
        <f t="array" ref="A33">IF(DENERO_CAJA[[#This Row],[MONTO]]&lt;&gt;"",ROW()-ROW(DENERO_CAJA[#Headers]),"")</f>
        <v>32</v>
      </c>
      <c r="B33" s="280">
        <v>45731</v>
      </c>
      <c r="C33" s="59">
        <v>28.66</v>
      </c>
      <c r="D33" s="301"/>
      <c r="F33" s="325">
        <v>28.66</v>
      </c>
      <c r="G33" s="59">
        <v>1624.41</v>
      </c>
    </row>
    <row r="34" spans="1:7" x14ac:dyDescent="0.3">
      <c r="A34" s="300" cm="1">
        <f t="array" ref="A34">IF(DENERO_CAJA[[#This Row],[MONTO]]&lt;&gt;"",ROW()-ROW(DENERO_CAJA[#Headers]),"")</f>
        <v>33</v>
      </c>
      <c r="B34" s="280">
        <v>45762</v>
      </c>
      <c r="C34" s="59">
        <v>1588.33</v>
      </c>
      <c r="D34" s="301"/>
      <c r="F34" s="325">
        <v>1588.33</v>
      </c>
      <c r="G34" s="59">
        <v>680.08</v>
      </c>
    </row>
    <row r="35" spans="1:7" x14ac:dyDescent="0.3">
      <c r="A35" s="300" cm="1">
        <f t="array" ref="A35">IF(DENERO_CAJA[[#This Row],[MONTO]]&lt;&gt;"",ROW()-ROW(DENERO_CAJA[#Headers]),"")</f>
        <v>34</v>
      </c>
      <c r="B35" s="280">
        <v>45792</v>
      </c>
      <c r="C35" s="59">
        <v>81.33</v>
      </c>
      <c r="D35" s="301"/>
      <c r="F35" s="325">
        <v>81.33</v>
      </c>
      <c r="G35" s="59">
        <v>177.08</v>
      </c>
    </row>
    <row r="36" spans="1:7" x14ac:dyDescent="0.3">
      <c r="A36" s="300" cm="1">
        <f t="array" ref="A36">IF(DENERO_CAJA[[#This Row],[MONTO]]&lt;&gt;"",ROW()-ROW(DENERO_CAJA[#Headers]),"")</f>
        <v>35</v>
      </c>
      <c r="B36" s="280">
        <v>45823</v>
      </c>
      <c r="C36" s="59">
        <v>1851.8</v>
      </c>
      <c r="D36" s="301"/>
      <c r="F36" s="325">
        <v>1851.8</v>
      </c>
      <c r="G36" s="59">
        <v>1937.55</v>
      </c>
    </row>
    <row r="37" spans="1:7" x14ac:dyDescent="0.3">
      <c r="A37" s="300" cm="1">
        <f t="array" ref="A37">IF(DENERO_CAJA[[#This Row],[MONTO]]&lt;&gt;"",ROW()-ROW(DENERO_CAJA[#Headers]),"")</f>
        <v>36</v>
      </c>
      <c r="B37" s="280">
        <v>45853</v>
      </c>
      <c r="C37" s="59">
        <v>3631.48</v>
      </c>
      <c r="D37" s="301"/>
      <c r="F37" s="325">
        <v>3631.48</v>
      </c>
      <c r="G37" s="59">
        <v>3667.22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AH32"/>
  <sheetViews>
    <sheetView tabSelected="1" workbookViewId="0">
      <selection activeCell="H11" sqref="H11"/>
    </sheetView>
  </sheetViews>
  <sheetFormatPr baseColWidth="10" defaultColWidth="10.88671875" defaultRowHeight="14.4" x14ac:dyDescent="0.3"/>
  <cols>
    <col min="1" max="1" width="3" style="121" customWidth="1"/>
    <col min="2" max="2" width="20.44140625" style="121" bestFit="1" customWidth="1"/>
    <col min="3" max="3" width="15.88671875" style="121" bestFit="1" customWidth="1"/>
    <col min="4" max="4" width="17.33203125" style="121" bestFit="1" customWidth="1"/>
    <col min="5" max="5" width="11.33203125" style="121" bestFit="1" customWidth="1"/>
    <col min="6" max="6" width="2.88671875" style="121" customWidth="1"/>
    <col min="7" max="7" width="7.5546875" style="121" customWidth="1"/>
    <col min="8" max="8" width="12.33203125" style="121" bestFit="1" customWidth="1"/>
    <col min="9" max="9" width="10.88671875" style="121"/>
    <col min="10" max="10" width="10.5546875" style="121" bestFit="1" customWidth="1"/>
    <col min="11" max="11" width="8.88671875" style="121" bestFit="1" customWidth="1"/>
    <col min="12" max="12" width="1.6640625" style="121" customWidth="1"/>
    <col min="13" max="13" width="10.88671875" style="121"/>
    <col min="14" max="14" width="12.33203125" style="121" hidden="1" customWidth="1"/>
    <col min="15" max="15" width="10.88671875" style="121" hidden="1" customWidth="1"/>
    <col min="16" max="16" width="12.109375" style="121" bestFit="1" customWidth="1"/>
    <col min="17" max="17" width="12.33203125" style="121" bestFit="1" customWidth="1"/>
    <col min="18" max="18" width="11.5546875" style="121" bestFit="1" customWidth="1"/>
    <col min="19" max="19" width="9.88671875" style="121" bestFit="1" customWidth="1"/>
    <col min="20" max="28" width="10.88671875" style="121" customWidth="1"/>
    <col min="29" max="29" width="10.88671875" style="121" hidden="1" customWidth="1"/>
    <col min="30" max="30" width="12.5546875" style="121" hidden="1" customWidth="1"/>
    <col min="31" max="34" width="10.88671875" style="121" hidden="1" customWidth="1"/>
    <col min="35" max="16384" width="10.88671875" style="121"/>
  </cols>
  <sheetData>
    <row r="1" spans="2:34" ht="15" thickBot="1" x14ac:dyDescent="0.35"/>
    <row r="2" spans="2:34" ht="15.6" thickTop="1" thickBot="1" x14ac:dyDescent="0.35">
      <c r="B2" s="352" t="s">
        <v>96</v>
      </c>
      <c r="C2" s="353"/>
      <c r="D2" s="326" t="s">
        <v>472</v>
      </c>
      <c r="E2" s="131">
        <v>44941</v>
      </c>
      <c r="M2" s="132" t="s">
        <v>138</v>
      </c>
      <c r="N2" s="132" t="s">
        <v>139</v>
      </c>
      <c r="O2" s="132" t="s">
        <v>140</v>
      </c>
      <c r="P2" s="132" t="s">
        <v>141</v>
      </c>
      <c r="Q2" s="132" t="s">
        <v>142</v>
      </c>
      <c r="R2" s="132" t="s">
        <v>143</v>
      </c>
      <c r="S2" s="132" t="s">
        <v>144</v>
      </c>
      <c r="AC2" s="132" t="s">
        <v>136</v>
      </c>
      <c r="AD2" s="132"/>
      <c r="AE2" s="132"/>
      <c r="AF2" s="132"/>
      <c r="AG2" s="132"/>
      <c r="AH2" s="138"/>
    </row>
    <row r="3" spans="2:34" ht="15.6" thickTop="1" thickBot="1" x14ac:dyDescent="0.35">
      <c r="B3" s="354"/>
      <c r="C3" s="355"/>
      <c r="D3" s="326" t="s">
        <v>473</v>
      </c>
      <c r="E3" s="131">
        <v>44696</v>
      </c>
      <c r="G3" s="107" t="s">
        <v>96</v>
      </c>
      <c r="H3" s="108"/>
      <c r="I3" s="108"/>
      <c r="J3" s="109"/>
      <c r="M3" s="132" t="s">
        <v>136</v>
      </c>
      <c r="N3" s="132"/>
      <c r="O3" s="132"/>
      <c r="P3" s="132"/>
      <c r="Q3" s="132"/>
      <c r="R3" s="138"/>
      <c r="AC3" s="133">
        <v>100</v>
      </c>
      <c r="AD3" s="135">
        <f t="shared" ref="AD3:AD8" si="0">10000*$AC3</f>
        <v>1000000</v>
      </c>
      <c r="AE3" s="135">
        <f t="shared" ref="AE3:AE8" si="1">1000*$AC3</f>
        <v>100000</v>
      </c>
      <c r="AF3" s="135">
        <f t="shared" ref="AF3:AF8" si="2">100*$AC3</f>
        <v>10000</v>
      </c>
      <c r="AG3" s="135">
        <f t="shared" ref="AG3:AG8" si="3">10*$AC3</f>
        <v>1000</v>
      </c>
      <c r="AH3" s="135">
        <f t="shared" ref="AH3:AH8" si="4">+$AC3*1</f>
        <v>100</v>
      </c>
    </row>
    <row r="4" spans="2:34" ht="15.6" thickTop="1" thickBot="1" x14ac:dyDescent="0.35">
      <c r="B4" s="356"/>
      <c r="C4" s="357"/>
      <c r="D4" s="326" t="s">
        <v>471</v>
      </c>
      <c r="E4" s="131">
        <v>44971</v>
      </c>
      <c r="G4" s="106" t="s">
        <v>118</v>
      </c>
      <c r="H4" s="2"/>
      <c r="I4" s="2"/>
      <c r="J4" s="116">
        <f>SUMIFS(APORTACIONESOCIOS[MONTO],APORTACIONESOCIOS[FECHA],"&gt;="&amp;$E$2,APORTACIONESOCIOS[FECHA],"&lt;="&amp;$E$4)</f>
        <v>130</v>
      </c>
      <c r="M4" s="133">
        <v>20</v>
      </c>
      <c r="N4" s="135">
        <v>200000</v>
      </c>
      <c r="O4" s="135">
        <v>20000</v>
      </c>
      <c r="P4" s="143">
        <v>1</v>
      </c>
      <c r="Q4" s="143">
        <v>6</v>
      </c>
      <c r="R4" s="143">
        <v>8</v>
      </c>
      <c r="S4" s="144">
        <f>SUM(P4*100+Q4*10+R4*1)</f>
        <v>168</v>
      </c>
      <c r="AC4" s="133">
        <v>50</v>
      </c>
      <c r="AD4" s="135">
        <f t="shared" si="0"/>
        <v>500000</v>
      </c>
      <c r="AE4" s="135">
        <f t="shared" si="1"/>
        <v>50000</v>
      </c>
      <c r="AF4" s="135">
        <f t="shared" si="2"/>
        <v>5000</v>
      </c>
      <c r="AG4" s="135">
        <f t="shared" si="3"/>
        <v>500</v>
      </c>
      <c r="AH4" s="135">
        <f t="shared" si="4"/>
        <v>50</v>
      </c>
    </row>
    <row r="5" spans="2:34" ht="15.6" thickTop="1" thickBot="1" x14ac:dyDescent="0.35">
      <c r="B5" s="106" t="s">
        <v>95</v>
      </c>
      <c r="C5" s="2"/>
      <c r="D5" s="2"/>
      <c r="E5" s="200">
        <f>SUMIFS(APORTACIONESOCIOS[MONTO],APORTACIONESOCIOS[FECHA],"&gt;="&amp;$E$3,APORTACIONESOCIOS[FECHA],"&lt;="&amp;$E$4)</f>
        <v>780</v>
      </c>
      <c r="G5" s="106" t="s">
        <v>107</v>
      </c>
      <c r="H5" s="2"/>
      <c r="I5" s="2"/>
      <c r="J5" s="116">
        <f>E9-E22</f>
        <v>350</v>
      </c>
      <c r="M5" s="133">
        <v>10</v>
      </c>
      <c r="N5" s="135">
        <v>100000</v>
      </c>
      <c r="O5" s="135">
        <v>10000</v>
      </c>
      <c r="P5" s="143"/>
      <c r="Q5" s="143">
        <v>1</v>
      </c>
      <c r="R5" s="143">
        <v>1</v>
      </c>
      <c r="S5" s="144">
        <f>SUM(P5*100+Q5*10+R5*1)</f>
        <v>11</v>
      </c>
      <c r="AC5" s="133">
        <v>20</v>
      </c>
      <c r="AD5" s="135">
        <f t="shared" si="0"/>
        <v>200000</v>
      </c>
      <c r="AE5" s="135">
        <f t="shared" si="1"/>
        <v>20000</v>
      </c>
      <c r="AF5" s="135">
        <f t="shared" si="2"/>
        <v>2000</v>
      </c>
      <c r="AG5" s="135">
        <f t="shared" si="3"/>
        <v>200</v>
      </c>
      <c r="AH5" s="135">
        <f t="shared" si="4"/>
        <v>20</v>
      </c>
    </row>
    <row r="6" spans="2:34" ht="15.6" thickTop="1" thickBot="1" x14ac:dyDescent="0.35">
      <c r="B6" s="107" t="s">
        <v>183</v>
      </c>
      <c r="C6" s="108"/>
      <c r="D6" s="108"/>
      <c r="E6" s="208"/>
      <c r="G6" s="106" t="s">
        <v>108</v>
      </c>
      <c r="H6" s="2"/>
      <c r="I6" s="2"/>
      <c r="J6" s="116">
        <f>SUMIFS(PAGOS[PAGO DEL MONTO],PAGOS[REG],"&lt;&gt;EGRESO*",PAGOS[FECHA PAGO DEL MONTO],"&gt;="&amp;$E$2,PAGOS[FECHA PAGO DEL MONTO],"&lt;="&amp;$E$4)-SUMIFS(PAGOS[PAGO DEL MONTO],PAGOS[CODIGO CLIENTE],19,PAGOS[FECHA PAGO DEL MONTO],"&gt;="&amp;$E$2,PAGOS[FECHA PAGO DEL MONTO],"&lt;="&amp;$E$4)</f>
        <v>184</v>
      </c>
      <c r="M6" s="133">
        <v>5</v>
      </c>
      <c r="N6" s="135">
        <v>50000</v>
      </c>
      <c r="O6" s="135">
        <v>5000</v>
      </c>
      <c r="P6" s="143"/>
      <c r="Q6" s="143"/>
      <c r="R6" s="143">
        <v>7</v>
      </c>
      <c r="S6" s="144">
        <f>SUM(P6*100+Q6*10+R6*1)</f>
        <v>7</v>
      </c>
      <c r="AC6" s="133">
        <v>10</v>
      </c>
      <c r="AD6" s="135">
        <f t="shared" si="0"/>
        <v>100000</v>
      </c>
      <c r="AE6" s="135">
        <f t="shared" si="1"/>
        <v>10000</v>
      </c>
      <c r="AF6" s="135">
        <f t="shared" si="2"/>
        <v>1000</v>
      </c>
      <c r="AG6" s="135">
        <f t="shared" si="3"/>
        <v>100</v>
      </c>
      <c r="AH6" s="135">
        <f t="shared" si="4"/>
        <v>10</v>
      </c>
    </row>
    <row r="7" spans="2:34" ht="15" thickTop="1" x14ac:dyDescent="0.3">
      <c r="B7" s="206" t="s">
        <v>247</v>
      </c>
      <c r="C7" s="2"/>
      <c r="D7" s="2"/>
      <c r="E7" s="199">
        <f>SUMIFS(PRESTAMOS[MONTO AMORTIZACION],PRESTAMOS[REG],"&lt;&gt;AYUDA*",PRESTAMOS[FECHA DEL PRESTAMO],"&gt;="&amp;$E$3,PRESTAMOS[FECHA DEL PRESTAMO],"&lt;="&amp;$E$4)</f>
        <v>1480</v>
      </c>
      <c r="G7" s="106" t="s">
        <v>109</v>
      </c>
      <c r="H7" s="2"/>
      <c r="I7" s="2"/>
      <c r="J7" s="116">
        <f>E11</f>
        <v>23</v>
      </c>
      <c r="M7" s="133">
        <v>1</v>
      </c>
      <c r="N7" s="135">
        <v>10000</v>
      </c>
      <c r="O7" s="135">
        <v>1000</v>
      </c>
      <c r="P7" s="143"/>
      <c r="Q7" s="143"/>
      <c r="R7" s="143">
        <v>1</v>
      </c>
      <c r="S7" s="144">
        <f>SUM(P7*100+Q7*10+R7*1)</f>
        <v>1</v>
      </c>
      <c r="AC7" s="133">
        <v>5</v>
      </c>
      <c r="AD7" s="135">
        <f t="shared" si="0"/>
        <v>50000</v>
      </c>
      <c r="AE7" s="135">
        <f t="shared" si="1"/>
        <v>5000</v>
      </c>
      <c r="AF7" s="135">
        <f t="shared" si="2"/>
        <v>500</v>
      </c>
      <c r="AG7" s="135">
        <f t="shared" si="3"/>
        <v>50</v>
      </c>
      <c r="AH7" s="135">
        <f t="shared" si="4"/>
        <v>5</v>
      </c>
    </row>
    <row r="8" spans="2:34" ht="15" thickBot="1" x14ac:dyDescent="0.35">
      <c r="B8" s="207" t="s">
        <v>248</v>
      </c>
      <c r="C8" s="2"/>
      <c r="D8" s="2"/>
      <c r="E8" s="115">
        <f>SUMIFS(PRESTAMOS[MONTO AMORTIZACION],PRESTAMOS[REG],"AYUDA*",PRESTAMOS[FECHA DEL PRESTAMO],"&gt;="&amp;$E$3,PRESTAMOS[FECHA DEL PRESTAMO],"&lt;="&amp;$E$4)</f>
        <v>100</v>
      </c>
      <c r="G8" s="106" t="s">
        <v>110</v>
      </c>
      <c r="H8" s="2"/>
      <c r="I8" s="2"/>
      <c r="J8" s="116">
        <f>E17</f>
        <v>11.4</v>
      </c>
      <c r="M8" s="134" t="s">
        <v>137</v>
      </c>
      <c r="N8" s="136"/>
      <c r="O8" s="136"/>
      <c r="P8" s="136"/>
      <c r="Q8" s="136"/>
      <c r="R8" s="139"/>
      <c r="AC8" s="133">
        <v>1</v>
      </c>
      <c r="AD8" s="135">
        <f t="shared" si="0"/>
        <v>10000</v>
      </c>
      <c r="AE8" s="135">
        <f t="shared" si="1"/>
        <v>1000</v>
      </c>
      <c r="AF8" s="135">
        <f t="shared" si="2"/>
        <v>100</v>
      </c>
      <c r="AG8" s="135">
        <f t="shared" si="3"/>
        <v>10</v>
      </c>
      <c r="AH8" s="135">
        <f t="shared" si="4"/>
        <v>1</v>
      </c>
    </row>
    <row r="9" spans="2:34" ht="15.6" thickTop="1" thickBot="1" x14ac:dyDescent="0.35">
      <c r="B9" s="106" t="s">
        <v>107</v>
      </c>
      <c r="C9" s="2"/>
      <c r="D9" s="2"/>
      <c r="E9" s="116">
        <f>SUMIFS(PRESTAMOS[MONTO AMORTIZACION],PRESTAMOS[REG],"&lt;&gt;""",PRESTAMOS[FECHA DEL PRESTAMO],"&gt;="&amp;$E$2,PRESTAMOS[FECHA DEL PRESTAMO],"&lt;="&amp;$E$4)</f>
        <v>350</v>
      </c>
      <c r="G9" s="111" t="s">
        <v>121</v>
      </c>
      <c r="H9" s="112"/>
      <c r="I9" s="112"/>
      <c r="J9" s="221">
        <v>158.4</v>
      </c>
      <c r="K9" s="122"/>
      <c r="M9" s="133">
        <v>1</v>
      </c>
      <c r="N9" s="137">
        <v>10000</v>
      </c>
      <c r="O9" s="137">
        <v>1000</v>
      </c>
      <c r="P9" s="142"/>
      <c r="Q9" s="142">
        <v>1</v>
      </c>
      <c r="R9" s="142"/>
      <c r="S9" s="144">
        <f t="shared" ref="S9:S14" si="5">SUM(P9*100+Q9*10+R9*1)</f>
        <v>10</v>
      </c>
      <c r="AC9" s="134" t="s">
        <v>137</v>
      </c>
      <c r="AD9" s="136"/>
      <c r="AE9" s="136"/>
      <c r="AF9" s="136"/>
      <c r="AG9" s="136"/>
      <c r="AH9" s="139"/>
    </row>
    <row r="10" spans="2:34" ht="15" thickTop="1" x14ac:dyDescent="0.3">
      <c r="B10" s="207" t="s">
        <v>249</v>
      </c>
      <c r="C10" s="2"/>
      <c r="D10" s="2"/>
      <c r="E10" s="209">
        <f>SUMIFS(PRESTAMOS[T. INT],PRESTAMOS[REG],"&lt;&gt;AYUDA*",PRESTAMOS[FECHA DEL PRESTAMO],"&gt;="&amp;$E$3,PRESTAMOS[FECHA DEL PRESTAMO],"&lt;="&amp;$E$4)</f>
        <v>78.400000000000006</v>
      </c>
      <c r="G10" s="123" t="s">
        <v>119</v>
      </c>
      <c r="H10" s="103"/>
      <c r="I10" s="103"/>
      <c r="J10" s="125">
        <f>J4+J6+J8+J9</f>
        <v>483.79999999999995</v>
      </c>
      <c r="K10" s="122"/>
      <c r="M10" s="133">
        <v>0.5</v>
      </c>
      <c r="N10" s="135">
        <v>5000</v>
      </c>
      <c r="O10" s="135">
        <v>500</v>
      </c>
      <c r="P10" s="143"/>
      <c r="Q10" s="143"/>
      <c r="R10" s="143">
        <v>3</v>
      </c>
      <c r="S10" s="144">
        <f t="shared" si="5"/>
        <v>3</v>
      </c>
      <c r="AC10" s="133">
        <v>1</v>
      </c>
      <c r="AD10" s="137">
        <f t="shared" ref="AD10:AD15" si="6">$AC10*10000</f>
        <v>10000</v>
      </c>
      <c r="AE10" s="137">
        <f t="shared" ref="AE10:AE15" si="7">$AC10*1000</f>
        <v>1000</v>
      </c>
      <c r="AF10" s="137">
        <f t="shared" ref="AF10:AF15" si="8">$AC10*100</f>
        <v>100</v>
      </c>
      <c r="AG10" s="137">
        <f t="shared" ref="AG10:AG15" si="9">$AC10*10</f>
        <v>10</v>
      </c>
      <c r="AH10" s="137">
        <f t="shared" ref="AH10:AH15" si="10">$AC10*1</f>
        <v>1</v>
      </c>
    </row>
    <row r="11" spans="2:34" ht="15" thickBot="1" x14ac:dyDescent="0.35">
      <c r="B11" s="106" t="s">
        <v>109</v>
      </c>
      <c r="C11" s="2"/>
      <c r="D11" s="2"/>
      <c r="E11" s="116">
        <f>SUMIFS(PRESTAMOS[T. INT],PRESTAMOS[REG],"&lt;&gt;AYUDA*",PRESTAMOS[FECHA DEL PRESTAMO],"&gt;="&amp;$E$2,PRESTAMOS[FECHA DEL PRESTAMO],"&lt;="&amp;$E$4)</f>
        <v>23</v>
      </c>
      <c r="G11" s="124" t="s">
        <v>120</v>
      </c>
      <c r="H11" s="2"/>
      <c r="I11" s="2"/>
      <c r="J11" s="126">
        <f>J5</f>
        <v>350</v>
      </c>
      <c r="M11" s="133">
        <v>0.25</v>
      </c>
      <c r="N11" s="135">
        <v>2000</v>
      </c>
      <c r="O11" s="135">
        <v>200</v>
      </c>
      <c r="P11" s="143"/>
      <c r="Q11" s="143"/>
      <c r="R11" s="143">
        <v>3</v>
      </c>
      <c r="S11" s="144">
        <f t="shared" si="5"/>
        <v>3</v>
      </c>
      <c r="AC11" s="133">
        <v>0.5</v>
      </c>
      <c r="AD11" s="137">
        <f t="shared" si="6"/>
        <v>5000</v>
      </c>
      <c r="AE11" s="137">
        <f t="shared" si="7"/>
        <v>500</v>
      </c>
      <c r="AF11" s="137">
        <f t="shared" si="8"/>
        <v>50</v>
      </c>
      <c r="AG11" s="137">
        <f t="shared" si="9"/>
        <v>5</v>
      </c>
      <c r="AH11" s="137">
        <f t="shared" si="10"/>
        <v>0.5</v>
      </c>
    </row>
    <row r="12" spans="2:34" ht="15.6" thickTop="1" thickBot="1" x14ac:dyDescent="0.35">
      <c r="B12" s="210" t="s">
        <v>41</v>
      </c>
      <c r="C12" s="108"/>
      <c r="D12" s="108"/>
      <c r="E12" s="208"/>
      <c r="G12" s="104" t="s">
        <v>132</v>
      </c>
      <c r="H12" s="105"/>
      <c r="I12" s="105"/>
      <c r="J12" s="127">
        <f>J10-J11</f>
        <v>133.79999999999995</v>
      </c>
      <c r="K12" s="122"/>
      <c r="M12" s="133">
        <v>0.1</v>
      </c>
      <c r="N12" s="135">
        <v>1000</v>
      </c>
      <c r="O12" s="135">
        <v>100</v>
      </c>
      <c r="P12" s="143"/>
      <c r="Q12" s="143"/>
      <c r="R12" s="143">
        <v>9</v>
      </c>
      <c r="S12" s="144">
        <f t="shared" si="5"/>
        <v>9</v>
      </c>
      <c r="AC12" s="133">
        <v>0.25</v>
      </c>
      <c r="AD12" s="137">
        <f t="shared" si="6"/>
        <v>2500</v>
      </c>
      <c r="AE12" s="137">
        <f t="shared" si="7"/>
        <v>250</v>
      </c>
      <c r="AF12" s="137">
        <f t="shared" si="8"/>
        <v>25</v>
      </c>
      <c r="AG12" s="137">
        <f t="shared" si="9"/>
        <v>2.5</v>
      </c>
      <c r="AH12" s="137">
        <f t="shared" si="10"/>
        <v>0.25</v>
      </c>
    </row>
    <row r="13" spans="2:34" ht="15" thickTop="1" x14ac:dyDescent="0.3">
      <c r="B13" s="106" t="s">
        <v>105</v>
      </c>
      <c r="C13" s="2"/>
      <c r="D13" s="2"/>
      <c r="E13" s="115">
        <f>SUMIFS(PAGOS[PAGO DEL MONTO],PAGOS['# PESTAMO],"&lt;&gt;*",PAGOS[FECHA PAGO DEL MONTO],"&gt;="&amp;$E$3,PAGOS[FECHA PAGO DEL MONTO],"&lt;="&amp;$E$4)</f>
        <v>894</v>
      </c>
      <c r="K13" s="122"/>
      <c r="M13" s="133">
        <v>0.05</v>
      </c>
      <c r="N13" s="135">
        <v>500</v>
      </c>
      <c r="O13" s="135">
        <v>50</v>
      </c>
      <c r="P13" s="143"/>
      <c r="Q13" s="143">
        <v>1</v>
      </c>
      <c r="R13" s="143">
        <v>6</v>
      </c>
      <c r="S13" s="144">
        <f t="shared" si="5"/>
        <v>16</v>
      </c>
      <c r="AC13" s="133">
        <v>0.1</v>
      </c>
      <c r="AD13" s="137">
        <f t="shared" si="6"/>
        <v>1000</v>
      </c>
      <c r="AE13" s="137">
        <f t="shared" si="7"/>
        <v>100</v>
      </c>
      <c r="AF13" s="137">
        <f t="shared" si="8"/>
        <v>10</v>
      </c>
      <c r="AG13" s="137">
        <f t="shared" si="9"/>
        <v>1</v>
      </c>
      <c r="AH13" s="137">
        <f t="shared" si="10"/>
        <v>0.1</v>
      </c>
    </row>
    <row r="14" spans="2:34" x14ac:dyDescent="0.3">
      <c r="B14" s="106" t="s">
        <v>108</v>
      </c>
      <c r="C14" s="2"/>
      <c r="D14" s="2"/>
      <c r="E14" s="116">
        <f>SUMIFS(PAGOS[PAGO DEL MONTO],PAGOS[REG],"&lt;&gt;EGRESO*",PAGOS[FECHA PAGO DEL MONTO],"&gt;="&amp;$E$2,PAGOS[FECHA PAGO DEL MONTO],"&lt;="&amp;$E$4)</f>
        <v>184</v>
      </c>
      <c r="G14" s="146" t="s">
        <v>145</v>
      </c>
      <c r="H14" s="147">
        <f>K15+K20</f>
        <v>3520.08</v>
      </c>
      <c r="I14" s="148"/>
      <c r="J14" s="148"/>
      <c r="K14" s="145"/>
      <c r="M14" s="133">
        <v>0.01</v>
      </c>
      <c r="N14" s="135">
        <v>100</v>
      </c>
      <c r="O14" s="135">
        <v>10</v>
      </c>
      <c r="P14" s="143"/>
      <c r="Q14" s="143">
        <v>1</v>
      </c>
      <c r="R14" s="143">
        <v>3</v>
      </c>
      <c r="S14" s="144">
        <f t="shared" si="5"/>
        <v>13</v>
      </c>
      <c r="AC14" s="133">
        <v>0.05</v>
      </c>
      <c r="AD14" s="137">
        <f t="shared" si="6"/>
        <v>500</v>
      </c>
      <c r="AE14" s="137">
        <f t="shared" si="7"/>
        <v>50</v>
      </c>
      <c r="AF14" s="137">
        <f t="shared" si="8"/>
        <v>5</v>
      </c>
      <c r="AG14" s="137">
        <f t="shared" si="9"/>
        <v>0.5</v>
      </c>
      <c r="AH14" s="137">
        <f t="shared" si="10"/>
        <v>0.05</v>
      </c>
    </row>
    <row r="15" spans="2:34" ht="15" thickBot="1" x14ac:dyDescent="0.35">
      <c r="B15" s="120" t="s">
        <v>99</v>
      </c>
      <c r="C15" s="119"/>
      <c r="D15" s="110"/>
      <c r="E15" s="118">
        <f>E7-E13</f>
        <v>586</v>
      </c>
      <c r="G15" s="132" t="s">
        <v>136</v>
      </c>
      <c r="H15" s="132"/>
      <c r="I15" s="132"/>
      <c r="J15" s="138"/>
      <c r="K15" s="133">
        <f>SUM(K16:K19)</f>
        <v>3506</v>
      </c>
      <c r="R15" s="140"/>
      <c r="AC15" s="133">
        <v>0.01</v>
      </c>
      <c r="AD15" s="137">
        <f t="shared" si="6"/>
        <v>100</v>
      </c>
      <c r="AE15" s="137">
        <f t="shared" si="7"/>
        <v>10</v>
      </c>
      <c r="AF15" s="137">
        <f t="shared" si="8"/>
        <v>1</v>
      </c>
      <c r="AG15" s="137">
        <f t="shared" si="9"/>
        <v>0.1</v>
      </c>
      <c r="AH15" s="137">
        <f t="shared" si="10"/>
        <v>0.01</v>
      </c>
    </row>
    <row r="16" spans="2:34" ht="15" thickTop="1" x14ac:dyDescent="0.3">
      <c r="B16" s="106" t="s">
        <v>106</v>
      </c>
      <c r="C16" s="2"/>
      <c r="D16" s="2"/>
      <c r="E16" s="115">
        <f>SUMIFS(PAGOS[PAGO DEL INTERES],PAGOS['# PESTAMO],"&lt;&gt;*",PAGOS[FECHA PAGO INTERES],"&gt;="&amp;$E$3,PAGOS[FECHA PAGO INTERES],"&lt;="&amp;$E$4)</f>
        <v>29.799999999999997</v>
      </c>
      <c r="G16" s="133">
        <v>20</v>
      </c>
      <c r="H16" s="135">
        <f t="shared" ref="H16:J19" si="11">AF5*P4</f>
        <v>2000</v>
      </c>
      <c r="I16" s="135">
        <f t="shared" si="11"/>
        <v>1200</v>
      </c>
      <c r="J16" s="135">
        <f t="shared" si="11"/>
        <v>160</v>
      </c>
      <c r="K16" s="141">
        <f>SUM(H16:J16)</f>
        <v>3360</v>
      </c>
      <c r="M16" s="140"/>
      <c r="P16" s="122"/>
    </row>
    <row r="17" spans="2:20" x14ac:dyDescent="0.3">
      <c r="B17" s="106" t="s">
        <v>110</v>
      </c>
      <c r="C17" s="2"/>
      <c r="D17" s="2"/>
      <c r="E17" s="116">
        <f>SUMIFS(PAGOS[PAGO DEL INTERES],PAGOS[REG],"&lt;&gt;EGRESO*",PAGOS[FECHA PAGO INTERES],"&gt;="&amp;$E$2,PAGOS[FECHA PAGO INTERES],"&lt;="&amp;$E$4)</f>
        <v>11.4</v>
      </c>
      <c r="G17" s="133">
        <v>10</v>
      </c>
      <c r="H17" s="135">
        <f t="shared" si="11"/>
        <v>0</v>
      </c>
      <c r="I17" s="135">
        <f t="shared" si="11"/>
        <v>100</v>
      </c>
      <c r="J17" s="135">
        <f t="shared" si="11"/>
        <v>10</v>
      </c>
      <c r="K17" s="141">
        <f>SUM(H17:J17)</f>
        <v>110</v>
      </c>
      <c r="P17" s="292"/>
      <c r="R17" s="122"/>
    </row>
    <row r="18" spans="2:20" ht="15" thickBot="1" x14ac:dyDescent="0.35">
      <c r="B18" s="120" t="s">
        <v>102</v>
      </c>
      <c r="C18" s="110"/>
      <c r="D18" s="110"/>
      <c r="E18" s="118">
        <f>E10-E16</f>
        <v>48.600000000000009</v>
      </c>
      <c r="G18" s="133">
        <v>5</v>
      </c>
      <c r="H18" s="135">
        <f t="shared" si="11"/>
        <v>0</v>
      </c>
      <c r="I18" s="135">
        <f t="shared" si="11"/>
        <v>0</v>
      </c>
      <c r="J18" s="135">
        <f t="shared" si="11"/>
        <v>35</v>
      </c>
      <c r="K18" s="141">
        <f>SUM(H18:J18)</f>
        <v>35</v>
      </c>
      <c r="M18" s="122"/>
      <c r="P18" s="140"/>
      <c r="T18" s="122"/>
    </row>
    <row r="19" spans="2:20" ht="15.6" thickTop="1" thickBot="1" x14ac:dyDescent="0.35">
      <c r="B19" s="107" t="s">
        <v>250</v>
      </c>
      <c r="C19" s="211"/>
      <c r="D19" s="108"/>
      <c r="E19" s="215"/>
      <c r="G19" s="133">
        <v>1</v>
      </c>
      <c r="H19" s="135">
        <f t="shared" si="11"/>
        <v>0</v>
      </c>
      <c r="I19" s="135">
        <f t="shared" si="11"/>
        <v>0</v>
      </c>
      <c r="J19" s="135">
        <f t="shared" si="11"/>
        <v>1</v>
      </c>
      <c r="K19" s="141">
        <f>SUM(H19:J19)</f>
        <v>1</v>
      </c>
      <c r="M19" s="140"/>
      <c r="P19" s="122">
        <f>+J12-H14</f>
        <v>-3386.2799999999997</v>
      </c>
    </row>
    <row r="20" spans="2:20" ht="15" thickTop="1" x14ac:dyDescent="0.3">
      <c r="B20" s="106" t="s">
        <v>336</v>
      </c>
      <c r="C20" s="201"/>
      <c r="D20" s="2"/>
      <c r="E20" s="117">
        <f>SUMIFS(PAGOS[PAGO DEL INTERES],PAGOS[REG],"INGRESO*",PAGOS[FECHA PAGO DEL MONTO],"&gt;="&amp;$E$3,PAGOS[FECHA PAGO DEL MONTO],"&lt;="&amp;$E$4)+SUMIFS(PAGOS[PAGO DEL MONTO],PAGOS[REG],"INGRESO*",PAGOS[FECHA PAGO DEL MONTO],"&gt;="&amp;$E$3,PAGOS[FECHA PAGO DEL MONTO],"&lt;="&amp;$E$4)</f>
        <v>10</v>
      </c>
      <c r="G20" s="134" t="s">
        <v>137</v>
      </c>
      <c r="H20" s="136"/>
      <c r="I20" s="136"/>
      <c r="J20" s="139"/>
      <c r="K20" s="133">
        <f>SUM(K21:K26)</f>
        <v>14.080000000000002</v>
      </c>
      <c r="Q20" s="140"/>
      <c r="S20" s="294"/>
    </row>
    <row r="21" spans="2:20" x14ac:dyDescent="0.3">
      <c r="B21" s="106" t="s">
        <v>408</v>
      </c>
      <c r="C21" s="212"/>
      <c r="D21" s="213"/>
      <c r="E21" s="115">
        <f>SUMIFS(PAGOS[PAGO DEL MONTO],PAGOS[REG],"EGRESO*",PAGOS[CODIGO CLIENTE],19,PAGOS[FECHA PAGO DEL MONTO],"&gt;="&amp;$E$3,PAGOS[FECHA PAGO DEL MONTO],"&lt;="&amp;$E$4)</f>
        <v>0</v>
      </c>
      <c r="G21" s="133">
        <v>1</v>
      </c>
      <c r="H21" s="137">
        <f t="shared" ref="H21:J26" si="12">AF10*P9</f>
        <v>0</v>
      </c>
      <c r="I21" s="137">
        <f t="shared" si="12"/>
        <v>10</v>
      </c>
      <c r="J21" s="137">
        <f t="shared" si="12"/>
        <v>0</v>
      </c>
      <c r="K21" s="141">
        <f t="shared" ref="K21:K26" si="13">SUM(H21:J21)</f>
        <v>10</v>
      </c>
      <c r="Q21" s="140"/>
    </row>
    <row r="22" spans="2:20" x14ac:dyDescent="0.3">
      <c r="B22" s="106" t="s">
        <v>470</v>
      </c>
      <c r="C22" s="212"/>
      <c r="D22" s="213"/>
      <c r="E22" s="115">
        <f>SUMIFS(PAGOS[PAGO DEL MONTO],PAGOS[REG],"EGRESO*",PAGOS[CODIGO CLIENTE],"&lt;&gt;19",PAGOS[FECHA PAGO DEL MONTO],"&gt;="&amp;$E$2,PAGOS[FECHA PAGO DEL MONTO],"&lt;="&amp;$E$4)</f>
        <v>0</v>
      </c>
      <c r="G22" s="133">
        <v>0.5</v>
      </c>
      <c r="H22" s="137">
        <f t="shared" si="12"/>
        <v>0</v>
      </c>
      <c r="I22" s="137">
        <f t="shared" si="12"/>
        <v>0</v>
      </c>
      <c r="J22" s="137">
        <f t="shared" si="12"/>
        <v>1.5</v>
      </c>
      <c r="K22" s="141">
        <f t="shared" si="13"/>
        <v>1.5</v>
      </c>
      <c r="M22" s="122"/>
      <c r="Q22" s="292"/>
      <c r="S22" s="140"/>
    </row>
    <row r="23" spans="2:20" x14ac:dyDescent="0.3">
      <c r="B23" s="106" t="s">
        <v>272</v>
      </c>
      <c r="C23" s="212"/>
      <c r="D23" s="213"/>
      <c r="E23" s="115">
        <f>SUMIFS(PAGOS[PAGO DEL INTERES],PAGOS[REG],"EGRESO*",PAGOS[CODIGO CLIENTE],"&lt;&gt;19",PAGOS[FECHA PAGO DEL MONTO],"&gt;="&amp;$E$3,PAGOS[FECHA PAGO DEL MONTO],"&lt;="&amp;$E$4)</f>
        <v>0</v>
      </c>
      <c r="G23" s="133">
        <v>0.25</v>
      </c>
      <c r="H23" s="137">
        <f t="shared" si="12"/>
        <v>0</v>
      </c>
      <c r="I23" s="137">
        <f>AG12*Q11</f>
        <v>0</v>
      </c>
      <c r="J23" s="137">
        <f t="shared" si="12"/>
        <v>0.75</v>
      </c>
      <c r="K23" s="141">
        <f t="shared" si="13"/>
        <v>0.75</v>
      </c>
      <c r="Q23" s="122"/>
    </row>
    <row r="24" spans="2:20" x14ac:dyDescent="0.3">
      <c r="B24" s="106" t="s">
        <v>97</v>
      </c>
      <c r="C24" s="2"/>
      <c r="D24" s="2"/>
      <c r="E24" s="114">
        <f>E5-E8</f>
        <v>680</v>
      </c>
      <c r="G24" s="133">
        <v>0.1</v>
      </c>
      <c r="H24" s="137">
        <f t="shared" si="12"/>
        <v>0</v>
      </c>
      <c r="I24" s="137">
        <f t="shared" si="12"/>
        <v>0</v>
      </c>
      <c r="J24" s="137">
        <f t="shared" si="12"/>
        <v>0.9</v>
      </c>
      <c r="K24" s="141">
        <f t="shared" si="13"/>
        <v>0.9</v>
      </c>
    </row>
    <row r="25" spans="2:20" x14ac:dyDescent="0.3">
      <c r="B25" s="106" t="s">
        <v>104</v>
      </c>
      <c r="C25" s="2"/>
      <c r="D25" s="2"/>
      <c r="E25" s="113">
        <f>E24/15</f>
        <v>45.333333333333336</v>
      </c>
      <c r="G25" s="133">
        <v>0.05</v>
      </c>
      <c r="H25" s="137">
        <f t="shared" si="12"/>
        <v>0</v>
      </c>
      <c r="I25" s="137">
        <f t="shared" si="12"/>
        <v>0.5</v>
      </c>
      <c r="J25" s="137">
        <f t="shared" si="12"/>
        <v>0.30000000000000004</v>
      </c>
      <c r="K25" s="141">
        <f t="shared" si="13"/>
        <v>0.8</v>
      </c>
      <c r="M25" s="122"/>
    </row>
    <row r="26" spans="2:20" x14ac:dyDescent="0.3">
      <c r="B26" s="106" t="s">
        <v>409</v>
      </c>
      <c r="C26" s="2"/>
      <c r="D26" s="2"/>
      <c r="E26" s="114">
        <f>E10-E21-E23+E20</f>
        <v>88.4</v>
      </c>
      <c r="G26" s="133">
        <v>0.01</v>
      </c>
      <c r="H26" s="137">
        <f t="shared" si="12"/>
        <v>0</v>
      </c>
      <c r="I26" s="137">
        <f t="shared" si="12"/>
        <v>0.1</v>
      </c>
      <c r="J26" s="137">
        <f t="shared" si="12"/>
        <v>0.03</v>
      </c>
      <c r="K26" s="141">
        <f t="shared" si="13"/>
        <v>0.13</v>
      </c>
      <c r="N26" s="252"/>
    </row>
    <row r="27" spans="2:20" ht="15" thickBot="1" x14ac:dyDescent="0.35">
      <c r="B27" s="106" t="s">
        <v>100</v>
      </c>
      <c r="C27" s="2"/>
      <c r="D27" s="214"/>
      <c r="E27" s="324">
        <f>+J12</f>
        <v>133.79999999999995</v>
      </c>
      <c r="G27" s="122"/>
      <c r="P27" s="122"/>
    </row>
    <row r="28" spans="2:20" ht="15.6" thickTop="1" thickBot="1" x14ac:dyDescent="0.35">
      <c r="B28" s="111" t="s">
        <v>98</v>
      </c>
      <c r="C28" s="112"/>
      <c r="D28" s="216"/>
      <c r="E28" s="217">
        <f>+E24+E26</f>
        <v>768.4</v>
      </c>
      <c r="G28" s="248"/>
      <c r="H28" s="122"/>
      <c r="S28" s="140"/>
    </row>
    <row r="29" spans="2:20" ht="15.6" thickTop="1" thickBot="1" x14ac:dyDescent="0.35">
      <c r="B29" s="111" t="s">
        <v>103</v>
      </c>
      <c r="C29" s="112"/>
      <c r="D29" s="216"/>
      <c r="E29" s="234">
        <f>+E15+E18+E27</f>
        <v>768.4</v>
      </c>
      <c r="H29" s="248"/>
      <c r="S29" s="140"/>
    </row>
    <row r="30" spans="2:20" ht="15" thickTop="1" x14ac:dyDescent="0.3">
      <c r="E30" s="122"/>
      <c r="G30" s="122"/>
      <c r="H30" s="122"/>
      <c r="I30" s="122"/>
      <c r="S30" s="140"/>
    </row>
    <row r="31" spans="2:20" x14ac:dyDescent="0.3">
      <c r="E31" s="329">
        <f>SUMIFS(DENERO_CAJA[MONTO],DENERO_CAJA[FECHA],"&gt;="&amp;$E$2,DENERO_CAJA[FECHA],"&lt;="&amp;$E$4)</f>
        <v>133.80000000000001</v>
      </c>
    </row>
    <row r="32" spans="2:20" x14ac:dyDescent="0.3">
      <c r="C32" s="122">
        <f>+E28-E29</f>
        <v>0</v>
      </c>
      <c r="E32" s="122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</sheetPr>
  <dimension ref="A1:N24"/>
  <sheetViews>
    <sheetView zoomScale="92" zoomScaleNormal="92" workbookViewId="0"/>
  </sheetViews>
  <sheetFormatPr baseColWidth="10" defaultColWidth="11.5546875" defaultRowHeight="14.4" x14ac:dyDescent="0.3"/>
  <cols>
    <col min="1" max="1" width="21.6640625" bestFit="1" customWidth="1"/>
    <col min="2" max="2" width="9.5546875" bestFit="1" customWidth="1"/>
    <col min="3" max="3" width="2.6640625" customWidth="1"/>
    <col min="4" max="4" width="24.109375" bestFit="1" customWidth="1"/>
    <col min="5" max="5" width="10.6640625" bestFit="1" customWidth="1"/>
    <col min="6" max="6" width="10.109375" bestFit="1" customWidth="1"/>
    <col min="7" max="7" width="3.33203125" customWidth="1"/>
    <col min="8" max="8" width="24.109375" bestFit="1" customWidth="1"/>
    <col min="9" max="9" width="20.44140625" bestFit="1" customWidth="1"/>
    <col min="10" max="10" width="9.5546875" bestFit="1" customWidth="1"/>
    <col min="11" max="11" width="3.109375" customWidth="1"/>
    <col min="12" max="12" width="21.44140625" bestFit="1" customWidth="1"/>
    <col min="13" max="14" width="11.5546875" bestFit="1" customWidth="1"/>
    <col min="15" max="15" width="3.109375" customWidth="1"/>
  </cols>
  <sheetData>
    <row r="1" spans="1:14" x14ac:dyDescent="0.3">
      <c r="A1" s="240" t="s">
        <v>289</v>
      </c>
      <c r="B1" s="240"/>
      <c r="D1" s="241" t="s">
        <v>58</v>
      </c>
      <c r="E1" s="241"/>
      <c r="F1" s="241"/>
      <c r="H1" s="242" t="s">
        <v>290</v>
      </c>
      <c r="I1" s="242"/>
      <c r="J1" s="242"/>
      <c r="L1" s="243" t="s">
        <v>291</v>
      </c>
      <c r="M1" s="243"/>
      <c r="N1" s="243"/>
    </row>
    <row r="2" spans="1:14" x14ac:dyDescent="0.3">
      <c r="H2" s="247" t="s">
        <v>35</v>
      </c>
      <c r="I2" t="s">
        <v>292</v>
      </c>
    </row>
    <row r="3" spans="1:14" x14ac:dyDescent="0.3">
      <c r="D3" s="247" t="s">
        <v>72</v>
      </c>
      <c r="E3" t="s">
        <v>410</v>
      </c>
      <c r="H3" s="247" t="s">
        <v>275</v>
      </c>
      <c r="I3" t="s">
        <v>292</v>
      </c>
    </row>
    <row r="5" spans="1:14" ht="28.8" x14ac:dyDescent="0.3">
      <c r="A5" s="247" t="s">
        <v>55</v>
      </c>
      <c r="B5" t="s">
        <v>293</v>
      </c>
      <c r="D5" s="247" t="s">
        <v>55</v>
      </c>
      <c r="E5" t="s">
        <v>294</v>
      </c>
      <c r="F5" t="s">
        <v>54</v>
      </c>
      <c r="H5" s="247" t="s">
        <v>295</v>
      </c>
      <c r="I5" t="s">
        <v>294</v>
      </c>
      <c r="J5" t="s">
        <v>34</v>
      </c>
      <c r="L5" s="244" t="s">
        <v>55</v>
      </c>
      <c r="M5" s="244" t="s">
        <v>296</v>
      </c>
      <c r="N5" s="244" t="s">
        <v>297</v>
      </c>
    </row>
    <row r="6" spans="1:14" x14ac:dyDescent="0.3">
      <c r="A6" s="19" t="s">
        <v>16</v>
      </c>
      <c r="B6" s="130">
        <v>360</v>
      </c>
      <c r="D6" s="19" t="s">
        <v>16</v>
      </c>
      <c r="E6" s="130">
        <v>2500</v>
      </c>
      <c r="F6" s="130">
        <v>320</v>
      </c>
      <c r="H6" s="19" t="s">
        <v>16</v>
      </c>
      <c r="I6" s="130">
        <v>2550</v>
      </c>
      <c r="J6" s="130">
        <v>320</v>
      </c>
      <c r="L6" s="245" t="s">
        <v>16</v>
      </c>
      <c r="M6" s="289">
        <f>+E6-I6</f>
        <v>-50</v>
      </c>
      <c r="N6" s="289">
        <f>+F6-J6</f>
        <v>0</v>
      </c>
    </row>
    <row r="7" spans="1:14" x14ac:dyDescent="0.3">
      <c r="A7" s="19" t="s">
        <v>14</v>
      </c>
      <c r="B7" s="130">
        <v>360</v>
      </c>
      <c r="D7" s="19" t="s">
        <v>14</v>
      </c>
      <c r="E7" s="130">
        <v>1400</v>
      </c>
      <c r="F7" s="130">
        <v>104</v>
      </c>
      <c r="H7" s="19" t="s">
        <v>14</v>
      </c>
      <c r="I7" s="130">
        <v>700</v>
      </c>
      <c r="J7" s="130">
        <v>62</v>
      </c>
      <c r="L7" s="245" t="s">
        <v>14</v>
      </c>
      <c r="M7" s="289">
        <f t="shared" ref="M7:M21" si="0">+E7-I7</f>
        <v>700</v>
      </c>
      <c r="N7" s="289">
        <f t="shared" ref="N7:N21" si="1">+F7-J7</f>
        <v>42</v>
      </c>
    </row>
    <row r="8" spans="1:14" x14ac:dyDescent="0.3">
      <c r="A8" s="19" t="s">
        <v>390</v>
      </c>
      <c r="B8" s="130">
        <v>360</v>
      </c>
      <c r="D8" s="19" t="s">
        <v>390</v>
      </c>
      <c r="E8" s="130">
        <v>0</v>
      </c>
      <c r="F8" s="130">
        <v>0</v>
      </c>
      <c r="H8" s="19" t="s">
        <v>26</v>
      </c>
      <c r="I8" s="130">
        <v>1780</v>
      </c>
      <c r="J8" s="130">
        <v>251.6</v>
      </c>
      <c r="L8" s="245" t="s">
        <v>390</v>
      </c>
      <c r="M8" s="289">
        <f t="shared" si="0"/>
        <v>-1780</v>
      </c>
      <c r="N8" s="289">
        <f t="shared" si="1"/>
        <v>-251.6</v>
      </c>
    </row>
    <row r="9" spans="1:14" x14ac:dyDescent="0.3">
      <c r="A9" s="19" t="s">
        <v>26</v>
      </c>
      <c r="B9" s="130">
        <v>360</v>
      </c>
      <c r="D9" s="19" t="s">
        <v>26</v>
      </c>
      <c r="E9" s="130">
        <v>2080</v>
      </c>
      <c r="F9" s="130">
        <v>311.60000000000002</v>
      </c>
      <c r="H9" s="19" t="s">
        <v>22</v>
      </c>
      <c r="I9" s="130">
        <v>2100</v>
      </c>
      <c r="J9" s="130">
        <v>324</v>
      </c>
      <c r="L9" s="245" t="s">
        <v>26</v>
      </c>
      <c r="M9" s="289">
        <f t="shared" si="0"/>
        <v>-20</v>
      </c>
      <c r="N9" s="289">
        <f t="shared" si="1"/>
        <v>-12.399999999999977</v>
      </c>
    </row>
    <row r="10" spans="1:14" x14ac:dyDescent="0.3">
      <c r="A10" s="19" t="s">
        <v>389</v>
      </c>
      <c r="B10" s="130">
        <v>360</v>
      </c>
      <c r="D10" s="19" t="s">
        <v>389</v>
      </c>
      <c r="E10" s="130">
        <v>0</v>
      </c>
      <c r="F10" s="130">
        <v>0</v>
      </c>
      <c r="H10" s="19" t="s">
        <v>24</v>
      </c>
      <c r="I10" s="130">
        <v>1149.99</v>
      </c>
      <c r="J10" s="130">
        <v>185</v>
      </c>
      <c r="L10" s="245" t="s">
        <v>389</v>
      </c>
      <c r="M10" s="289">
        <f t="shared" si="0"/>
        <v>-1149.99</v>
      </c>
      <c r="N10" s="289">
        <f t="shared" si="1"/>
        <v>-185</v>
      </c>
    </row>
    <row r="11" spans="1:14" x14ac:dyDescent="0.3">
      <c r="A11" s="19" t="s">
        <v>22</v>
      </c>
      <c r="B11" s="130">
        <v>360</v>
      </c>
      <c r="D11" s="19" t="s">
        <v>22</v>
      </c>
      <c r="E11" s="130">
        <v>2300</v>
      </c>
      <c r="F11" s="130">
        <v>364</v>
      </c>
      <c r="H11" s="19" t="s">
        <v>25</v>
      </c>
      <c r="I11" s="130">
        <v>1680.04</v>
      </c>
      <c r="J11" s="130">
        <v>168.6</v>
      </c>
      <c r="L11" s="245" t="s">
        <v>22</v>
      </c>
      <c r="M11" s="289">
        <f t="shared" si="0"/>
        <v>619.96</v>
      </c>
      <c r="N11" s="289">
        <f t="shared" si="1"/>
        <v>195.4</v>
      </c>
    </row>
    <row r="12" spans="1:14" x14ac:dyDescent="0.3">
      <c r="A12" s="19" t="s">
        <v>24</v>
      </c>
      <c r="B12" s="130">
        <v>360</v>
      </c>
      <c r="D12" s="19" t="s">
        <v>24</v>
      </c>
      <c r="E12" s="130">
        <v>1150</v>
      </c>
      <c r="F12" s="130">
        <v>185</v>
      </c>
      <c r="H12" s="19" t="s">
        <v>21</v>
      </c>
      <c r="I12" s="130">
        <v>1100</v>
      </c>
      <c r="J12" s="130">
        <v>86</v>
      </c>
      <c r="L12" s="245" t="s">
        <v>24</v>
      </c>
      <c r="M12" s="289">
        <f t="shared" si="0"/>
        <v>50</v>
      </c>
      <c r="N12" s="289">
        <f t="shared" si="1"/>
        <v>99</v>
      </c>
    </row>
    <row r="13" spans="1:14" x14ac:dyDescent="0.3">
      <c r="A13" s="19" t="s">
        <v>25</v>
      </c>
      <c r="B13" s="130">
        <v>360</v>
      </c>
      <c r="D13" s="19" t="s">
        <v>25</v>
      </c>
      <c r="E13" s="130">
        <v>1680</v>
      </c>
      <c r="F13" s="130">
        <v>168.6</v>
      </c>
      <c r="H13" s="19" t="s">
        <v>20</v>
      </c>
      <c r="I13" s="130">
        <v>400</v>
      </c>
      <c r="J13" s="130">
        <v>38</v>
      </c>
      <c r="L13" s="245" t="s">
        <v>25</v>
      </c>
      <c r="M13" s="289">
        <f t="shared" si="0"/>
        <v>1280</v>
      </c>
      <c r="N13" s="289">
        <f t="shared" si="1"/>
        <v>130.6</v>
      </c>
    </row>
    <row r="14" spans="1:14" x14ac:dyDescent="0.3">
      <c r="A14" s="19" t="s">
        <v>21</v>
      </c>
      <c r="B14" s="130">
        <v>360</v>
      </c>
      <c r="D14" s="19" t="s">
        <v>21</v>
      </c>
      <c r="E14" s="130">
        <v>1100</v>
      </c>
      <c r="F14" s="130">
        <v>86</v>
      </c>
      <c r="H14" s="19" t="s">
        <v>17</v>
      </c>
      <c r="I14" s="130">
        <v>1550</v>
      </c>
      <c r="J14" s="130">
        <v>94</v>
      </c>
      <c r="L14" s="245" t="s">
        <v>21</v>
      </c>
      <c r="M14" s="289">
        <f t="shared" si="0"/>
        <v>-450</v>
      </c>
      <c r="N14" s="289">
        <f t="shared" si="1"/>
        <v>-8</v>
      </c>
    </row>
    <row r="15" spans="1:14" x14ac:dyDescent="0.3">
      <c r="A15" s="19" t="s">
        <v>20</v>
      </c>
      <c r="B15" s="130">
        <v>360</v>
      </c>
      <c r="D15" s="19" t="s">
        <v>20</v>
      </c>
      <c r="E15" s="130">
        <v>600</v>
      </c>
      <c r="F15" s="130">
        <v>58</v>
      </c>
      <c r="H15" s="19" t="s">
        <v>19</v>
      </c>
      <c r="I15" s="130">
        <v>2660</v>
      </c>
      <c r="J15" s="130">
        <v>282.39999999999998</v>
      </c>
      <c r="L15" s="245" t="s">
        <v>20</v>
      </c>
      <c r="M15" s="289">
        <f t="shared" si="0"/>
        <v>-2060</v>
      </c>
      <c r="N15" s="289">
        <f t="shared" si="1"/>
        <v>-224.39999999999998</v>
      </c>
    </row>
    <row r="16" spans="1:14" x14ac:dyDescent="0.3">
      <c r="A16" s="19" t="s">
        <v>17</v>
      </c>
      <c r="B16" s="130">
        <v>360</v>
      </c>
      <c r="D16" s="19" t="s">
        <v>17</v>
      </c>
      <c r="E16" s="130">
        <v>2750</v>
      </c>
      <c r="F16" s="130">
        <v>118</v>
      </c>
      <c r="H16" s="19" t="s">
        <v>23</v>
      </c>
      <c r="I16" s="130">
        <v>3520</v>
      </c>
      <c r="J16" s="130">
        <v>311</v>
      </c>
      <c r="L16" s="245" t="s">
        <v>17</v>
      </c>
      <c r="M16" s="289">
        <f t="shared" si="0"/>
        <v>-770</v>
      </c>
      <c r="N16" s="289">
        <f t="shared" si="1"/>
        <v>-193</v>
      </c>
    </row>
    <row r="17" spans="1:14" x14ac:dyDescent="0.3">
      <c r="A17" s="19" t="s">
        <v>391</v>
      </c>
      <c r="B17" s="130">
        <v>360</v>
      </c>
      <c r="D17" s="19" t="s">
        <v>391</v>
      </c>
      <c r="E17" s="130">
        <v>0</v>
      </c>
      <c r="F17" s="130">
        <v>0</v>
      </c>
      <c r="H17" s="19" t="s">
        <v>18</v>
      </c>
      <c r="I17" s="130">
        <v>1250</v>
      </c>
      <c r="J17" s="130">
        <v>68</v>
      </c>
      <c r="L17" s="245" t="s">
        <v>391</v>
      </c>
      <c r="M17" s="289">
        <f t="shared" si="0"/>
        <v>-1250</v>
      </c>
      <c r="N17" s="289">
        <f t="shared" si="1"/>
        <v>-68</v>
      </c>
    </row>
    <row r="18" spans="1:14" x14ac:dyDescent="0.3">
      <c r="A18" s="19" t="s">
        <v>19</v>
      </c>
      <c r="B18" s="130">
        <v>360</v>
      </c>
      <c r="D18" s="19" t="s">
        <v>19</v>
      </c>
      <c r="E18" s="130">
        <v>2760</v>
      </c>
      <c r="F18" s="130">
        <v>296.39999999999998</v>
      </c>
      <c r="H18" s="19" t="s">
        <v>15</v>
      </c>
      <c r="I18" s="130">
        <v>600.00999999999988</v>
      </c>
      <c r="J18" s="130">
        <v>38</v>
      </c>
      <c r="L18" s="245" t="s">
        <v>19</v>
      </c>
      <c r="M18" s="289">
        <f t="shared" si="0"/>
        <v>2159.9900000000002</v>
      </c>
      <c r="N18" s="289">
        <f t="shared" si="1"/>
        <v>258.39999999999998</v>
      </c>
    </row>
    <row r="19" spans="1:14" x14ac:dyDescent="0.3">
      <c r="A19" s="19" t="s">
        <v>23</v>
      </c>
      <c r="B19" s="130">
        <v>360</v>
      </c>
      <c r="D19" s="19" t="s">
        <v>23</v>
      </c>
      <c r="E19" s="130">
        <v>3620</v>
      </c>
      <c r="F19" s="130">
        <v>329</v>
      </c>
      <c r="H19" s="19" t="s">
        <v>298</v>
      </c>
      <c r="I19" s="130">
        <v>21040.039999999997</v>
      </c>
      <c r="J19" s="130">
        <v>2228.6</v>
      </c>
      <c r="L19" s="245" t="s">
        <v>23</v>
      </c>
      <c r="M19" s="289">
        <f t="shared" si="0"/>
        <v>-17420.039999999997</v>
      </c>
      <c r="N19" s="289">
        <f t="shared" si="1"/>
        <v>-1899.6</v>
      </c>
    </row>
    <row r="20" spans="1:14" x14ac:dyDescent="0.3">
      <c r="A20" s="19" t="s">
        <v>18</v>
      </c>
      <c r="B20" s="130">
        <v>360</v>
      </c>
      <c r="D20" s="19" t="s">
        <v>18</v>
      </c>
      <c r="E20" s="130">
        <v>1750</v>
      </c>
      <c r="F20" s="130">
        <v>118</v>
      </c>
      <c r="L20" s="245" t="s">
        <v>18</v>
      </c>
      <c r="M20" s="289">
        <f t="shared" si="0"/>
        <v>1750</v>
      </c>
      <c r="N20" s="289">
        <f t="shared" si="1"/>
        <v>118</v>
      </c>
    </row>
    <row r="21" spans="1:14" x14ac:dyDescent="0.3">
      <c r="A21" s="19" t="s">
        <v>15</v>
      </c>
      <c r="B21" s="130">
        <v>360</v>
      </c>
      <c r="D21" s="19" t="s">
        <v>15</v>
      </c>
      <c r="E21" s="130">
        <v>1200</v>
      </c>
      <c r="F21" s="130">
        <v>74</v>
      </c>
      <c r="L21" s="245" t="s">
        <v>15</v>
      </c>
      <c r="M21" s="289">
        <f t="shared" si="0"/>
        <v>1200</v>
      </c>
      <c r="N21" s="289">
        <f t="shared" si="1"/>
        <v>74</v>
      </c>
    </row>
    <row r="22" spans="1:14" x14ac:dyDescent="0.3">
      <c r="A22" s="19" t="s">
        <v>298</v>
      </c>
      <c r="B22" s="130">
        <v>5760</v>
      </c>
      <c r="D22" s="19" t="s">
        <v>298</v>
      </c>
      <c r="E22" s="130">
        <v>24890</v>
      </c>
      <c r="F22" s="130">
        <v>2532.6</v>
      </c>
      <c r="L22" s="288" t="s">
        <v>298</v>
      </c>
      <c r="M22" s="290">
        <f>SUM(M6:M21)</f>
        <v>-17190.079999999998</v>
      </c>
      <c r="N22" s="246">
        <f>SUM(N6:N21)</f>
        <v>-1924.6</v>
      </c>
    </row>
    <row r="23" spans="1:14" x14ac:dyDescent="0.3">
      <c r="M23" s="21"/>
    </row>
    <row r="24" spans="1:14" x14ac:dyDescent="0.3">
      <c r="M24" s="21"/>
    </row>
  </sheetData>
  <sheetProtection algorithmName="SHA-512" hashValue="KkQHlAMUtTROZcRJvE5TIazH9y2eyowKpRqKl31YonBpbwDwBH6E4qggutnIQHMtcOs1umFnTFShRKz68L7ltQ==" saltValue="38Ek/gvmRHYJV3r9lDZd4A==" spinCount="100000" sheet="1" objects="1" scenarios="1"/>
  <pageMargins left="0.7" right="0.7" top="0.75" bottom="0.75" header="0.3" footer="0.3"/>
  <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2:Q352"/>
  <sheetViews>
    <sheetView topLeftCell="A31" zoomScaleNormal="100" workbookViewId="0">
      <selection activeCell="N42" sqref="N42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6.5546875" bestFit="1" customWidth="1"/>
    <col min="5" max="5" width="10.6640625" bestFit="1" customWidth="1"/>
    <col min="6" max="6" width="3.109375" customWidth="1"/>
    <col min="7" max="7" width="4.88671875" customWidth="1"/>
    <col min="8" max="8" width="31.33203125" customWidth="1"/>
    <col min="9" max="9" width="16.5546875" bestFit="1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16.5546875" bestFit="1" customWidth="1"/>
    <col min="15" max="15" width="10.6640625" bestFit="1" customWidth="1"/>
  </cols>
  <sheetData>
    <row r="2" spans="2:17" x14ac:dyDescent="0.3">
      <c r="B2" s="358" t="s">
        <v>337</v>
      </c>
      <c r="C2" s="358"/>
      <c r="D2" s="358"/>
      <c r="E2" s="358"/>
      <c r="F2" s="358"/>
      <c r="G2" s="358"/>
      <c r="H2" s="358"/>
      <c r="I2" s="358"/>
      <c r="J2" s="358"/>
      <c r="K2" s="358"/>
      <c r="L2" s="358"/>
      <c r="M2" s="358"/>
      <c r="N2" s="358"/>
      <c r="O2" s="358"/>
    </row>
    <row r="3" spans="2:17" x14ac:dyDescent="0.3">
      <c r="B3" s="358"/>
      <c r="C3" s="358"/>
      <c r="D3" s="358"/>
      <c r="E3" s="358"/>
      <c r="F3" s="358"/>
      <c r="G3" s="358"/>
      <c r="H3" s="358"/>
      <c r="I3" s="358"/>
      <c r="J3" s="358"/>
      <c r="K3" s="358"/>
      <c r="L3" s="358"/>
      <c r="M3" s="358"/>
      <c r="N3" s="358"/>
      <c r="O3" s="358"/>
      <c r="Q3" s="36"/>
    </row>
    <row r="4" spans="2:17" ht="15" thickBot="1" x14ac:dyDescent="0.35">
      <c r="B4" s="358"/>
      <c r="C4" s="358"/>
      <c r="D4" s="358"/>
      <c r="E4" s="358"/>
      <c r="F4" s="358"/>
      <c r="G4" s="358"/>
      <c r="H4" s="358"/>
      <c r="I4" s="358"/>
      <c r="J4" s="358"/>
      <c r="K4" s="358"/>
      <c r="L4" s="358"/>
      <c r="M4" s="358"/>
      <c r="N4" s="358"/>
      <c r="O4" s="358"/>
      <c r="Q4" s="36"/>
    </row>
    <row r="5" spans="2:17" ht="15.6" thickTop="1" thickBot="1" x14ac:dyDescent="0.35">
      <c r="B5" s="352" t="s">
        <v>96</v>
      </c>
      <c r="C5" s="353"/>
      <c r="D5" s="326" t="s">
        <v>472</v>
      </c>
      <c r="E5" s="131">
        <v>44788</v>
      </c>
      <c r="G5" s="352" t="s">
        <v>96</v>
      </c>
      <c r="H5" s="353"/>
      <c r="I5" s="326" t="s">
        <v>472</v>
      </c>
      <c r="J5" s="131">
        <v>44819</v>
      </c>
      <c r="L5" s="352" t="s">
        <v>96</v>
      </c>
      <c r="M5" s="353"/>
      <c r="N5" s="326" t="s">
        <v>472</v>
      </c>
      <c r="O5" s="131">
        <v>44849</v>
      </c>
      <c r="Q5" s="36"/>
    </row>
    <row r="6" spans="2:17" ht="15.6" thickTop="1" thickBot="1" x14ac:dyDescent="0.35">
      <c r="B6" s="354"/>
      <c r="C6" s="355"/>
      <c r="D6" s="326" t="s">
        <v>473</v>
      </c>
      <c r="E6" s="131">
        <v>44788</v>
      </c>
      <c r="G6" s="354"/>
      <c r="H6" s="355"/>
      <c r="I6" s="326" t="s">
        <v>473</v>
      </c>
      <c r="J6" s="131">
        <v>44788</v>
      </c>
      <c r="L6" s="354"/>
      <c r="M6" s="355"/>
      <c r="N6" s="326" t="s">
        <v>473</v>
      </c>
      <c r="O6" s="131">
        <v>44788</v>
      </c>
    </row>
    <row r="7" spans="2:17" ht="15.6" thickTop="1" thickBot="1" x14ac:dyDescent="0.35">
      <c r="B7" s="356"/>
      <c r="C7" s="357"/>
      <c r="D7" s="326" t="s">
        <v>471</v>
      </c>
      <c r="E7" s="131">
        <v>44818</v>
      </c>
      <c r="G7" s="356"/>
      <c r="H7" s="357"/>
      <c r="I7" s="326" t="s">
        <v>471</v>
      </c>
      <c r="J7" s="131">
        <v>44848</v>
      </c>
      <c r="L7" s="356"/>
      <c r="M7" s="357"/>
      <c r="N7" s="326" t="s">
        <v>471</v>
      </c>
      <c r="O7" s="131">
        <v>44879</v>
      </c>
    </row>
    <row r="8" spans="2:17" ht="15.6" thickTop="1" thickBot="1" x14ac:dyDescent="0.35">
      <c r="B8" s="106" t="s">
        <v>95</v>
      </c>
      <c r="C8" s="2"/>
      <c r="D8" s="2"/>
      <c r="E8" s="200">
        <v>130</v>
      </c>
      <c r="G8" s="106" t="s">
        <v>95</v>
      </c>
      <c r="H8" s="2"/>
      <c r="I8" s="2"/>
      <c r="J8" s="200">
        <v>260</v>
      </c>
      <c r="L8" s="106" t="s">
        <v>95</v>
      </c>
      <c r="M8" s="2"/>
      <c r="N8" s="2"/>
      <c r="O8" s="200">
        <v>390</v>
      </c>
    </row>
    <row r="9" spans="2:17" ht="15.6" thickTop="1" thickBot="1" x14ac:dyDescent="0.35">
      <c r="B9" s="107" t="s">
        <v>183</v>
      </c>
      <c r="C9" s="108"/>
      <c r="D9" s="108"/>
      <c r="E9" s="208"/>
      <c r="G9" s="107" t="s">
        <v>183</v>
      </c>
      <c r="H9" s="108"/>
      <c r="I9" s="108"/>
      <c r="J9" s="208"/>
      <c r="L9" s="107" t="s">
        <v>183</v>
      </c>
      <c r="M9" s="108"/>
      <c r="N9" s="108"/>
      <c r="O9" s="208"/>
    </row>
    <row r="10" spans="2:17" ht="15" thickTop="1" x14ac:dyDescent="0.3">
      <c r="B10" s="206" t="s">
        <v>247</v>
      </c>
      <c r="C10" s="2"/>
      <c r="D10" s="2"/>
      <c r="E10" s="199">
        <v>0</v>
      </c>
      <c r="G10" s="206" t="s">
        <v>247</v>
      </c>
      <c r="H10" s="2"/>
      <c r="I10" s="2"/>
      <c r="J10" s="199">
        <v>160</v>
      </c>
      <c r="L10" s="206" t="s">
        <v>247</v>
      </c>
      <c r="M10" s="2"/>
      <c r="N10" s="2"/>
      <c r="O10" s="199">
        <v>360</v>
      </c>
    </row>
    <row r="11" spans="2:17" x14ac:dyDescent="0.3">
      <c r="B11" s="207" t="s">
        <v>248</v>
      </c>
      <c r="C11" s="2"/>
      <c r="D11" s="2"/>
      <c r="E11" s="115">
        <v>0</v>
      </c>
      <c r="G11" s="207" t="s">
        <v>248</v>
      </c>
      <c r="H11" s="2"/>
      <c r="I11" s="2"/>
      <c r="J11" s="115">
        <v>100</v>
      </c>
      <c r="L11" s="207" t="s">
        <v>248</v>
      </c>
      <c r="M11" s="2"/>
      <c r="N11" s="2"/>
      <c r="O11" s="115">
        <v>100</v>
      </c>
    </row>
    <row r="12" spans="2:17" x14ac:dyDescent="0.3">
      <c r="B12" s="106" t="s">
        <v>107</v>
      </c>
      <c r="C12" s="2"/>
      <c r="D12" s="2"/>
      <c r="E12" s="116">
        <v>0</v>
      </c>
      <c r="G12" s="106" t="s">
        <v>107</v>
      </c>
      <c r="H12" s="2"/>
      <c r="I12" s="2"/>
      <c r="J12" s="116">
        <v>260</v>
      </c>
      <c r="L12" s="106" t="s">
        <v>107</v>
      </c>
      <c r="M12" s="2"/>
      <c r="N12" s="2"/>
      <c r="O12" s="116">
        <v>200</v>
      </c>
    </row>
    <row r="13" spans="2:17" x14ac:dyDescent="0.3">
      <c r="B13" s="207" t="s">
        <v>249</v>
      </c>
      <c r="C13" s="2"/>
      <c r="D13" s="2"/>
      <c r="E13" s="209">
        <v>0</v>
      </c>
      <c r="G13" s="207" t="s">
        <v>249</v>
      </c>
      <c r="H13" s="2"/>
      <c r="I13" s="2"/>
      <c r="J13" s="209">
        <v>6.4</v>
      </c>
      <c r="L13" s="207" t="s">
        <v>249</v>
      </c>
      <c r="M13" s="2"/>
      <c r="N13" s="2"/>
      <c r="O13" s="209">
        <v>10.4</v>
      </c>
    </row>
    <row r="14" spans="2:17" ht="15" thickBot="1" x14ac:dyDescent="0.35">
      <c r="B14" s="106" t="s">
        <v>109</v>
      </c>
      <c r="C14" s="2"/>
      <c r="D14" s="2"/>
      <c r="E14" s="116">
        <v>0</v>
      </c>
      <c r="G14" s="106" t="s">
        <v>109</v>
      </c>
      <c r="H14" s="2"/>
      <c r="I14" s="2"/>
      <c r="J14" s="116">
        <v>6.4</v>
      </c>
      <c r="L14" s="106" t="s">
        <v>109</v>
      </c>
      <c r="M14" s="2"/>
      <c r="N14" s="2"/>
      <c r="O14" s="116">
        <v>4</v>
      </c>
    </row>
    <row r="15" spans="2:17" ht="15.6" thickTop="1" thickBot="1" x14ac:dyDescent="0.35">
      <c r="B15" s="210" t="s">
        <v>41</v>
      </c>
      <c r="C15" s="108"/>
      <c r="D15" s="108"/>
      <c r="E15" s="208"/>
      <c r="G15" s="210" t="s">
        <v>41</v>
      </c>
      <c r="H15" s="108"/>
      <c r="I15" s="108"/>
      <c r="J15" s="208"/>
      <c r="L15" s="210" t="s">
        <v>41</v>
      </c>
      <c r="M15" s="108"/>
      <c r="N15" s="108"/>
      <c r="O15" s="208"/>
    </row>
    <row r="16" spans="2:17" ht="15" thickTop="1" x14ac:dyDescent="0.3">
      <c r="B16" s="106" t="s">
        <v>105</v>
      </c>
      <c r="C16" s="2"/>
      <c r="D16" s="2"/>
      <c r="E16" s="115">
        <v>0</v>
      </c>
      <c r="G16" s="106" t="s">
        <v>105</v>
      </c>
      <c r="H16" s="2"/>
      <c r="I16" s="2"/>
      <c r="J16" s="115">
        <v>0</v>
      </c>
      <c r="L16" s="106" t="s">
        <v>105</v>
      </c>
      <c r="M16" s="2"/>
      <c r="N16" s="2"/>
      <c r="O16" s="115">
        <v>80</v>
      </c>
    </row>
    <row r="17" spans="2:15" x14ac:dyDescent="0.3">
      <c r="B17" s="106" t="s">
        <v>108</v>
      </c>
      <c r="C17" s="2"/>
      <c r="D17" s="2"/>
      <c r="E17" s="116">
        <v>0</v>
      </c>
      <c r="G17" s="106" t="s">
        <v>108</v>
      </c>
      <c r="H17" s="2"/>
      <c r="I17" s="2"/>
      <c r="J17" s="116">
        <v>0</v>
      </c>
      <c r="L17" s="106" t="s">
        <v>108</v>
      </c>
      <c r="M17" s="2"/>
      <c r="N17" s="2"/>
      <c r="O17" s="116">
        <v>80</v>
      </c>
    </row>
    <row r="18" spans="2:15" ht="15" thickBot="1" x14ac:dyDescent="0.35">
      <c r="B18" s="120" t="s">
        <v>99</v>
      </c>
      <c r="C18" s="119"/>
      <c r="D18" s="110"/>
      <c r="E18" s="118">
        <v>0</v>
      </c>
      <c r="G18" s="120" t="s">
        <v>99</v>
      </c>
      <c r="H18" s="119"/>
      <c r="I18" s="110"/>
      <c r="J18" s="118">
        <v>160</v>
      </c>
      <c r="L18" s="120" t="s">
        <v>99</v>
      </c>
      <c r="M18" s="119"/>
      <c r="N18" s="110"/>
      <c r="O18" s="118">
        <v>280</v>
      </c>
    </row>
    <row r="19" spans="2:15" ht="15" thickTop="1" x14ac:dyDescent="0.3">
      <c r="B19" s="106" t="s">
        <v>106</v>
      </c>
      <c r="C19" s="2"/>
      <c r="D19" s="2"/>
      <c r="E19" s="115">
        <v>0</v>
      </c>
      <c r="G19" s="106" t="s">
        <v>106</v>
      </c>
      <c r="H19" s="2"/>
      <c r="I19" s="2"/>
      <c r="J19" s="115">
        <v>0</v>
      </c>
      <c r="L19" s="106" t="s">
        <v>106</v>
      </c>
      <c r="M19" s="2"/>
      <c r="N19" s="2"/>
      <c r="O19" s="115">
        <v>3.2</v>
      </c>
    </row>
    <row r="20" spans="2:15" x14ac:dyDescent="0.3">
      <c r="B20" s="106" t="s">
        <v>110</v>
      </c>
      <c r="C20" s="2"/>
      <c r="D20" s="2"/>
      <c r="E20" s="116">
        <v>0</v>
      </c>
      <c r="G20" s="106" t="s">
        <v>110</v>
      </c>
      <c r="H20" s="2"/>
      <c r="I20" s="2"/>
      <c r="J20" s="116">
        <v>0</v>
      </c>
      <c r="L20" s="106" t="s">
        <v>110</v>
      </c>
      <c r="M20" s="2"/>
      <c r="N20" s="2"/>
      <c r="O20" s="116">
        <v>3.2</v>
      </c>
    </row>
    <row r="21" spans="2:15" ht="15" thickBot="1" x14ac:dyDescent="0.35">
      <c r="B21" s="120" t="s">
        <v>102</v>
      </c>
      <c r="C21" s="110"/>
      <c r="D21" s="110"/>
      <c r="E21" s="118">
        <v>0</v>
      </c>
      <c r="G21" s="120" t="s">
        <v>102</v>
      </c>
      <c r="H21" s="110"/>
      <c r="I21" s="110"/>
      <c r="J21" s="118">
        <v>6.4</v>
      </c>
      <c r="L21" s="120" t="s">
        <v>102</v>
      </c>
      <c r="M21" s="110"/>
      <c r="N21" s="110"/>
      <c r="O21" s="118">
        <v>7.2</v>
      </c>
    </row>
    <row r="22" spans="2:15" ht="15.6" thickTop="1" thickBot="1" x14ac:dyDescent="0.35">
      <c r="B22" s="107" t="s">
        <v>250</v>
      </c>
      <c r="C22" s="211"/>
      <c r="D22" s="108"/>
      <c r="E22" s="215"/>
      <c r="G22" s="107" t="s">
        <v>250</v>
      </c>
      <c r="H22" s="211"/>
      <c r="I22" s="108"/>
      <c r="J22" s="215"/>
      <c r="L22" s="107" t="s">
        <v>250</v>
      </c>
      <c r="M22" s="211"/>
      <c r="N22" s="108"/>
      <c r="O22" s="215"/>
    </row>
    <row r="23" spans="2:15" ht="15" thickTop="1" x14ac:dyDescent="0.3">
      <c r="B23" s="106" t="s">
        <v>336</v>
      </c>
      <c r="C23" s="201"/>
      <c r="D23" s="2"/>
      <c r="E23" s="117">
        <v>0</v>
      </c>
      <c r="G23" s="106" t="s">
        <v>336</v>
      </c>
      <c r="H23" s="201"/>
      <c r="I23" s="2"/>
      <c r="J23" s="117">
        <v>0</v>
      </c>
      <c r="L23" s="106" t="s">
        <v>336</v>
      </c>
      <c r="M23" s="201"/>
      <c r="N23" s="2"/>
      <c r="O23" s="117">
        <v>0</v>
      </c>
    </row>
    <row r="24" spans="2:15" x14ac:dyDescent="0.3">
      <c r="B24" s="106" t="s">
        <v>408</v>
      </c>
      <c r="C24" s="212"/>
      <c r="D24" s="213"/>
      <c r="E24" s="115">
        <v>0</v>
      </c>
      <c r="G24" s="106" t="s">
        <v>408</v>
      </c>
      <c r="H24" s="212"/>
      <c r="I24" s="213"/>
      <c r="J24" s="115">
        <v>0</v>
      </c>
      <c r="L24" s="106" t="s">
        <v>408</v>
      </c>
      <c r="M24" s="212"/>
      <c r="N24" s="213"/>
      <c r="O24" s="115">
        <v>0</v>
      </c>
    </row>
    <row r="25" spans="2:15" x14ac:dyDescent="0.3">
      <c r="B25" s="106" t="s">
        <v>470</v>
      </c>
      <c r="C25" s="212"/>
      <c r="D25" s="213"/>
      <c r="E25" s="115">
        <v>0</v>
      </c>
      <c r="G25" s="106" t="s">
        <v>470</v>
      </c>
      <c r="H25" s="212"/>
      <c r="I25" s="213"/>
      <c r="J25" s="115">
        <v>0</v>
      </c>
      <c r="L25" s="106" t="s">
        <v>470</v>
      </c>
      <c r="M25" s="212"/>
      <c r="N25" s="213"/>
      <c r="O25" s="115">
        <v>0</v>
      </c>
    </row>
    <row r="26" spans="2:15" x14ac:dyDescent="0.3">
      <c r="B26" s="106" t="s">
        <v>272</v>
      </c>
      <c r="C26" s="212"/>
      <c r="D26" s="213"/>
      <c r="E26" s="115">
        <v>0</v>
      </c>
      <c r="G26" s="106" t="s">
        <v>272</v>
      </c>
      <c r="H26" s="212"/>
      <c r="I26" s="213"/>
      <c r="J26" s="115">
        <v>0</v>
      </c>
      <c r="L26" s="106" t="s">
        <v>272</v>
      </c>
      <c r="M26" s="212"/>
      <c r="N26" s="213"/>
      <c r="O26" s="115">
        <v>0</v>
      </c>
    </row>
    <row r="27" spans="2:15" x14ac:dyDescent="0.3">
      <c r="B27" s="106" t="s">
        <v>97</v>
      </c>
      <c r="C27" s="2"/>
      <c r="D27" s="2"/>
      <c r="E27" s="114">
        <v>130</v>
      </c>
      <c r="G27" s="106" t="s">
        <v>97</v>
      </c>
      <c r="H27" s="2"/>
      <c r="I27" s="2"/>
      <c r="J27" s="114">
        <v>160</v>
      </c>
      <c r="L27" s="106" t="s">
        <v>97</v>
      </c>
      <c r="M27" s="2"/>
      <c r="N27" s="2"/>
      <c r="O27" s="114">
        <v>290</v>
      </c>
    </row>
    <row r="28" spans="2:15" x14ac:dyDescent="0.3">
      <c r="B28" s="106" t="s">
        <v>104</v>
      </c>
      <c r="C28" s="2"/>
      <c r="D28" s="2"/>
      <c r="E28" s="113">
        <v>8.6666666666666661</v>
      </c>
      <c r="G28" s="106" t="s">
        <v>104</v>
      </c>
      <c r="H28" s="2"/>
      <c r="I28" s="2"/>
      <c r="J28" s="113">
        <v>10.666666666666666</v>
      </c>
      <c r="L28" s="106" t="s">
        <v>104</v>
      </c>
      <c r="M28" s="2"/>
      <c r="N28" s="2"/>
      <c r="O28" s="113">
        <v>19.333333333333332</v>
      </c>
    </row>
    <row r="29" spans="2:15" x14ac:dyDescent="0.3">
      <c r="B29" s="106" t="s">
        <v>409</v>
      </c>
      <c r="C29" s="2"/>
      <c r="D29" s="2"/>
      <c r="E29" s="114">
        <v>0</v>
      </c>
      <c r="G29" s="106" t="s">
        <v>409</v>
      </c>
      <c r="H29" s="2"/>
      <c r="I29" s="2"/>
      <c r="J29" s="114">
        <v>6.4</v>
      </c>
      <c r="L29" s="106" t="s">
        <v>409</v>
      </c>
      <c r="M29" s="2"/>
      <c r="N29" s="2"/>
      <c r="O29" s="114">
        <v>10.4</v>
      </c>
    </row>
    <row r="30" spans="2:15" ht="15" thickBot="1" x14ac:dyDescent="0.35">
      <c r="B30" s="106" t="s">
        <v>100</v>
      </c>
      <c r="C30" s="2"/>
      <c r="D30" s="214"/>
      <c r="E30" s="324">
        <v>130</v>
      </c>
      <c r="G30" s="106" t="s">
        <v>100</v>
      </c>
      <c r="H30" s="2"/>
      <c r="I30" s="214"/>
      <c r="J30" s="324">
        <v>0</v>
      </c>
      <c r="L30" s="106" t="s">
        <v>100</v>
      </c>
      <c r="M30" s="2"/>
      <c r="N30" s="214"/>
      <c r="O30" s="324">
        <v>13.2</v>
      </c>
    </row>
    <row r="31" spans="2:15" ht="15.6" thickTop="1" thickBot="1" x14ac:dyDescent="0.35">
      <c r="B31" s="111" t="s">
        <v>98</v>
      </c>
      <c r="C31" s="112"/>
      <c r="D31" s="216"/>
      <c r="E31" s="217">
        <v>130</v>
      </c>
      <c r="G31" s="111" t="s">
        <v>98</v>
      </c>
      <c r="H31" s="112"/>
      <c r="I31" s="216"/>
      <c r="J31" s="217">
        <v>166.4</v>
      </c>
      <c r="L31" s="111" t="s">
        <v>98</v>
      </c>
      <c r="M31" s="112"/>
      <c r="N31" s="216"/>
      <c r="O31" s="217">
        <v>300.39999999999998</v>
      </c>
    </row>
    <row r="32" spans="2:15" ht="15.6" thickTop="1" thickBot="1" x14ac:dyDescent="0.35">
      <c r="B32" s="111" t="s">
        <v>103</v>
      </c>
      <c r="C32" s="112"/>
      <c r="D32" s="216"/>
      <c r="E32" s="234">
        <v>130</v>
      </c>
      <c r="G32" s="111" t="s">
        <v>103</v>
      </c>
      <c r="H32" s="112"/>
      <c r="I32" s="216"/>
      <c r="J32" s="234">
        <v>166.4</v>
      </c>
      <c r="L32" s="111" t="s">
        <v>103</v>
      </c>
      <c r="M32" s="112"/>
      <c r="N32" s="216"/>
      <c r="O32" s="234">
        <v>300.39999999999998</v>
      </c>
    </row>
    <row r="33" spans="2:15" ht="15.6" thickTop="1" thickBot="1" x14ac:dyDescent="0.35"/>
    <row r="34" spans="2:15" ht="15.6" thickTop="1" thickBot="1" x14ac:dyDescent="0.35">
      <c r="B34" s="352" t="s">
        <v>96</v>
      </c>
      <c r="C34" s="353"/>
      <c r="D34" s="326" t="s">
        <v>472</v>
      </c>
      <c r="E34" s="131">
        <v>44880</v>
      </c>
      <c r="G34" s="352" t="s">
        <v>96</v>
      </c>
      <c r="H34" s="353"/>
      <c r="I34" s="326" t="s">
        <v>472</v>
      </c>
      <c r="J34" s="131">
        <v>44910</v>
      </c>
      <c r="L34" s="352" t="s">
        <v>96</v>
      </c>
      <c r="M34" s="353"/>
      <c r="N34" s="326" t="s">
        <v>472</v>
      </c>
      <c r="O34" s="131">
        <v>44941</v>
      </c>
    </row>
    <row r="35" spans="2:15" ht="15.6" thickTop="1" thickBot="1" x14ac:dyDescent="0.35">
      <c r="B35" s="354"/>
      <c r="C35" s="355"/>
      <c r="D35" s="326" t="s">
        <v>473</v>
      </c>
      <c r="E35" s="131">
        <v>44788</v>
      </c>
      <c r="G35" s="354"/>
      <c r="H35" s="355"/>
      <c r="I35" s="326" t="s">
        <v>473</v>
      </c>
      <c r="J35" s="131">
        <v>44788</v>
      </c>
      <c r="L35" s="354"/>
      <c r="M35" s="355"/>
      <c r="N35" s="326" t="s">
        <v>473</v>
      </c>
      <c r="O35" s="131">
        <v>44788</v>
      </c>
    </row>
    <row r="36" spans="2:15" ht="15.6" thickTop="1" thickBot="1" x14ac:dyDescent="0.35">
      <c r="B36" s="356"/>
      <c r="C36" s="357"/>
      <c r="D36" s="326" t="s">
        <v>471</v>
      </c>
      <c r="E36" s="131">
        <v>44909</v>
      </c>
      <c r="G36" s="356"/>
      <c r="H36" s="357"/>
      <c r="I36" s="326" t="s">
        <v>471</v>
      </c>
      <c r="J36" s="131">
        <v>44940</v>
      </c>
      <c r="L36" s="356"/>
      <c r="M36" s="357"/>
      <c r="N36" s="326" t="s">
        <v>471</v>
      </c>
      <c r="O36" s="131">
        <v>44971</v>
      </c>
    </row>
    <row r="37" spans="2:15" ht="15.6" thickTop="1" thickBot="1" x14ac:dyDescent="0.35">
      <c r="B37" s="106" t="s">
        <v>95</v>
      </c>
      <c r="C37" s="2"/>
      <c r="D37" s="2"/>
      <c r="E37" s="200">
        <v>520</v>
      </c>
      <c r="G37" s="106" t="s">
        <v>95</v>
      </c>
      <c r="H37" s="2"/>
      <c r="I37" s="2"/>
      <c r="J37" s="200">
        <v>650</v>
      </c>
      <c r="L37" s="106" t="s">
        <v>95</v>
      </c>
      <c r="M37" s="2"/>
      <c r="N37" s="2"/>
      <c r="O37" s="200">
        <v>780</v>
      </c>
    </row>
    <row r="38" spans="2:15" ht="15.6" thickTop="1" thickBot="1" x14ac:dyDescent="0.35">
      <c r="B38" s="107" t="s">
        <v>183</v>
      </c>
      <c r="C38" s="108"/>
      <c r="D38" s="108"/>
      <c r="E38" s="208"/>
      <c r="G38" s="107" t="s">
        <v>183</v>
      </c>
      <c r="H38" s="108"/>
      <c r="I38" s="108"/>
      <c r="J38" s="208"/>
      <c r="L38" s="107" t="s">
        <v>183</v>
      </c>
      <c r="M38" s="108"/>
      <c r="N38" s="108"/>
      <c r="O38" s="208"/>
    </row>
    <row r="39" spans="2:15" ht="15" thickTop="1" x14ac:dyDescent="0.3">
      <c r="B39" s="206" t="s">
        <v>247</v>
      </c>
      <c r="C39" s="2"/>
      <c r="D39" s="2"/>
      <c r="E39" s="199">
        <v>760</v>
      </c>
      <c r="G39" s="206" t="s">
        <v>247</v>
      </c>
      <c r="H39" s="2"/>
      <c r="I39" s="2"/>
      <c r="J39" s="199">
        <v>1130</v>
      </c>
      <c r="L39" s="206" t="s">
        <v>247</v>
      </c>
      <c r="M39" s="2"/>
      <c r="N39" s="2"/>
      <c r="O39" s="199">
        <v>1480</v>
      </c>
    </row>
    <row r="40" spans="2:15" x14ac:dyDescent="0.3">
      <c r="B40" s="207" t="s">
        <v>248</v>
      </c>
      <c r="C40" s="2"/>
      <c r="D40" s="2"/>
      <c r="E40" s="115">
        <v>100</v>
      </c>
      <c r="G40" s="207" t="s">
        <v>248</v>
      </c>
      <c r="H40" s="2"/>
      <c r="I40" s="2"/>
      <c r="J40" s="115">
        <v>100</v>
      </c>
      <c r="L40" s="207" t="s">
        <v>248</v>
      </c>
      <c r="M40" s="2"/>
      <c r="N40" s="2"/>
      <c r="O40" s="115">
        <v>100</v>
      </c>
    </row>
    <row r="41" spans="2:15" x14ac:dyDescent="0.3">
      <c r="B41" s="106" t="s">
        <v>107</v>
      </c>
      <c r="C41" s="2"/>
      <c r="D41" s="2"/>
      <c r="E41" s="116">
        <v>400</v>
      </c>
      <c r="G41" s="106" t="s">
        <v>107</v>
      </c>
      <c r="H41" s="2"/>
      <c r="I41" s="2"/>
      <c r="J41" s="116">
        <v>370</v>
      </c>
      <c r="L41" s="106" t="s">
        <v>107</v>
      </c>
      <c r="M41" s="2"/>
      <c r="N41" s="2"/>
      <c r="O41" s="116">
        <v>350</v>
      </c>
    </row>
    <row r="42" spans="2:15" x14ac:dyDescent="0.3">
      <c r="B42" s="207" t="s">
        <v>249</v>
      </c>
      <c r="C42" s="2"/>
      <c r="D42" s="2"/>
      <c r="E42" s="209">
        <v>22.4</v>
      </c>
      <c r="G42" s="207" t="s">
        <v>249</v>
      </c>
      <c r="H42" s="2"/>
      <c r="I42" s="2"/>
      <c r="J42" s="209">
        <v>55.4</v>
      </c>
      <c r="L42" s="207" t="s">
        <v>249</v>
      </c>
      <c r="M42" s="2"/>
      <c r="N42" s="2"/>
      <c r="O42" s="209">
        <v>78.400000000000006</v>
      </c>
    </row>
    <row r="43" spans="2:15" ht="15" thickBot="1" x14ac:dyDescent="0.35">
      <c r="B43" s="106" t="s">
        <v>109</v>
      </c>
      <c r="C43" s="2"/>
      <c r="D43" s="2"/>
      <c r="E43" s="116">
        <v>12</v>
      </c>
      <c r="G43" s="106" t="s">
        <v>109</v>
      </c>
      <c r="H43" s="2"/>
      <c r="I43" s="2"/>
      <c r="J43" s="116">
        <v>33</v>
      </c>
      <c r="L43" s="106" t="s">
        <v>109</v>
      </c>
      <c r="M43" s="2"/>
      <c r="N43" s="2"/>
      <c r="O43" s="116">
        <v>23</v>
      </c>
    </row>
    <row r="44" spans="2:15" ht="15.6" thickTop="1" thickBot="1" x14ac:dyDescent="0.35">
      <c r="B44" s="210" t="s">
        <v>41</v>
      </c>
      <c r="C44" s="108"/>
      <c r="D44" s="108"/>
      <c r="E44" s="208"/>
      <c r="G44" s="210" t="s">
        <v>41</v>
      </c>
      <c r="H44" s="108"/>
      <c r="I44" s="108"/>
      <c r="J44" s="208"/>
      <c r="L44" s="210" t="s">
        <v>41</v>
      </c>
      <c r="M44" s="108"/>
      <c r="N44" s="108"/>
      <c r="O44" s="208"/>
    </row>
    <row r="45" spans="2:15" ht="15" thickTop="1" x14ac:dyDescent="0.3">
      <c r="B45" s="106" t="s">
        <v>105</v>
      </c>
      <c r="C45" s="2"/>
      <c r="D45" s="2"/>
      <c r="E45" s="115">
        <v>410</v>
      </c>
      <c r="G45" s="106" t="s">
        <v>105</v>
      </c>
      <c r="H45" s="2"/>
      <c r="I45" s="2"/>
      <c r="J45" s="115">
        <v>710</v>
      </c>
      <c r="L45" s="106" t="s">
        <v>105</v>
      </c>
      <c r="M45" s="2"/>
      <c r="N45" s="2"/>
      <c r="O45" s="115">
        <v>894</v>
      </c>
    </row>
    <row r="46" spans="2:15" x14ac:dyDescent="0.3">
      <c r="B46" s="106" t="s">
        <v>108</v>
      </c>
      <c r="C46" s="2"/>
      <c r="D46" s="2"/>
      <c r="E46" s="116">
        <v>330</v>
      </c>
      <c r="G46" s="106" t="s">
        <v>108</v>
      </c>
      <c r="H46" s="2"/>
      <c r="I46" s="2"/>
      <c r="J46" s="116">
        <v>300</v>
      </c>
      <c r="L46" s="106" t="s">
        <v>108</v>
      </c>
      <c r="M46" s="2"/>
      <c r="N46" s="2"/>
      <c r="O46" s="116">
        <v>184</v>
      </c>
    </row>
    <row r="47" spans="2:15" ht="15" thickBot="1" x14ac:dyDescent="0.35">
      <c r="B47" s="120" t="s">
        <v>99</v>
      </c>
      <c r="C47" s="119"/>
      <c r="D47" s="110"/>
      <c r="E47" s="118">
        <v>350</v>
      </c>
      <c r="G47" s="120" t="s">
        <v>99</v>
      </c>
      <c r="H47" s="119"/>
      <c r="I47" s="110"/>
      <c r="J47" s="118">
        <v>420</v>
      </c>
      <c r="L47" s="120" t="s">
        <v>99</v>
      </c>
      <c r="M47" s="119"/>
      <c r="N47" s="110"/>
      <c r="O47" s="118">
        <v>586</v>
      </c>
    </row>
    <row r="48" spans="2:15" ht="15" thickTop="1" x14ac:dyDescent="0.3">
      <c r="B48" s="106" t="s">
        <v>106</v>
      </c>
      <c r="C48" s="2"/>
      <c r="D48" s="2"/>
      <c r="E48" s="115">
        <v>10.4</v>
      </c>
      <c r="G48" s="106" t="s">
        <v>106</v>
      </c>
      <c r="H48" s="2"/>
      <c r="I48" s="2"/>
      <c r="J48" s="115">
        <v>18.399999999999999</v>
      </c>
      <c r="L48" s="106" t="s">
        <v>106</v>
      </c>
      <c r="M48" s="2"/>
      <c r="N48" s="2"/>
      <c r="O48" s="115">
        <v>29.799999999999997</v>
      </c>
    </row>
    <row r="49" spans="2:15" x14ac:dyDescent="0.3">
      <c r="B49" s="106" t="s">
        <v>110</v>
      </c>
      <c r="C49" s="2"/>
      <c r="D49" s="2"/>
      <c r="E49" s="116">
        <v>7.2</v>
      </c>
      <c r="G49" s="106" t="s">
        <v>110</v>
      </c>
      <c r="H49" s="2"/>
      <c r="I49" s="2"/>
      <c r="J49" s="116">
        <v>18</v>
      </c>
      <c r="L49" s="106" t="s">
        <v>110</v>
      </c>
      <c r="M49" s="2"/>
      <c r="N49" s="2"/>
      <c r="O49" s="116">
        <v>11.4</v>
      </c>
    </row>
    <row r="50" spans="2:15" ht="15" thickBot="1" x14ac:dyDescent="0.35">
      <c r="B50" s="120" t="s">
        <v>102</v>
      </c>
      <c r="C50" s="110"/>
      <c r="D50" s="110"/>
      <c r="E50" s="118">
        <v>11.999999999999998</v>
      </c>
      <c r="G50" s="120" t="s">
        <v>102</v>
      </c>
      <c r="H50" s="110"/>
      <c r="I50" s="110"/>
      <c r="J50" s="118">
        <v>37</v>
      </c>
      <c r="L50" s="120" t="s">
        <v>102</v>
      </c>
      <c r="M50" s="110"/>
      <c r="N50" s="110"/>
      <c r="O50" s="118">
        <v>48.600000000000009</v>
      </c>
    </row>
    <row r="51" spans="2:15" ht="15.6" thickTop="1" thickBot="1" x14ac:dyDescent="0.35">
      <c r="B51" s="107" t="s">
        <v>250</v>
      </c>
      <c r="C51" s="211"/>
      <c r="D51" s="108"/>
      <c r="E51" s="215"/>
      <c r="G51" s="107" t="s">
        <v>250</v>
      </c>
      <c r="H51" s="211"/>
      <c r="I51" s="108"/>
      <c r="J51" s="215"/>
      <c r="L51" s="107" t="s">
        <v>250</v>
      </c>
      <c r="M51" s="211"/>
      <c r="N51" s="108"/>
      <c r="O51" s="215"/>
    </row>
    <row r="52" spans="2:15" ht="15" thickTop="1" x14ac:dyDescent="0.3">
      <c r="B52" s="106" t="s">
        <v>336</v>
      </c>
      <c r="C52" s="201"/>
      <c r="D52" s="2"/>
      <c r="E52" s="117">
        <v>0</v>
      </c>
      <c r="G52" s="106" t="s">
        <v>336</v>
      </c>
      <c r="H52" s="201"/>
      <c r="I52" s="2"/>
      <c r="J52" s="117">
        <v>10</v>
      </c>
      <c r="L52" s="106" t="s">
        <v>336</v>
      </c>
      <c r="M52" s="201"/>
      <c r="N52" s="2"/>
      <c r="O52" s="117">
        <v>10</v>
      </c>
    </row>
    <row r="53" spans="2:15" x14ac:dyDescent="0.3">
      <c r="B53" s="106" t="s">
        <v>408</v>
      </c>
      <c r="C53" s="212"/>
      <c r="D53" s="213"/>
      <c r="E53" s="115">
        <v>0</v>
      </c>
      <c r="G53" s="106" t="s">
        <v>408</v>
      </c>
      <c r="H53" s="212"/>
      <c r="I53" s="213"/>
      <c r="J53" s="115">
        <v>0</v>
      </c>
      <c r="L53" s="106" t="s">
        <v>408</v>
      </c>
      <c r="M53" s="212"/>
      <c r="N53" s="213"/>
      <c r="O53" s="115">
        <v>0</v>
      </c>
    </row>
    <row r="54" spans="2:15" x14ac:dyDescent="0.3">
      <c r="B54" s="106" t="s">
        <v>470</v>
      </c>
      <c r="C54" s="212"/>
      <c r="D54" s="213"/>
      <c r="E54" s="115">
        <v>0</v>
      </c>
      <c r="G54" s="106" t="s">
        <v>470</v>
      </c>
      <c r="H54" s="212"/>
      <c r="I54" s="213"/>
      <c r="J54" s="115">
        <v>0</v>
      </c>
      <c r="L54" s="106" t="s">
        <v>470</v>
      </c>
      <c r="M54" s="212"/>
      <c r="N54" s="213"/>
      <c r="O54" s="115">
        <v>0</v>
      </c>
    </row>
    <row r="55" spans="2:15" x14ac:dyDescent="0.3">
      <c r="B55" s="106" t="s">
        <v>272</v>
      </c>
      <c r="C55" s="212"/>
      <c r="D55" s="213"/>
      <c r="E55" s="115">
        <v>0</v>
      </c>
      <c r="G55" s="106" t="s">
        <v>272</v>
      </c>
      <c r="H55" s="212"/>
      <c r="I55" s="213"/>
      <c r="J55" s="115">
        <v>0</v>
      </c>
      <c r="L55" s="106" t="s">
        <v>272</v>
      </c>
      <c r="M55" s="212"/>
      <c r="N55" s="213"/>
      <c r="O55" s="115">
        <v>0</v>
      </c>
    </row>
    <row r="56" spans="2:15" x14ac:dyDescent="0.3">
      <c r="B56" s="106" t="s">
        <v>97</v>
      </c>
      <c r="C56" s="2"/>
      <c r="D56" s="2"/>
      <c r="E56" s="114">
        <v>420</v>
      </c>
      <c r="G56" s="106" t="s">
        <v>97</v>
      </c>
      <c r="H56" s="2"/>
      <c r="I56" s="2"/>
      <c r="J56" s="114">
        <v>550</v>
      </c>
      <c r="L56" s="106" t="s">
        <v>97</v>
      </c>
      <c r="M56" s="2"/>
      <c r="N56" s="2"/>
      <c r="O56" s="114">
        <v>680</v>
      </c>
    </row>
    <row r="57" spans="2:15" x14ac:dyDescent="0.3">
      <c r="B57" s="106" t="s">
        <v>104</v>
      </c>
      <c r="C57" s="2"/>
      <c r="D57" s="2"/>
      <c r="E57" s="113">
        <v>28</v>
      </c>
      <c r="G57" s="106" t="s">
        <v>104</v>
      </c>
      <c r="H57" s="2"/>
      <c r="I57" s="2"/>
      <c r="J57" s="113">
        <v>36.666666666666664</v>
      </c>
      <c r="L57" s="106" t="s">
        <v>104</v>
      </c>
      <c r="M57" s="2"/>
      <c r="N57" s="2"/>
      <c r="O57" s="113">
        <v>45.333333333333336</v>
      </c>
    </row>
    <row r="58" spans="2:15" x14ac:dyDescent="0.3">
      <c r="B58" s="106" t="s">
        <v>409</v>
      </c>
      <c r="C58" s="2"/>
      <c r="D58" s="2"/>
      <c r="E58" s="114">
        <v>22.4</v>
      </c>
      <c r="G58" s="106" t="s">
        <v>409</v>
      </c>
      <c r="H58" s="2"/>
      <c r="I58" s="2"/>
      <c r="J58" s="114">
        <v>65.400000000000006</v>
      </c>
      <c r="L58" s="106" t="s">
        <v>409</v>
      </c>
      <c r="M58" s="2"/>
      <c r="N58" s="2"/>
      <c r="O58" s="114">
        <v>88.4</v>
      </c>
    </row>
    <row r="59" spans="2:15" ht="15" thickBot="1" x14ac:dyDescent="0.35">
      <c r="B59" s="106" t="s">
        <v>100</v>
      </c>
      <c r="C59" s="2"/>
      <c r="D59" s="214"/>
      <c r="E59" s="324">
        <v>80.400000000000006</v>
      </c>
      <c r="G59" s="106" t="s">
        <v>100</v>
      </c>
      <c r="H59" s="2"/>
      <c r="I59" s="214"/>
      <c r="J59" s="324">
        <v>158.4</v>
      </c>
      <c r="L59" s="106" t="s">
        <v>100</v>
      </c>
      <c r="M59" s="2"/>
      <c r="N59" s="214"/>
      <c r="O59" s="324">
        <v>133.80000000000001</v>
      </c>
    </row>
    <row r="60" spans="2:15" ht="15.6" thickTop="1" thickBot="1" x14ac:dyDescent="0.35">
      <c r="B60" s="111" t="s">
        <v>98</v>
      </c>
      <c r="C60" s="112"/>
      <c r="D60" s="216"/>
      <c r="E60" s="217">
        <v>442.4</v>
      </c>
      <c r="G60" s="111" t="s">
        <v>98</v>
      </c>
      <c r="H60" s="112"/>
      <c r="I60" s="216"/>
      <c r="J60" s="217">
        <v>615.4</v>
      </c>
      <c r="L60" s="111" t="s">
        <v>98</v>
      </c>
      <c r="M60" s="112"/>
      <c r="N60" s="216"/>
      <c r="O60" s="217">
        <v>768.4</v>
      </c>
    </row>
    <row r="61" spans="2:15" ht="15.6" thickTop="1" thickBot="1" x14ac:dyDescent="0.35">
      <c r="B61" s="111" t="s">
        <v>103</v>
      </c>
      <c r="C61" s="112"/>
      <c r="D61" s="216"/>
      <c r="E61" s="234">
        <v>442.4</v>
      </c>
      <c r="G61" s="111" t="s">
        <v>103</v>
      </c>
      <c r="H61" s="112"/>
      <c r="I61" s="216"/>
      <c r="J61" s="234">
        <v>615.4</v>
      </c>
      <c r="L61" s="111" t="s">
        <v>103</v>
      </c>
      <c r="M61" s="112"/>
      <c r="N61" s="216"/>
      <c r="O61" s="234">
        <v>768.40000000000009</v>
      </c>
    </row>
    <row r="62" spans="2:15" ht="15.6" thickTop="1" thickBot="1" x14ac:dyDescent="0.35"/>
    <row r="63" spans="2:15" ht="15.6" thickTop="1" thickBot="1" x14ac:dyDescent="0.35">
      <c r="B63" s="352" t="s">
        <v>96</v>
      </c>
      <c r="C63" s="353"/>
      <c r="D63" s="326" t="s">
        <v>472</v>
      </c>
      <c r="E63" s="131">
        <v>44788</v>
      </c>
      <c r="G63" s="352" t="s">
        <v>96</v>
      </c>
      <c r="H63" s="353"/>
      <c r="I63" s="326" t="s">
        <v>472</v>
      </c>
      <c r="J63" s="131">
        <v>44819</v>
      </c>
      <c r="L63" s="352" t="s">
        <v>96</v>
      </c>
      <c r="M63" s="353"/>
      <c r="N63" s="326" t="s">
        <v>472</v>
      </c>
      <c r="O63" s="131">
        <v>44849</v>
      </c>
    </row>
    <row r="64" spans="2:15" ht="15.6" thickTop="1" thickBot="1" x14ac:dyDescent="0.35">
      <c r="B64" s="354"/>
      <c r="C64" s="355"/>
      <c r="D64" s="326" t="s">
        <v>473</v>
      </c>
      <c r="E64" s="131">
        <v>44788</v>
      </c>
      <c r="G64" s="354"/>
      <c r="H64" s="355"/>
      <c r="I64" s="326" t="s">
        <v>473</v>
      </c>
      <c r="J64" s="131">
        <v>44788</v>
      </c>
      <c r="L64" s="354"/>
      <c r="M64" s="355"/>
      <c r="N64" s="326" t="s">
        <v>473</v>
      </c>
      <c r="O64" s="131">
        <v>44788</v>
      </c>
    </row>
    <row r="65" spans="2:15" ht="15.6" thickTop="1" thickBot="1" x14ac:dyDescent="0.35">
      <c r="B65" s="356"/>
      <c r="C65" s="357"/>
      <c r="D65" s="326" t="s">
        <v>471</v>
      </c>
      <c r="E65" s="131">
        <v>44818</v>
      </c>
      <c r="G65" s="356"/>
      <c r="H65" s="357"/>
      <c r="I65" s="326" t="s">
        <v>471</v>
      </c>
      <c r="J65" s="131">
        <v>44848</v>
      </c>
      <c r="L65" s="356"/>
      <c r="M65" s="357"/>
      <c r="N65" s="326" t="s">
        <v>471</v>
      </c>
      <c r="O65" s="131">
        <v>44879</v>
      </c>
    </row>
    <row r="66" spans="2:15" ht="15.6" thickTop="1" thickBot="1" x14ac:dyDescent="0.35">
      <c r="B66" s="106" t="s">
        <v>95</v>
      </c>
      <c r="C66" s="2"/>
      <c r="D66" s="2"/>
      <c r="E66" s="200">
        <v>130</v>
      </c>
      <c r="G66" s="106" t="s">
        <v>95</v>
      </c>
      <c r="H66" s="2"/>
      <c r="I66" s="2"/>
      <c r="J66" s="200">
        <v>260</v>
      </c>
      <c r="L66" s="106" t="s">
        <v>95</v>
      </c>
      <c r="M66" s="2"/>
      <c r="N66" s="2"/>
      <c r="O66" s="200">
        <v>390</v>
      </c>
    </row>
    <row r="67" spans="2:15" ht="15.6" thickTop="1" thickBot="1" x14ac:dyDescent="0.35">
      <c r="B67" s="107" t="s">
        <v>183</v>
      </c>
      <c r="C67" s="108"/>
      <c r="D67" s="108"/>
      <c r="E67" s="208"/>
      <c r="G67" s="107" t="s">
        <v>183</v>
      </c>
      <c r="H67" s="108"/>
      <c r="I67" s="108"/>
      <c r="J67" s="208"/>
      <c r="L67" s="107" t="s">
        <v>183</v>
      </c>
      <c r="M67" s="108"/>
      <c r="N67" s="108"/>
      <c r="O67" s="208"/>
    </row>
    <row r="68" spans="2:15" ht="15" thickTop="1" x14ac:dyDescent="0.3">
      <c r="B68" s="206" t="s">
        <v>247</v>
      </c>
      <c r="C68" s="2"/>
      <c r="D68" s="2"/>
      <c r="E68" s="199">
        <v>0</v>
      </c>
      <c r="G68" s="206" t="s">
        <v>247</v>
      </c>
      <c r="H68" s="2"/>
      <c r="I68" s="2"/>
      <c r="J68" s="199">
        <v>160</v>
      </c>
      <c r="L68" s="206" t="s">
        <v>247</v>
      </c>
      <c r="M68" s="2"/>
      <c r="N68" s="2"/>
      <c r="O68" s="199">
        <v>360</v>
      </c>
    </row>
    <row r="69" spans="2:15" x14ac:dyDescent="0.3">
      <c r="B69" s="207" t="s">
        <v>248</v>
      </c>
      <c r="C69" s="2"/>
      <c r="D69" s="2"/>
      <c r="E69" s="115">
        <v>0</v>
      </c>
      <c r="G69" s="207" t="s">
        <v>248</v>
      </c>
      <c r="H69" s="2"/>
      <c r="I69" s="2"/>
      <c r="J69" s="115">
        <v>100</v>
      </c>
      <c r="L69" s="207" t="s">
        <v>248</v>
      </c>
      <c r="M69" s="2"/>
      <c r="N69" s="2"/>
      <c r="O69" s="115">
        <v>100</v>
      </c>
    </row>
    <row r="70" spans="2:15" x14ac:dyDescent="0.3">
      <c r="B70" s="106" t="s">
        <v>107</v>
      </c>
      <c r="C70" s="2"/>
      <c r="D70" s="2"/>
      <c r="E70" s="116">
        <v>0</v>
      </c>
      <c r="G70" s="106" t="s">
        <v>107</v>
      </c>
      <c r="H70" s="2"/>
      <c r="I70" s="2"/>
      <c r="J70" s="116">
        <v>260</v>
      </c>
      <c r="L70" s="106" t="s">
        <v>107</v>
      </c>
      <c r="M70" s="2"/>
      <c r="N70" s="2"/>
      <c r="O70" s="116">
        <v>200</v>
      </c>
    </row>
    <row r="71" spans="2:15" x14ac:dyDescent="0.3">
      <c r="B71" s="207" t="s">
        <v>249</v>
      </c>
      <c r="C71" s="2"/>
      <c r="D71" s="2"/>
      <c r="E71" s="209">
        <v>0</v>
      </c>
      <c r="G71" s="207" t="s">
        <v>249</v>
      </c>
      <c r="H71" s="2"/>
      <c r="I71" s="2"/>
      <c r="J71" s="209">
        <v>6.4</v>
      </c>
      <c r="L71" s="207" t="s">
        <v>249</v>
      </c>
      <c r="M71" s="2"/>
      <c r="N71" s="2"/>
      <c r="O71" s="209">
        <v>10.4</v>
      </c>
    </row>
    <row r="72" spans="2:15" ht="15" thickBot="1" x14ac:dyDescent="0.35">
      <c r="B72" s="106" t="s">
        <v>109</v>
      </c>
      <c r="C72" s="2"/>
      <c r="D72" s="2"/>
      <c r="E72" s="116">
        <v>0</v>
      </c>
      <c r="G72" s="106" t="s">
        <v>109</v>
      </c>
      <c r="H72" s="2"/>
      <c r="I72" s="2"/>
      <c r="J72" s="116">
        <v>6.4</v>
      </c>
      <c r="L72" s="106" t="s">
        <v>109</v>
      </c>
      <c r="M72" s="2"/>
      <c r="N72" s="2"/>
      <c r="O72" s="116">
        <v>4</v>
      </c>
    </row>
    <row r="73" spans="2:15" ht="15.6" thickTop="1" thickBot="1" x14ac:dyDescent="0.35">
      <c r="B73" s="210" t="s">
        <v>41</v>
      </c>
      <c r="C73" s="108"/>
      <c r="D73" s="108"/>
      <c r="E73" s="208"/>
      <c r="G73" s="210" t="s">
        <v>41</v>
      </c>
      <c r="H73" s="108"/>
      <c r="I73" s="108"/>
      <c r="J73" s="208"/>
      <c r="L73" s="210" t="s">
        <v>41</v>
      </c>
      <c r="M73" s="108"/>
      <c r="N73" s="108"/>
      <c r="O73" s="208"/>
    </row>
    <row r="74" spans="2:15" ht="15" thickTop="1" x14ac:dyDescent="0.3">
      <c r="B74" s="106" t="s">
        <v>105</v>
      </c>
      <c r="C74" s="2"/>
      <c r="D74" s="2"/>
      <c r="E74" s="115">
        <v>0</v>
      </c>
      <c r="G74" s="106" t="s">
        <v>105</v>
      </c>
      <c r="H74" s="2"/>
      <c r="I74" s="2"/>
      <c r="J74" s="115">
        <v>0</v>
      </c>
      <c r="L74" s="106" t="s">
        <v>105</v>
      </c>
      <c r="M74" s="2"/>
      <c r="N74" s="2"/>
      <c r="O74" s="115">
        <v>80</v>
      </c>
    </row>
    <row r="75" spans="2:15" x14ac:dyDescent="0.3">
      <c r="B75" s="106" t="s">
        <v>108</v>
      </c>
      <c r="C75" s="2"/>
      <c r="D75" s="2"/>
      <c r="E75" s="116">
        <v>0</v>
      </c>
      <c r="G75" s="106" t="s">
        <v>108</v>
      </c>
      <c r="H75" s="2"/>
      <c r="I75" s="2"/>
      <c r="J75" s="116">
        <v>0</v>
      </c>
      <c r="L75" s="106" t="s">
        <v>108</v>
      </c>
      <c r="M75" s="2"/>
      <c r="N75" s="2"/>
      <c r="O75" s="116">
        <v>80</v>
      </c>
    </row>
    <row r="76" spans="2:15" ht="15" thickBot="1" x14ac:dyDescent="0.35">
      <c r="B76" s="120" t="s">
        <v>99</v>
      </c>
      <c r="C76" s="119"/>
      <c r="D76" s="110"/>
      <c r="E76" s="118">
        <v>0</v>
      </c>
      <c r="G76" s="120" t="s">
        <v>99</v>
      </c>
      <c r="H76" s="119"/>
      <c r="I76" s="110"/>
      <c r="J76" s="118">
        <v>160</v>
      </c>
      <c r="L76" s="120" t="s">
        <v>99</v>
      </c>
      <c r="M76" s="119"/>
      <c r="N76" s="110"/>
      <c r="O76" s="118">
        <v>280</v>
      </c>
    </row>
    <row r="77" spans="2:15" ht="15" thickTop="1" x14ac:dyDescent="0.3">
      <c r="B77" s="106" t="s">
        <v>106</v>
      </c>
      <c r="C77" s="2"/>
      <c r="D77" s="2"/>
      <c r="E77" s="115">
        <v>0</v>
      </c>
      <c r="G77" s="106" t="s">
        <v>106</v>
      </c>
      <c r="H77" s="2"/>
      <c r="I77" s="2"/>
      <c r="J77" s="115">
        <v>0</v>
      </c>
      <c r="L77" s="106" t="s">
        <v>106</v>
      </c>
      <c r="M77" s="2"/>
      <c r="N77" s="2"/>
      <c r="O77" s="115">
        <v>3.2</v>
      </c>
    </row>
    <row r="78" spans="2:15" x14ac:dyDescent="0.3">
      <c r="B78" s="106" t="s">
        <v>110</v>
      </c>
      <c r="C78" s="2"/>
      <c r="D78" s="2"/>
      <c r="E78" s="116">
        <v>0</v>
      </c>
      <c r="G78" s="106" t="s">
        <v>110</v>
      </c>
      <c r="H78" s="2"/>
      <c r="I78" s="2"/>
      <c r="J78" s="116">
        <v>0</v>
      </c>
      <c r="L78" s="106" t="s">
        <v>110</v>
      </c>
      <c r="M78" s="2"/>
      <c r="N78" s="2"/>
      <c r="O78" s="116">
        <v>3.2</v>
      </c>
    </row>
    <row r="79" spans="2:15" ht="15" thickBot="1" x14ac:dyDescent="0.35">
      <c r="B79" s="120" t="s">
        <v>102</v>
      </c>
      <c r="C79" s="110"/>
      <c r="D79" s="110"/>
      <c r="E79" s="118">
        <v>0</v>
      </c>
      <c r="G79" s="120" t="s">
        <v>102</v>
      </c>
      <c r="H79" s="110"/>
      <c r="I79" s="110"/>
      <c r="J79" s="118">
        <v>6.4</v>
      </c>
      <c r="L79" s="120" t="s">
        <v>102</v>
      </c>
      <c r="M79" s="110"/>
      <c r="N79" s="110"/>
      <c r="O79" s="118">
        <v>7.2</v>
      </c>
    </row>
    <row r="80" spans="2:15" ht="15.6" thickTop="1" thickBot="1" x14ac:dyDescent="0.35">
      <c r="B80" s="107" t="s">
        <v>250</v>
      </c>
      <c r="C80" s="211"/>
      <c r="D80" s="108"/>
      <c r="E80" s="215"/>
      <c r="G80" s="107" t="s">
        <v>250</v>
      </c>
      <c r="H80" s="211"/>
      <c r="I80" s="108"/>
      <c r="J80" s="215"/>
      <c r="L80" s="107" t="s">
        <v>250</v>
      </c>
      <c r="M80" s="211"/>
      <c r="N80" s="108"/>
      <c r="O80" s="215"/>
    </row>
    <row r="81" spans="2:15" ht="15" thickTop="1" x14ac:dyDescent="0.3">
      <c r="B81" s="106" t="s">
        <v>336</v>
      </c>
      <c r="C81" s="201"/>
      <c r="D81" s="2"/>
      <c r="E81" s="117">
        <v>0</v>
      </c>
      <c r="G81" s="106" t="s">
        <v>336</v>
      </c>
      <c r="H81" s="201"/>
      <c r="I81" s="2"/>
      <c r="J81" s="117">
        <v>0</v>
      </c>
      <c r="L81" s="106" t="s">
        <v>336</v>
      </c>
      <c r="M81" s="201"/>
      <c r="N81" s="2"/>
      <c r="O81" s="117">
        <v>0</v>
      </c>
    </row>
    <row r="82" spans="2:15" x14ac:dyDescent="0.3">
      <c r="B82" s="106" t="s">
        <v>408</v>
      </c>
      <c r="C82" s="212"/>
      <c r="D82" s="213"/>
      <c r="E82" s="115">
        <v>0</v>
      </c>
      <c r="G82" s="106" t="s">
        <v>408</v>
      </c>
      <c r="H82" s="212"/>
      <c r="I82" s="213"/>
      <c r="J82" s="115">
        <v>0</v>
      </c>
      <c r="L82" s="106" t="s">
        <v>408</v>
      </c>
      <c r="M82" s="212"/>
      <c r="N82" s="213"/>
      <c r="O82" s="115">
        <v>0</v>
      </c>
    </row>
    <row r="83" spans="2:15" x14ac:dyDescent="0.3">
      <c r="B83" s="106" t="s">
        <v>470</v>
      </c>
      <c r="C83" s="212"/>
      <c r="D83" s="213"/>
      <c r="E83" s="115">
        <v>0</v>
      </c>
      <c r="G83" s="106" t="s">
        <v>470</v>
      </c>
      <c r="H83" s="212"/>
      <c r="I83" s="213"/>
      <c r="J83" s="115">
        <v>0</v>
      </c>
      <c r="L83" s="106" t="s">
        <v>470</v>
      </c>
      <c r="M83" s="212"/>
      <c r="N83" s="213"/>
      <c r="O83" s="115">
        <v>0</v>
      </c>
    </row>
    <row r="84" spans="2:15" x14ac:dyDescent="0.3">
      <c r="B84" s="106" t="s">
        <v>272</v>
      </c>
      <c r="C84" s="212"/>
      <c r="D84" s="213"/>
      <c r="E84" s="115">
        <v>0</v>
      </c>
      <c r="G84" s="106" t="s">
        <v>272</v>
      </c>
      <c r="H84" s="212"/>
      <c r="I84" s="213"/>
      <c r="J84" s="115">
        <v>0</v>
      </c>
      <c r="L84" s="106" t="s">
        <v>272</v>
      </c>
      <c r="M84" s="212"/>
      <c r="N84" s="213"/>
      <c r="O84" s="115">
        <v>0</v>
      </c>
    </row>
    <row r="85" spans="2:15" x14ac:dyDescent="0.3">
      <c r="B85" s="106" t="s">
        <v>97</v>
      </c>
      <c r="C85" s="2"/>
      <c r="D85" s="2"/>
      <c r="E85" s="114">
        <v>130</v>
      </c>
      <c r="G85" s="106" t="s">
        <v>97</v>
      </c>
      <c r="H85" s="2"/>
      <c r="I85" s="2"/>
      <c r="J85" s="114">
        <v>160</v>
      </c>
      <c r="L85" s="106" t="s">
        <v>97</v>
      </c>
      <c r="M85" s="2"/>
      <c r="N85" s="2"/>
      <c r="O85" s="114">
        <v>290</v>
      </c>
    </row>
    <row r="86" spans="2:15" x14ac:dyDescent="0.3">
      <c r="B86" s="106" t="s">
        <v>104</v>
      </c>
      <c r="C86" s="2"/>
      <c r="D86" s="2"/>
      <c r="E86" s="113">
        <v>8.6666666666666661</v>
      </c>
      <c r="G86" s="106" t="s">
        <v>104</v>
      </c>
      <c r="H86" s="2"/>
      <c r="I86" s="2"/>
      <c r="J86" s="113">
        <v>10.666666666666666</v>
      </c>
      <c r="L86" s="106" t="s">
        <v>104</v>
      </c>
      <c r="M86" s="2"/>
      <c r="N86" s="2"/>
      <c r="O86" s="113">
        <v>19.333333333333332</v>
      </c>
    </row>
    <row r="87" spans="2:15" x14ac:dyDescent="0.3">
      <c r="B87" s="106" t="s">
        <v>409</v>
      </c>
      <c r="C87" s="2"/>
      <c r="D87" s="2"/>
      <c r="E87" s="114">
        <v>0</v>
      </c>
      <c r="G87" s="106" t="s">
        <v>409</v>
      </c>
      <c r="H87" s="2"/>
      <c r="I87" s="2"/>
      <c r="J87" s="114">
        <v>6.4</v>
      </c>
      <c r="L87" s="106" t="s">
        <v>409</v>
      </c>
      <c r="M87" s="2"/>
      <c r="N87" s="2"/>
      <c r="O87" s="114">
        <v>10.4</v>
      </c>
    </row>
    <row r="88" spans="2:15" ht="15" thickBot="1" x14ac:dyDescent="0.35">
      <c r="B88" s="106" t="s">
        <v>100</v>
      </c>
      <c r="C88" s="2"/>
      <c r="D88" s="214"/>
      <c r="E88" s="324">
        <v>130</v>
      </c>
      <c r="G88" s="106" t="s">
        <v>100</v>
      </c>
      <c r="H88" s="2"/>
      <c r="I88" s="214"/>
      <c r="J88" s="324">
        <v>0</v>
      </c>
      <c r="L88" s="106" t="s">
        <v>100</v>
      </c>
      <c r="M88" s="2"/>
      <c r="N88" s="214"/>
      <c r="O88" s="324">
        <v>13.2</v>
      </c>
    </row>
    <row r="89" spans="2:15" ht="15.6" thickTop="1" thickBot="1" x14ac:dyDescent="0.35">
      <c r="B89" s="111" t="s">
        <v>98</v>
      </c>
      <c r="C89" s="112"/>
      <c r="D89" s="216"/>
      <c r="E89" s="217">
        <v>130</v>
      </c>
      <c r="G89" s="111" t="s">
        <v>98</v>
      </c>
      <c r="H89" s="112"/>
      <c r="I89" s="216"/>
      <c r="J89" s="217">
        <v>166.4</v>
      </c>
      <c r="L89" s="111" t="s">
        <v>98</v>
      </c>
      <c r="M89" s="112"/>
      <c r="N89" s="216"/>
      <c r="O89" s="217">
        <v>300.39999999999998</v>
      </c>
    </row>
    <row r="90" spans="2:15" ht="15.6" thickTop="1" thickBot="1" x14ac:dyDescent="0.35">
      <c r="B90" s="111" t="s">
        <v>103</v>
      </c>
      <c r="C90" s="112"/>
      <c r="D90" s="216"/>
      <c r="E90" s="234">
        <v>130</v>
      </c>
      <c r="G90" s="111" t="s">
        <v>103</v>
      </c>
      <c r="H90" s="112"/>
      <c r="I90" s="216"/>
      <c r="J90" s="234">
        <v>166.4</v>
      </c>
      <c r="L90" s="111" t="s">
        <v>103</v>
      </c>
      <c r="M90" s="112"/>
      <c r="N90" s="216"/>
      <c r="O90" s="234">
        <v>300.39999999999998</v>
      </c>
    </row>
    <row r="91" spans="2:15" ht="15.6" thickTop="1" thickBot="1" x14ac:dyDescent="0.35"/>
    <row r="92" spans="2:15" ht="15.6" thickTop="1" thickBot="1" x14ac:dyDescent="0.35">
      <c r="B92" s="352" t="s">
        <v>96</v>
      </c>
      <c r="C92" s="353"/>
      <c r="D92" s="326" t="s">
        <v>472</v>
      </c>
      <c r="E92" s="131">
        <v>44788</v>
      </c>
      <c r="G92" s="352" t="s">
        <v>96</v>
      </c>
      <c r="H92" s="353"/>
      <c r="I92" s="326" t="s">
        <v>472</v>
      </c>
      <c r="J92" s="131">
        <v>44819</v>
      </c>
      <c r="L92" s="352" t="s">
        <v>96</v>
      </c>
      <c r="M92" s="353"/>
      <c r="N92" s="326" t="s">
        <v>472</v>
      </c>
      <c r="O92" s="131">
        <v>44849</v>
      </c>
    </row>
    <row r="93" spans="2:15" ht="15.6" thickTop="1" thickBot="1" x14ac:dyDescent="0.35">
      <c r="B93" s="354"/>
      <c r="C93" s="355"/>
      <c r="D93" s="326" t="s">
        <v>473</v>
      </c>
      <c r="E93" s="131">
        <v>44788</v>
      </c>
      <c r="G93" s="354"/>
      <c r="H93" s="355"/>
      <c r="I93" s="326" t="s">
        <v>473</v>
      </c>
      <c r="J93" s="131">
        <v>44788</v>
      </c>
      <c r="L93" s="354"/>
      <c r="M93" s="355"/>
      <c r="N93" s="326" t="s">
        <v>473</v>
      </c>
      <c r="O93" s="131">
        <v>44788</v>
      </c>
    </row>
    <row r="94" spans="2:15" ht="15.6" thickTop="1" thickBot="1" x14ac:dyDescent="0.35">
      <c r="B94" s="356"/>
      <c r="C94" s="357"/>
      <c r="D94" s="326" t="s">
        <v>471</v>
      </c>
      <c r="E94" s="131">
        <v>44818</v>
      </c>
      <c r="G94" s="356"/>
      <c r="H94" s="357"/>
      <c r="I94" s="326" t="s">
        <v>471</v>
      </c>
      <c r="J94" s="131">
        <v>44848</v>
      </c>
      <c r="L94" s="356"/>
      <c r="M94" s="357"/>
      <c r="N94" s="326" t="s">
        <v>471</v>
      </c>
      <c r="O94" s="131">
        <v>44879</v>
      </c>
    </row>
    <row r="95" spans="2:15" ht="15.6" thickTop="1" thickBot="1" x14ac:dyDescent="0.35">
      <c r="B95" s="106" t="s">
        <v>95</v>
      </c>
      <c r="C95" s="2"/>
      <c r="D95" s="2"/>
      <c r="E95" s="200">
        <v>130</v>
      </c>
      <c r="G95" s="106" t="s">
        <v>95</v>
      </c>
      <c r="H95" s="2"/>
      <c r="I95" s="2"/>
      <c r="J95" s="200">
        <v>260</v>
      </c>
      <c r="L95" s="106" t="s">
        <v>95</v>
      </c>
      <c r="M95" s="2"/>
      <c r="N95" s="2"/>
      <c r="O95" s="200">
        <v>390</v>
      </c>
    </row>
    <row r="96" spans="2:15" ht="15.6" thickTop="1" thickBot="1" x14ac:dyDescent="0.35">
      <c r="B96" s="107" t="s">
        <v>183</v>
      </c>
      <c r="C96" s="108"/>
      <c r="D96" s="108"/>
      <c r="E96" s="208"/>
      <c r="G96" s="107" t="s">
        <v>183</v>
      </c>
      <c r="H96" s="108"/>
      <c r="I96" s="108"/>
      <c r="J96" s="208"/>
      <c r="L96" s="107" t="s">
        <v>183</v>
      </c>
      <c r="M96" s="108"/>
      <c r="N96" s="108"/>
      <c r="O96" s="208"/>
    </row>
    <row r="97" spans="2:15" ht="15" thickTop="1" x14ac:dyDescent="0.3">
      <c r="B97" s="206" t="s">
        <v>247</v>
      </c>
      <c r="C97" s="2"/>
      <c r="D97" s="2"/>
      <c r="E97" s="199">
        <v>0</v>
      </c>
      <c r="G97" s="206" t="s">
        <v>247</v>
      </c>
      <c r="H97" s="2"/>
      <c r="I97" s="2"/>
      <c r="J97" s="199">
        <v>160</v>
      </c>
      <c r="L97" s="206" t="s">
        <v>247</v>
      </c>
      <c r="M97" s="2"/>
      <c r="N97" s="2"/>
      <c r="O97" s="199">
        <v>360</v>
      </c>
    </row>
    <row r="98" spans="2:15" x14ac:dyDescent="0.3">
      <c r="B98" s="207" t="s">
        <v>248</v>
      </c>
      <c r="C98" s="2"/>
      <c r="D98" s="2"/>
      <c r="E98" s="115">
        <v>0</v>
      </c>
      <c r="G98" s="207" t="s">
        <v>248</v>
      </c>
      <c r="H98" s="2"/>
      <c r="I98" s="2"/>
      <c r="J98" s="115">
        <v>100</v>
      </c>
      <c r="L98" s="207" t="s">
        <v>248</v>
      </c>
      <c r="M98" s="2"/>
      <c r="N98" s="2"/>
      <c r="O98" s="115">
        <v>100</v>
      </c>
    </row>
    <row r="99" spans="2:15" x14ac:dyDescent="0.3">
      <c r="B99" s="106" t="s">
        <v>107</v>
      </c>
      <c r="C99" s="2"/>
      <c r="D99" s="2"/>
      <c r="E99" s="116">
        <v>0</v>
      </c>
      <c r="G99" s="106" t="s">
        <v>107</v>
      </c>
      <c r="H99" s="2"/>
      <c r="I99" s="2"/>
      <c r="J99" s="116">
        <v>260</v>
      </c>
      <c r="L99" s="106" t="s">
        <v>107</v>
      </c>
      <c r="M99" s="2"/>
      <c r="N99" s="2"/>
      <c r="O99" s="116">
        <v>200</v>
      </c>
    </row>
    <row r="100" spans="2:15" x14ac:dyDescent="0.3">
      <c r="B100" s="207" t="s">
        <v>249</v>
      </c>
      <c r="C100" s="2"/>
      <c r="D100" s="2"/>
      <c r="E100" s="209">
        <v>0</v>
      </c>
      <c r="G100" s="207" t="s">
        <v>249</v>
      </c>
      <c r="H100" s="2"/>
      <c r="I100" s="2"/>
      <c r="J100" s="209">
        <v>6.4</v>
      </c>
      <c r="L100" s="207" t="s">
        <v>249</v>
      </c>
      <c r="M100" s="2"/>
      <c r="N100" s="2"/>
      <c r="O100" s="209">
        <v>10.4</v>
      </c>
    </row>
    <row r="101" spans="2:15" ht="15" thickBot="1" x14ac:dyDescent="0.35">
      <c r="B101" s="106" t="s">
        <v>109</v>
      </c>
      <c r="C101" s="2"/>
      <c r="D101" s="2"/>
      <c r="E101" s="116">
        <v>0</v>
      </c>
      <c r="G101" s="106" t="s">
        <v>109</v>
      </c>
      <c r="H101" s="2"/>
      <c r="I101" s="2"/>
      <c r="J101" s="116">
        <v>6.4</v>
      </c>
      <c r="L101" s="106" t="s">
        <v>109</v>
      </c>
      <c r="M101" s="2"/>
      <c r="N101" s="2"/>
      <c r="O101" s="116">
        <v>4</v>
      </c>
    </row>
    <row r="102" spans="2:15" ht="15.6" thickTop="1" thickBot="1" x14ac:dyDescent="0.35">
      <c r="B102" s="210" t="s">
        <v>41</v>
      </c>
      <c r="C102" s="108"/>
      <c r="D102" s="108"/>
      <c r="E102" s="208"/>
      <c r="G102" s="210" t="s">
        <v>41</v>
      </c>
      <c r="H102" s="108"/>
      <c r="I102" s="108"/>
      <c r="J102" s="208"/>
      <c r="L102" s="210" t="s">
        <v>41</v>
      </c>
      <c r="M102" s="108"/>
      <c r="N102" s="108"/>
      <c r="O102" s="208"/>
    </row>
    <row r="103" spans="2:15" ht="15" thickTop="1" x14ac:dyDescent="0.3">
      <c r="B103" s="106" t="s">
        <v>105</v>
      </c>
      <c r="C103" s="2"/>
      <c r="D103" s="2"/>
      <c r="E103" s="115">
        <v>0</v>
      </c>
      <c r="G103" s="106" t="s">
        <v>105</v>
      </c>
      <c r="H103" s="2"/>
      <c r="I103" s="2"/>
      <c r="J103" s="115">
        <v>0</v>
      </c>
      <c r="L103" s="106" t="s">
        <v>105</v>
      </c>
      <c r="M103" s="2"/>
      <c r="N103" s="2"/>
      <c r="O103" s="115">
        <v>80</v>
      </c>
    </row>
    <row r="104" spans="2:15" x14ac:dyDescent="0.3">
      <c r="B104" s="106" t="s">
        <v>108</v>
      </c>
      <c r="C104" s="2"/>
      <c r="D104" s="2"/>
      <c r="E104" s="116">
        <v>0</v>
      </c>
      <c r="G104" s="106" t="s">
        <v>108</v>
      </c>
      <c r="H104" s="2"/>
      <c r="I104" s="2"/>
      <c r="J104" s="116">
        <v>0</v>
      </c>
      <c r="L104" s="106" t="s">
        <v>108</v>
      </c>
      <c r="M104" s="2"/>
      <c r="N104" s="2"/>
      <c r="O104" s="116">
        <v>80</v>
      </c>
    </row>
    <row r="105" spans="2:15" ht="15" thickBot="1" x14ac:dyDescent="0.35">
      <c r="B105" s="120" t="s">
        <v>99</v>
      </c>
      <c r="C105" s="119"/>
      <c r="D105" s="110"/>
      <c r="E105" s="118">
        <v>0</v>
      </c>
      <c r="G105" s="120" t="s">
        <v>99</v>
      </c>
      <c r="H105" s="119"/>
      <c r="I105" s="110"/>
      <c r="J105" s="118">
        <v>160</v>
      </c>
      <c r="L105" s="120" t="s">
        <v>99</v>
      </c>
      <c r="M105" s="119"/>
      <c r="N105" s="110"/>
      <c r="O105" s="118">
        <v>280</v>
      </c>
    </row>
    <row r="106" spans="2:15" ht="15" thickTop="1" x14ac:dyDescent="0.3">
      <c r="B106" s="106" t="s">
        <v>106</v>
      </c>
      <c r="C106" s="2"/>
      <c r="D106" s="2"/>
      <c r="E106" s="115">
        <v>0</v>
      </c>
      <c r="G106" s="106" t="s">
        <v>106</v>
      </c>
      <c r="H106" s="2"/>
      <c r="I106" s="2"/>
      <c r="J106" s="115">
        <v>0</v>
      </c>
      <c r="L106" s="106" t="s">
        <v>106</v>
      </c>
      <c r="M106" s="2"/>
      <c r="N106" s="2"/>
      <c r="O106" s="115">
        <v>3.2</v>
      </c>
    </row>
    <row r="107" spans="2:15" x14ac:dyDescent="0.3">
      <c r="B107" s="106" t="s">
        <v>110</v>
      </c>
      <c r="C107" s="2"/>
      <c r="D107" s="2"/>
      <c r="E107" s="116">
        <v>0</v>
      </c>
      <c r="G107" s="106" t="s">
        <v>110</v>
      </c>
      <c r="H107" s="2"/>
      <c r="I107" s="2"/>
      <c r="J107" s="116">
        <v>0</v>
      </c>
      <c r="L107" s="106" t="s">
        <v>110</v>
      </c>
      <c r="M107" s="2"/>
      <c r="N107" s="2"/>
      <c r="O107" s="116">
        <v>3.2</v>
      </c>
    </row>
    <row r="108" spans="2:15" ht="15" thickBot="1" x14ac:dyDescent="0.35">
      <c r="B108" s="120" t="s">
        <v>102</v>
      </c>
      <c r="C108" s="110"/>
      <c r="D108" s="110"/>
      <c r="E108" s="118">
        <v>0</v>
      </c>
      <c r="G108" s="120" t="s">
        <v>102</v>
      </c>
      <c r="H108" s="110"/>
      <c r="I108" s="110"/>
      <c r="J108" s="118">
        <v>6.4</v>
      </c>
      <c r="L108" s="120" t="s">
        <v>102</v>
      </c>
      <c r="M108" s="110"/>
      <c r="N108" s="110"/>
      <c r="O108" s="118">
        <v>7.2</v>
      </c>
    </row>
    <row r="109" spans="2:15" ht="15.6" thickTop="1" thickBot="1" x14ac:dyDescent="0.35">
      <c r="B109" s="107" t="s">
        <v>250</v>
      </c>
      <c r="C109" s="211"/>
      <c r="D109" s="108"/>
      <c r="E109" s="215"/>
      <c r="G109" s="107" t="s">
        <v>250</v>
      </c>
      <c r="H109" s="211"/>
      <c r="I109" s="108"/>
      <c r="J109" s="215"/>
      <c r="L109" s="107" t="s">
        <v>250</v>
      </c>
      <c r="M109" s="211"/>
      <c r="N109" s="108"/>
      <c r="O109" s="215"/>
    </row>
    <row r="110" spans="2:15" ht="15" thickTop="1" x14ac:dyDescent="0.3">
      <c r="B110" s="106" t="s">
        <v>336</v>
      </c>
      <c r="C110" s="201"/>
      <c r="D110" s="2"/>
      <c r="E110" s="117">
        <v>0</v>
      </c>
      <c r="G110" s="106" t="s">
        <v>336</v>
      </c>
      <c r="H110" s="201"/>
      <c r="I110" s="2"/>
      <c r="J110" s="117">
        <v>0</v>
      </c>
      <c r="L110" s="106" t="s">
        <v>336</v>
      </c>
      <c r="M110" s="201"/>
      <c r="N110" s="2"/>
      <c r="O110" s="117">
        <v>0</v>
      </c>
    </row>
    <row r="111" spans="2:15" x14ac:dyDescent="0.3">
      <c r="B111" s="106" t="s">
        <v>408</v>
      </c>
      <c r="C111" s="212"/>
      <c r="D111" s="213"/>
      <c r="E111" s="115">
        <v>0</v>
      </c>
      <c r="G111" s="106" t="s">
        <v>408</v>
      </c>
      <c r="H111" s="212"/>
      <c r="I111" s="213"/>
      <c r="J111" s="115">
        <v>0</v>
      </c>
      <c r="L111" s="106" t="s">
        <v>408</v>
      </c>
      <c r="M111" s="212"/>
      <c r="N111" s="213"/>
      <c r="O111" s="115">
        <v>0</v>
      </c>
    </row>
    <row r="112" spans="2:15" x14ac:dyDescent="0.3">
      <c r="B112" s="106" t="s">
        <v>470</v>
      </c>
      <c r="C112" s="212"/>
      <c r="D112" s="213"/>
      <c r="E112" s="115">
        <v>0</v>
      </c>
      <c r="G112" s="106" t="s">
        <v>470</v>
      </c>
      <c r="H112" s="212"/>
      <c r="I112" s="213"/>
      <c r="J112" s="115">
        <v>0</v>
      </c>
      <c r="L112" s="106" t="s">
        <v>470</v>
      </c>
      <c r="M112" s="212"/>
      <c r="N112" s="213"/>
      <c r="O112" s="115">
        <v>0</v>
      </c>
    </row>
    <row r="113" spans="2:15" x14ac:dyDescent="0.3">
      <c r="B113" s="106" t="s">
        <v>272</v>
      </c>
      <c r="C113" s="212"/>
      <c r="D113" s="213"/>
      <c r="E113" s="115">
        <v>0</v>
      </c>
      <c r="G113" s="106" t="s">
        <v>272</v>
      </c>
      <c r="H113" s="212"/>
      <c r="I113" s="213"/>
      <c r="J113" s="115">
        <v>0</v>
      </c>
      <c r="L113" s="106" t="s">
        <v>272</v>
      </c>
      <c r="M113" s="212"/>
      <c r="N113" s="213"/>
      <c r="O113" s="115">
        <v>0</v>
      </c>
    </row>
    <row r="114" spans="2:15" x14ac:dyDescent="0.3">
      <c r="B114" s="106" t="s">
        <v>97</v>
      </c>
      <c r="C114" s="2"/>
      <c r="D114" s="2"/>
      <c r="E114" s="114">
        <v>130</v>
      </c>
      <c r="G114" s="106" t="s">
        <v>97</v>
      </c>
      <c r="H114" s="2"/>
      <c r="I114" s="2"/>
      <c r="J114" s="114">
        <v>160</v>
      </c>
      <c r="L114" s="106" t="s">
        <v>97</v>
      </c>
      <c r="M114" s="2"/>
      <c r="N114" s="2"/>
      <c r="O114" s="114">
        <v>290</v>
      </c>
    </row>
    <row r="115" spans="2:15" x14ac:dyDescent="0.3">
      <c r="B115" s="106" t="s">
        <v>104</v>
      </c>
      <c r="C115" s="2"/>
      <c r="D115" s="2"/>
      <c r="E115" s="113">
        <v>8.6666666666666661</v>
      </c>
      <c r="G115" s="106" t="s">
        <v>104</v>
      </c>
      <c r="H115" s="2"/>
      <c r="I115" s="2"/>
      <c r="J115" s="113">
        <v>10.666666666666666</v>
      </c>
      <c r="L115" s="106" t="s">
        <v>104</v>
      </c>
      <c r="M115" s="2"/>
      <c r="N115" s="2"/>
      <c r="O115" s="113">
        <v>19.333333333333332</v>
      </c>
    </row>
    <row r="116" spans="2:15" x14ac:dyDescent="0.3">
      <c r="B116" s="106" t="s">
        <v>409</v>
      </c>
      <c r="C116" s="2"/>
      <c r="D116" s="2"/>
      <c r="E116" s="114">
        <v>0</v>
      </c>
      <c r="G116" s="106" t="s">
        <v>409</v>
      </c>
      <c r="H116" s="2"/>
      <c r="I116" s="2"/>
      <c r="J116" s="114">
        <v>6.4</v>
      </c>
      <c r="L116" s="106" t="s">
        <v>409</v>
      </c>
      <c r="M116" s="2"/>
      <c r="N116" s="2"/>
      <c r="O116" s="114">
        <v>10.4</v>
      </c>
    </row>
    <row r="117" spans="2:15" ht="15" thickBot="1" x14ac:dyDescent="0.35">
      <c r="B117" s="106" t="s">
        <v>100</v>
      </c>
      <c r="C117" s="2"/>
      <c r="D117" s="214"/>
      <c r="E117" s="324">
        <v>130</v>
      </c>
      <c r="G117" s="106" t="s">
        <v>100</v>
      </c>
      <c r="H117" s="2"/>
      <c r="I117" s="214"/>
      <c r="J117" s="324">
        <v>0</v>
      </c>
      <c r="L117" s="106" t="s">
        <v>100</v>
      </c>
      <c r="M117" s="2"/>
      <c r="N117" s="214"/>
      <c r="O117" s="324">
        <v>13.2</v>
      </c>
    </row>
    <row r="118" spans="2:15" ht="15.6" thickTop="1" thickBot="1" x14ac:dyDescent="0.35">
      <c r="B118" s="111" t="s">
        <v>98</v>
      </c>
      <c r="C118" s="112"/>
      <c r="D118" s="216"/>
      <c r="E118" s="217">
        <v>130</v>
      </c>
      <c r="G118" s="111" t="s">
        <v>98</v>
      </c>
      <c r="H118" s="112"/>
      <c r="I118" s="216"/>
      <c r="J118" s="217">
        <v>166.4</v>
      </c>
      <c r="L118" s="111" t="s">
        <v>98</v>
      </c>
      <c r="M118" s="112"/>
      <c r="N118" s="216"/>
      <c r="O118" s="217">
        <v>300.39999999999998</v>
      </c>
    </row>
    <row r="119" spans="2:15" ht="15.6" thickTop="1" thickBot="1" x14ac:dyDescent="0.35">
      <c r="B119" s="111" t="s">
        <v>103</v>
      </c>
      <c r="C119" s="112"/>
      <c r="D119" s="216"/>
      <c r="E119" s="234">
        <v>130</v>
      </c>
      <c r="G119" s="111" t="s">
        <v>103</v>
      </c>
      <c r="H119" s="112"/>
      <c r="I119" s="216"/>
      <c r="J119" s="234">
        <v>166.4</v>
      </c>
      <c r="L119" s="111" t="s">
        <v>103</v>
      </c>
      <c r="M119" s="112"/>
      <c r="N119" s="216"/>
      <c r="O119" s="234">
        <v>300.39999999999998</v>
      </c>
    </row>
    <row r="120" spans="2:15" ht="15.6" thickTop="1" thickBot="1" x14ac:dyDescent="0.35"/>
    <row r="121" spans="2:15" ht="15.6" thickTop="1" thickBot="1" x14ac:dyDescent="0.35">
      <c r="B121" s="352" t="s">
        <v>96</v>
      </c>
      <c r="C121" s="353"/>
      <c r="D121" s="326" t="s">
        <v>472</v>
      </c>
      <c r="E121" s="131">
        <v>44788</v>
      </c>
      <c r="G121" s="352" t="s">
        <v>96</v>
      </c>
      <c r="H121" s="353"/>
      <c r="I121" s="326" t="s">
        <v>472</v>
      </c>
      <c r="J121" s="131">
        <v>44819</v>
      </c>
      <c r="L121" s="352" t="s">
        <v>96</v>
      </c>
      <c r="M121" s="353"/>
      <c r="N121" s="326" t="s">
        <v>472</v>
      </c>
      <c r="O121" s="131">
        <v>44849</v>
      </c>
    </row>
    <row r="122" spans="2:15" ht="15.6" thickTop="1" thickBot="1" x14ac:dyDescent="0.35">
      <c r="B122" s="354"/>
      <c r="C122" s="355"/>
      <c r="D122" s="326" t="s">
        <v>473</v>
      </c>
      <c r="E122" s="131">
        <v>44788</v>
      </c>
      <c r="G122" s="354"/>
      <c r="H122" s="355"/>
      <c r="I122" s="326" t="s">
        <v>473</v>
      </c>
      <c r="J122" s="131">
        <v>44788</v>
      </c>
      <c r="L122" s="354"/>
      <c r="M122" s="355"/>
      <c r="N122" s="326" t="s">
        <v>473</v>
      </c>
      <c r="O122" s="131">
        <v>44788</v>
      </c>
    </row>
    <row r="123" spans="2:15" ht="15.6" thickTop="1" thickBot="1" x14ac:dyDescent="0.35">
      <c r="B123" s="356"/>
      <c r="C123" s="357"/>
      <c r="D123" s="326" t="s">
        <v>471</v>
      </c>
      <c r="E123" s="131">
        <v>44818</v>
      </c>
      <c r="G123" s="356"/>
      <c r="H123" s="357"/>
      <c r="I123" s="326" t="s">
        <v>471</v>
      </c>
      <c r="J123" s="131">
        <v>44848</v>
      </c>
      <c r="L123" s="356"/>
      <c r="M123" s="357"/>
      <c r="N123" s="326" t="s">
        <v>471</v>
      </c>
      <c r="O123" s="131">
        <v>44879</v>
      </c>
    </row>
    <row r="124" spans="2:15" ht="15.6" thickTop="1" thickBot="1" x14ac:dyDescent="0.35">
      <c r="B124" s="106" t="s">
        <v>95</v>
      </c>
      <c r="C124" s="2"/>
      <c r="D124" s="2"/>
      <c r="E124" s="200">
        <v>130</v>
      </c>
      <c r="G124" s="106" t="s">
        <v>95</v>
      </c>
      <c r="H124" s="2"/>
      <c r="I124" s="2"/>
      <c r="J124" s="200">
        <v>260</v>
      </c>
      <c r="L124" s="106" t="s">
        <v>95</v>
      </c>
      <c r="M124" s="2"/>
      <c r="N124" s="2"/>
      <c r="O124" s="200">
        <v>390</v>
      </c>
    </row>
    <row r="125" spans="2:15" ht="15.6" thickTop="1" thickBot="1" x14ac:dyDescent="0.35">
      <c r="B125" s="107" t="s">
        <v>183</v>
      </c>
      <c r="C125" s="108"/>
      <c r="D125" s="108"/>
      <c r="E125" s="208"/>
      <c r="G125" s="107" t="s">
        <v>183</v>
      </c>
      <c r="H125" s="108"/>
      <c r="I125" s="108"/>
      <c r="J125" s="208"/>
      <c r="L125" s="107" t="s">
        <v>183</v>
      </c>
      <c r="M125" s="108"/>
      <c r="N125" s="108"/>
      <c r="O125" s="208"/>
    </row>
    <row r="126" spans="2:15" ht="15" thickTop="1" x14ac:dyDescent="0.3">
      <c r="B126" s="206" t="s">
        <v>247</v>
      </c>
      <c r="C126" s="2"/>
      <c r="D126" s="2"/>
      <c r="E126" s="199">
        <v>0</v>
      </c>
      <c r="G126" s="206" t="s">
        <v>247</v>
      </c>
      <c r="H126" s="2"/>
      <c r="I126" s="2"/>
      <c r="J126" s="199">
        <v>160</v>
      </c>
      <c r="L126" s="206" t="s">
        <v>247</v>
      </c>
      <c r="M126" s="2"/>
      <c r="N126" s="2"/>
      <c r="O126" s="199">
        <v>360</v>
      </c>
    </row>
    <row r="127" spans="2:15" x14ac:dyDescent="0.3">
      <c r="B127" s="207" t="s">
        <v>248</v>
      </c>
      <c r="C127" s="2"/>
      <c r="D127" s="2"/>
      <c r="E127" s="115">
        <v>0</v>
      </c>
      <c r="G127" s="207" t="s">
        <v>248</v>
      </c>
      <c r="H127" s="2"/>
      <c r="I127" s="2"/>
      <c r="J127" s="115">
        <v>100</v>
      </c>
      <c r="L127" s="207" t="s">
        <v>248</v>
      </c>
      <c r="M127" s="2"/>
      <c r="N127" s="2"/>
      <c r="O127" s="115">
        <v>100</v>
      </c>
    </row>
    <row r="128" spans="2:15" x14ac:dyDescent="0.3">
      <c r="B128" s="106" t="s">
        <v>107</v>
      </c>
      <c r="C128" s="2"/>
      <c r="D128" s="2"/>
      <c r="E128" s="116">
        <v>0</v>
      </c>
      <c r="G128" s="106" t="s">
        <v>107</v>
      </c>
      <c r="H128" s="2"/>
      <c r="I128" s="2"/>
      <c r="J128" s="116">
        <v>260</v>
      </c>
      <c r="L128" s="106" t="s">
        <v>107</v>
      </c>
      <c r="M128" s="2"/>
      <c r="N128" s="2"/>
      <c r="O128" s="116">
        <v>200</v>
      </c>
    </row>
    <row r="129" spans="2:15" x14ac:dyDescent="0.3">
      <c r="B129" s="207" t="s">
        <v>249</v>
      </c>
      <c r="C129" s="2"/>
      <c r="D129" s="2"/>
      <c r="E129" s="209">
        <v>0</v>
      </c>
      <c r="G129" s="207" t="s">
        <v>249</v>
      </c>
      <c r="H129" s="2"/>
      <c r="I129" s="2"/>
      <c r="J129" s="209">
        <v>6.4</v>
      </c>
      <c r="L129" s="207" t="s">
        <v>249</v>
      </c>
      <c r="M129" s="2"/>
      <c r="N129" s="2"/>
      <c r="O129" s="209">
        <v>10.4</v>
      </c>
    </row>
    <row r="130" spans="2:15" ht="15" thickBot="1" x14ac:dyDescent="0.35">
      <c r="B130" s="106" t="s">
        <v>109</v>
      </c>
      <c r="C130" s="2"/>
      <c r="D130" s="2"/>
      <c r="E130" s="116">
        <v>0</v>
      </c>
      <c r="G130" s="106" t="s">
        <v>109</v>
      </c>
      <c r="H130" s="2"/>
      <c r="I130" s="2"/>
      <c r="J130" s="116">
        <v>6.4</v>
      </c>
      <c r="L130" s="106" t="s">
        <v>109</v>
      </c>
      <c r="M130" s="2"/>
      <c r="N130" s="2"/>
      <c r="O130" s="116">
        <v>4</v>
      </c>
    </row>
    <row r="131" spans="2:15" ht="15.6" thickTop="1" thickBot="1" x14ac:dyDescent="0.35">
      <c r="B131" s="210" t="s">
        <v>41</v>
      </c>
      <c r="C131" s="108"/>
      <c r="D131" s="108"/>
      <c r="E131" s="208"/>
      <c r="G131" s="210" t="s">
        <v>41</v>
      </c>
      <c r="H131" s="108"/>
      <c r="I131" s="108"/>
      <c r="J131" s="208"/>
      <c r="L131" s="210" t="s">
        <v>41</v>
      </c>
      <c r="M131" s="108"/>
      <c r="N131" s="108"/>
      <c r="O131" s="208"/>
    </row>
    <row r="132" spans="2:15" ht="15" thickTop="1" x14ac:dyDescent="0.3">
      <c r="B132" s="106" t="s">
        <v>105</v>
      </c>
      <c r="C132" s="2"/>
      <c r="D132" s="2"/>
      <c r="E132" s="115">
        <v>0</v>
      </c>
      <c r="G132" s="106" t="s">
        <v>105</v>
      </c>
      <c r="H132" s="2"/>
      <c r="I132" s="2"/>
      <c r="J132" s="115">
        <v>0</v>
      </c>
      <c r="L132" s="106" t="s">
        <v>105</v>
      </c>
      <c r="M132" s="2"/>
      <c r="N132" s="2"/>
      <c r="O132" s="115">
        <v>80</v>
      </c>
    </row>
    <row r="133" spans="2:15" x14ac:dyDescent="0.3">
      <c r="B133" s="106" t="s">
        <v>108</v>
      </c>
      <c r="C133" s="2"/>
      <c r="D133" s="2"/>
      <c r="E133" s="116">
        <v>0</v>
      </c>
      <c r="G133" s="106" t="s">
        <v>108</v>
      </c>
      <c r="H133" s="2"/>
      <c r="I133" s="2"/>
      <c r="J133" s="116">
        <v>0</v>
      </c>
      <c r="L133" s="106" t="s">
        <v>108</v>
      </c>
      <c r="M133" s="2"/>
      <c r="N133" s="2"/>
      <c r="O133" s="116">
        <v>80</v>
      </c>
    </row>
    <row r="134" spans="2:15" ht="15" thickBot="1" x14ac:dyDescent="0.35">
      <c r="B134" s="120" t="s">
        <v>99</v>
      </c>
      <c r="C134" s="119"/>
      <c r="D134" s="110"/>
      <c r="E134" s="118">
        <v>0</v>
      </c>
      <c r="G134" s="120" t="s">
        <v>99</v>
      </c>
      <c r="H134" s="119"/>
      <c r="I134" s="110"/>
      <c r="J134" s="118">
        <v>160</v>
      </c>
      <c r="L134" s="120" t="s">
        <v>99</v>
      </c>
      <c r="M134" s="119"/>
      <c r="N134" s="110"/>
      <c r="O134" s="118">
        <v>280</v>
      </c>
    </row>
    <row r="135" spans="2:15" ht="15" thickTop="1" x14ac:dyDescent="0.3">
      <c r="B135" s="106" t="s">
        <v>106</v>
      </c>
      <c r="C135" s="2"/>
      <c r="D135" s="2"/>
      <c r="E135" s="115">
        <v>0</v>
      </c>
      <c r="G135" s="106" t="s">
        <v>106</v>
      </c>
      <c r="H135" s="2"/>
      <c r="I135" s="2"/>
      <c r="J135" s="115">
        <v>0</v>
      </c>
      <c r="L135" s="106" t="s">
        <v>106</v>
      </c>
      <c r="M135" s="2"/>
      <c r="N135" s="2"/>
      <c r="O135" s="115">
        <v>3.2</v>
      </c>
    </row>
    <row r="136" spans="2:15" x14ac:dyDescent="0.3">
      <c r="B136" s="106" t="s">
        <v>110</v>
      </c>
      <c r="C136" s="2"/>
      <c r="D136" s="2"/>
      <c r="E136" s="116">
        <v>0</v>
      </c>
      <c r="G136" s="106" t="s">
        <v>110</v>
      </c>
      <c r="H136" s="2"/>
      <c r="I136" s="2"/>
      <c r="J136" s="116">
        <v>0</v>
      </c>
      <c r="L136" s="106" t="s">
        <v>110</v>
      </c>
      <c r="M136" s="2"/>
      <c r="N136" s="2"/>
      <c r="O136" s="116">
        <v>3.2</v>
      </c>
    </row>
    <row r="137" spans="2:15" ht="15" thickBot="1" x14ac:dyDescent="0.35">
      <c r="B137" s="120" t="s">
        <v>102</v>
      </c>
      <c r="C137" s="110"/>
      <c r="D137" s="110"/>
      <c r="E137" s="118">
        <v>0</v>
      </c>
      <c r="G137" s="120" t="s">
        <v>102</v>
      </c>
      <c r="H137" s="110"/>
      <c r="I137" s="110"/>
      <c r="J137" s="118">
        <v>6.4</v>
      </c>
      <c r="L137" s="120" t="s">
        <v>102</v>
      </c>
      <c r="M137" s="110"/>
      <c r="N137" s="110"/>
      <c r="O137" s="118">
        <v>7.2</v>
      </c>
    </row>
    <row r="138" spans="2:15" ht="15.6" thickTop="1" thickBot="1" x14ac:dyDescent="0.35">
      <c r="B138" s="107" t="s">
        <v>250</v>
      </c>
      <c r="C138" s="211"/>
      <c r="D138" s="108"/>
      <c r="E138" s="215"/>
      <c r="G138" s="107" t="s">
        <v>250</v>
      </c>
      <c r="H138" s="211"/>
      <c r="I138" s="108"/>
      <c r="J138" s="215"/>
      <c r="L138" s="107" t="s">
        <v>250</v>
      </c>
      <c r="M138" s="211"/>
      <c r="N138" s="108"/>
      <c r="O138" s="215"/>
    </row>
    <row r="139" spans="2:15" ht="15" thickTop="1" x14ac:dyDescent="0.3">
      <c r="B139" s="106" t="s">
        <v>336</v>
      </c>
      <c r="C139" s="201"/>
      <c r="D139" s="2"/>
      <c r="E139" s="117">
        <v>0</v>
      </c>
      <c r="G139" s="106" t="s">
        <v>336</v>
      </c>
      <c r="H139" s="201"/>
      <c r="I139" s="2"/>
      <c r="J139" s="117">
        <v>0</v>
      </c>
      <c r="L139" s="106" t="s">
        <v>336</v>
      </c>
      <c r="M139" s="201"/>
      <c r="N139" s="2"/>
      <c r="O139" s="117">
        <v>0</v>
      </c>
    </row>
    <row r="140" spans="2:15" x14ac:dyDescent="0.3">
      <c r="B140" s="106" t="s">
        <v>408</v>
      </c>
      <c r="C140" s="212"/>
      <c r="D140" s="213"/>
      <c r="E140" s="115">
        <v>0</v>
      </c>
      <c r="G140" s="106" t="s">
        <v>408</v>
      </c>
      <c r="H140" s="212"/>
      <c r="I140" s="213"/>
      <c r="J140" s="115">
        <v>0</v>
      </c>
      <c r="L140" s="106" t="s">
        <v>408</v>
      </c>
      <c r="M140" s="212"/>
      <c r="N140" s="213"/>
      <c r="O140" s="115">
        <v>0</v>
      </c>
    </row>
    <row r="141" spans="2:15" x14ac:dyDescent="0.3">
      <c r="B141" s="106" t="s">
        <v>470</v>
      </c>
      <c r="C141" s="212"/>
      <c r="D141" s="213"/>
      <c r="E141" s="115">
        <v>0</v>
      </c>
      <c r="G141" s="106" t="s">
        <v>470</v>
      </c>
      <c r="H141" s="212"/>
      <c r="I141" s="213"/>
      <c r="J141" s="115">
        <v>0</v>
      </c>
      <c r="L141" s="106" t="s">
        <v>470</v>
      </c>
      <c r="M141" s="212"/>
      <c r="N141" s="213"/>
      <c r="O141" s="115">
        <v>0</v>
      </c>
    </row>
    <row r="142" spans="2:15" x14ac:dyDescent="0.3">
      <c r="B142" s="106" t="s">
        <v>272</v>
      </c>
      <c r="C142" s="212"/>
      <c r="D142" s="213"/>
      <c r="E142" s="115">
        <v>0</v>
      </c>
      <c r="G142" s="106" t="s">
        <v>272</v>
      </c>
      <c r="H142" s="212"/>
      <c r="I142" s="213"/>
      <c r="J142" s="115">
        <v>0</v>
      </c>
      <c r="L142" s="106" t="s">
        <v>272</v>
      </c>
      <c r="M142" s="212"/>
      <c r="N142" s="213"/>
      <c r="O142" s="115">
        <v>0</v>
      </c>
    </row>
    <row r="143" spans="2:15" x14ac:dyDescent="0.3">
      <c r="B143" s="106" t="s">
        <v>97</v>
      </c>
      <c r="C143" s="2"/>
      <c r="D143" s="2"/>
      <c r="E143" s="114">
        <v>130</v>
      </c>
      <c r="G143" s="106" t="s">
        <v>97</v>
      </c>
      <c r="H143" s="2"/>
      <c r="I143" s="2"/>
      <c r="J143" s="114">
        <v>160</v>
      </c>
      <c r="L143" s="106" t="s">
        <v>97</v>
      </c>
      <c r="M143" s="2"/>
      <c r="N143" s="2"/>
      <c r="O143" s="114">
        <v>290</v>
      </c>
    </row>
    <row r="144" spans="2:15" x14ac:dyDescent="0.3">
      <c r="B144" s="106" t="s">
        <v>104</v>
      </c>
      <c r="C144" s="2"/>
      <c r="D144" s="2"/>
      <c r="E144" s="113">
        <v>8.6666666666666661</v>
      </c>
      <c r="G144" s="106" t="s">
        <v>104</v>
      </c>
      <c r="H144" s="2"/>
      <c r="I144" s="2"/>
      <c r="J144" s="113">
        <v>10.666666666666666</v>
      </c>
      <c r="L144" s="106" t="s">
        <v>104</v>
      </c>
      <c r="M144" s="2"/>
      <c r="N144" s="2"/>
      <c r="O144" s="113">
        <v>19.333333333333332</v>
      </c>
    </row>
    <row r="145" spans="2:15" x14ac:dyDescent="0.3">
      <c r="B145" s="106" t="s">
        <v>409</v>
      </c>
      <c r="C145" s="2"/>
      <c r="D145" s="2"/>
      <c r="E145" s="114">
        <v>0</v>
      </c>
      <c r="G145" s="106" t="s">
        <v>409</v>
      </c>
      <c r="H145" s="2"/>
      <c r="I145" s="2"/>
      <c r="J145" s="114">
        <v>6.4</v>
      </c>
      <c r="L145" s="106" t="s">
        <v>409</v>
      </c>
      <c r="M145" s="2"/>
      <c r="N145" s="2"/>
      <c r="O145" s="114">
        <v>10.4</v>
      </c>
    </row>
    <row r="146" spans="2:15" ht="15" thickBot="1" x14ac:dyDescent="0.35">
      <c r="B146" s="106" t="s">
        <v>100</v>
      </c>
      <c r="C146" s="2"/>
      <c r="D146" s="214"/>
      <c r="E146" s="324">
        <v>130</v>
      </c>
      <c r="G146" s="106" t="s">
        <v>100</v>
      </c>
      <c r="H146" s="2"/>
      <c r="I146" s="214"/>
      <c r="J146" s="324">
        <v>0</v>
      </c>
      <c r="L146" s="106" t="s">
        <v>100</v>
      </c>
      <c r="M146" s="2"/>
      <c r="N146" s="214"/>
      <c r="O146" s="324">
        <v>13.2</v>
      </c>
    </row>
    <row r="147" spans="2:15" ht="15.6" thickTop="1" thickBot="1" x14ac:dyDescent="0.35">
      <c r="B147" s="111" t="s">
        <v>98</v>
      </c>
      <c r="C147" s="112"/>
      <c r="D147" s="216"/>
      <c r="E147" s="217">
        <v>130</v>
      </c>
      <c r="G147" s="111" t="s">
        <v>98</v>
      </c>
      <c r="H147" s="112"/>
      <c r="I147" s="216"/>
      <c r="J147" s="217">
        <v>166.4</v>
      </c>
      <c r="L147" s="111" t="s">
        <v>98</v>
      </c>
      <c r="M147" s="112"/>
      <c r="N147" s="216"/>
      <c r="O147" s="217">
        <v>300.39999999999998</v>
      </c>
    </row>
    <row r="148" spans="2:15" ht="15.6" thickTop="1" thickBot="1" x14ac:dyDescent="0.35">
      <c r="B148" s="111" t="s">
        <v>103</v>
      </c>
      <c r="C148" s="112"/>
      <c r="D148" s="216"/>
      <c r="E148" s="234">
        <v>130</v>
      </c>
      <c r="G148" s="111" t="s">
        <v>103</v>
      </c>
      <c r="H148" s="112"/>
      <c r="I148" s="216"/>
      <c r="J148" s="234">
        <v>166.4</v>
      </c>
      <c r="L148" s="111" t="s">
        <v>103</v>
      </c>
      <c r="M148" s="112"/>
      <c r="N148" s="216"/>
      <c r="O148" s="234">
        <v>300.39999999999998</v>
      </c>
    </row>
    <row r="149" spans="2:15" ht="15.6" thickTop="1" thickBot="1" x14ac:dyDescent="0.35"/>
    <row r="150" spans="2:15" ht="15.6" thickTop="1" thickBot="1" x14ac:dyDescent="0.35">
      <c r="B150" s="352" t="s">
        <v>96</v>
      </c>
      <c r="C150" s="353"/>
      <c r="D150" s="326" t="s">
        <v>472</v>
      </c>
      <c r="E150" s="131">
        <v>44788</v>
      </c>
      <c r="G150" s="352" t="s">
        <v>96</v>
      </c>
      <c r="H150" s="353"/>
      <c r="I150" s="326" t="s">
        <v>472</v>
      </c>
      <c r="J150" s="131">
        <v>44819</v>
      </c>
      <c r="L150" s="352" t="s">
        <v>96</v>
      </c>
      <c r="M150" s="353"/>
      <c r="N150" s="326" t="s">
        <v>472</v>
      </c>
      <c r="O150" s="131">
        <v>44849</v>
      </c>
    </row>
    <row r="151" spans="2:15" ht="15.6" thickTop="1" thickBot="1" x14ac:dyDescent="0.35">
      <c r="B151" s="354"/>
      <c r="C151" s="355"/>
      <c r="D151" s="326" t="s">
        <v>473</v>
      </c>
      <c r="E151" s="131">
        <v>44788</v>
      </c>
      <c r="G151" s="354"/>
      <c r="H151" s="355"/>
      <c r="I151" s="326" t="s">
        <v>473</v>
      </c>
      <c r="J151" s="131">
        <v>44788</v>
      </c>
      <c r="L151" s="354"/>
      <c r="M151" s="355"/>
      <c r="N151" s="326" t="s">
        <v>473</v>
      </c>
      <c r="O151" s="131">
        <v>44788</v>
      </c>
    </row>
    <row r="152" spans="2:15" ht="15.6" thickTop="1" thickBot="1" x14ac:dyDescent="0.35">
      <c r="B152" s="356"/>
      <c r="C152" s="357"/>
      <c r="D152" s="326" t="s">
        <v>471</v>
      </c>
      <c r="E152" s="131">
        <v>44818</v>
      </c>
      <c r="G152" s="356"/>
      <c r="H152" s="357"/>
      <c r="I152" s="326" t="s">
        <v>471</v>
      </c>
      <c r="J152" s="131">
        <v>44848</v>
      </c>
      <c r="L152" s="356"/>
      <c r="M152" s="357"/>
      <c r="N152" s="326" t="s">
        <v>471</v>
      </c>
      <c r="O152" s="131">
        <v>44879</v>
      </c>
    </row>
    <row r="153" spans="2:15" ht="15.6" thickTop="1" thickBot="1" x14ac:dyDescent="0.35">
      <c r="B153" s="106" t="s">
        <v>95</v>
      </c>
      <c r="C153" s="2"/>
      <c r="D153" s="2"/>
      <c r="E153" s="200">
        <v>130</v>
      </c>
      <c r="G153" s="106" t="s">
        <v>95</v>
      </c>
      <c r="H153" s="2"/>
      <c r="I153" s="2"/>
      <c r="J153" s="200">
        <v>260</v>
      </c>
      <c r="L153" s="106" t="s">
        <v>95</v>
      </c>
      <c r="M153" s="2"/>
      <c r="N153" s="2"/>
      <c r="O153" s="200">
        <v>390</v>
      </c>
    </row>
    <row r="154" spans="2:15" ht="15.6" thickTop="1" thickBot="1" x14ac:dyDescent="0.35">
      <c r="B154" s="107" t="s">
        <v>183</v>
      </c>
      <c r="C154" s="108"/>
      <c r="D154" s="108"/>
      <c r="E154" s="208"/>
      <c r="G154" s="107" t="s">
        <v>183</v>
      </c>
      <c r="H154" s="108"/>
      <c r="I154" s="108"/>
      <c r="J154" s="208"/>
      <c r="L154" s="107" t="s">
        <v>183</v>
      </c>
      <c r="M154" s="108"/>
      <c r="N154" s="108"/>
      <c r="O154" s="208"/>
    </row>
    <row r="155" spans="2:15" ht="15" thickTop="1" x14ac:dyDescent="0.3">
      <c r="B155" s="206" t="s">
        <v>247</v>
      </c>
      <c r="C155" s="2"/>
      <c r="D155" s="2"/>
      <c r="E155" s="199">
        <v>0</v>
      </c>
      <c r="G155" s="206" t="s">
        <v>247</v>
      </c>
      <c r="H155" s="2"/>
      <c r="I155" s="2"/>
      <c r="J155" s="199">
        <v>160</v>
      </c>
      <c r="L155" s="206" t="s">
        <v>247</v>
      </c>
      <c r="M155" s="2"/>
      <c r="N155" s="2"/>
      <c r="O155" s="199">
        <v>360</v>
      </c>
    </row>
    <row r="156" spans="2:15" x14ac:dyDescent="0.3">
      <c r="B156" s="207" t="s">
        <v>248</v>
      </c>
      <c r="C156" s="2"/>
      <c r="D156" s="2"/>
      <c r="E156" s="115">
        <v>0</v>
      </c>
      <c r="G156" s="207" t="s">
        <v>248</v>
      </c>
      <c r="H156" s="2"/>
      <c r="I156" s="2"/>
      <c r="J156" s="115">
        <v>100</v>
      </c>
      <c r="L156" s="207" t="s">
        <v>248</v>
      </c>
      <c r="M156" s="2"/>
      <c r="N156" s="2"/>
      <c r="O156" s="115">
        <v>100</v>
      </c>
    </row>
    <row r="157" spans="2:15" x14ac:dyDescent="0.3">
      <c r="B157" s="106" t="s">
        <v>107</v>
      </c>
      <c r="C157" s="2"/>
      <c r="D157" s="2"/>
      <c r="E157" s="116">
        <v>0</v>
      </c>
      <c r="G157" s="106" t="s">
        <v>107</v>
      </c>
      <c r="H157" s="2"/>
      <c r="I157" s="2"/>
      <c r="J157" s="116">
        <v>260</v>
      </c>
      <c r="L157" s="106" t="s">
        <v>107</v>
      </c>
      <c r="M157" s="2"/>
      <c r="N157" s="2"/>
      <c r="O157" s="116">
        <v>200</v>
      </c>
    </row>
    <row r="158" spans="2:15" x14ac:dyDescent="0.3">
      <c r="B158" s="207" t="s">
        <v>249</v>
      </c>
      <c r="C158" s="2"/>
      <c r="D158" s="2"/>
      <c r="E158" s="209">
        <v>0</v>
      </c>
      <c r="G158" s="207" t="s">
        <v>249</v>
      </c>
      <c r="H158" s="2"/>
      <c r="I158" s="2"/>
      <c r="J158" s="209">
        <v>6.4</v>
      </c>
      <c r="L158" s="207" t="s">
        <v>249</v>
      </c>
      <c r="M158" s="2"/>
      <c r="N158" s="2"/>
      <c r="O158" s="209">
        <v>10.4</v>
      </c>
    </row>
    <row r="159" spans="2:15" ht="15" thickBot="1" x14ac:dyDescent="0.35">
      <c r="B159" s="106" t="s">
        <v>109</v>
      </c>
      <c r="C159" s="2"/>
      <c r="D159" s="2"/>
      <c r="E159" s="116">
        <v>0</v>
      </c>
      <c r="G159" s="106" t="s">
        <v>109</v>
      </c>
      <c r="H159" s="2"/>
      <c r="I159" s="2"/>
      <c r="J159" s="116">
        <v>6.4</v>
      </c>
      <c r="L159" s="106" t="s">
        <v>109</v>
      </c>
      <c r="M159" s="2"/>
      <c r="N159" s="2"/>
      <c r="O159" s="116">
        <v>4</v>
      </c>
    </row>
    <row r="160" spans="2:15" ht="15.6" thickTop="1" thickBot="1" x14ac:dyDescent="0.35">
      <c r="B160" s="210" t="s">
        <v>41</v>
      </c>
      <c r="C160" s="108"/>
      <c r="D160" s="108"/>
      <c r="E160" s="208"/>
      <c r="G160" s="210" t="s">
        <v>41</v>
      </c>
      <c r="H160" s="108"/>
      <c r="I160" s="108"/>
      <c r="J160" s="208"/>
      <c r="L160" s="210" t="s">
        <v>41</v>
      </c>
      <c r="M160" s="108"/>
      <c r="N160" s="108"/>
      <c r="O160" s="208"/>
    </row>
    <row r="161" spans="2:15" ht="15" thickTop="1" x14ac:dyDescent="0.3">
      <c r="B161" s="106" t="s">
        <v>105</v>
      </c>
      <c r="C161" s="2"/>
      <c r="D161" s="2"/>
      <c r="E161" s="115">
        <v>0</v>
      </c>
      <c r="G161" s="106" t="s">
        <v>105</v>
      </c>
      <c r="H161" s="2"/>
      <c r="I161" s="2"/>
      <c r="J161" s="115">
        <v>0</v>
      </c>
      <c r="L161" s="106" t="s">
        <v>105</v>
      </c>
      <c r="M161" s="2"/>
      <c r="N161" s="2"/>
      <c r="O161" s="115">
        <v>80</v>
      </c>
    </row>
    <row r="162" spans="2:15" x14ac:dyDescent="0.3">
      <c r="B162" s="106" t="s">
        <v>108</v>
      </c>
      <c r="C162" s="2"/>
      <c r="D162" s="2"/>
      <c r="E162" s="116">
        <v>0</v>
      </c>
      <c r="G162" s="106" t="s">
        <v>108</v>
      </c>
      <c r="H162" s="2"/>
      <c r="I162" s="2"/>
      <c r="J162" s="116">
        <v>0</v>
      </c>
      <c r="L162" s="106" t="s">
        <v>108</v>
      </c>
      <c r="M162" s="2"/>
      <c r="N162" s="2"/>
      <c r="O162" s="116">
        <v>80</v>
      </c>
    </row>
    <row r="163" spans="2:15" ht="15" thickBot="1" x14ac:dyDescent="0.35">
      <c r="B163" s="120" t="s">
        <v>99</v>
      </c>
      <c r="C163" s="119"/>
      <c r="D163" s="110"/>
      <c r="E163" s="118">
        <v>0</v>
      </c>
      <c r="G163" s="120" t="s">
        <v>99</v>
      </c>
      <c r="H163" s="119"/>
      <c r="I163" s="110"/>
      <c r="J163" s="118">
        <v>160</v>
      </c>
      <c r="L163" s="120" t="s">
        <v>99</v>
      </c>
      <c r="M163" s="119"/>
      <c r="N163" s="110"/>
      <c r="O163" s="118">
        <v>280</v>
      </c>
    </row>
    <row r="164" spans="2:15" ht="15" thickTop="1" x14ac:dyDescent="0.3">
      <c r="B164" s="106" t="s">
        <v>106</v>
      </c>
      <c r="C164" s="2"/>
      <c r="D164" s="2"/>
      <c r="E164" s="115">
        <v>0</v>
      </c>
      <c r="G164" s="106" t="s">
        <v>106</v>
      </c>
      <c r="H164" s="2"/>
      <c r="I164" s="2"/>
      <c r="J164" s="115">
        <v>0</v>
      </c>
      <c r="L164" s="106" t="s">
        <v>106</v>
      </c>
      <c r="M164" s="2"/>
      <c r="N164" s="2"/>
      <c r="O164" s="115">
        <v>3.2</v>
      </c>
    </row>
    <row r="165" spans="2:15" x14ac:dyDescent="0.3">
      <c r="B165" s="106" t="s">
        <v>110</v>
      </c>
      <c r="C165" s="2"/>
      <c r="D165" s="2"/>
      <c r="E165" s="116">
        <v>0</v>
      </c>
      <c r="G165" s="106" t="s">
        <v>110</v>
      </c>
      <c r="H165" s="2"/>
      <c r="I165" s="2"/>
      <c r="J165" s="116">
        <v>0</v>
      </c>
      <c r="L165" s="106" t="s">
        <v>110</v>
      </c>
      <c r="M165" s="2"/>
      <c r="N165" s="2"/>
      <c r="O165" s="116">
        <v>3.2</v>
      </c>
    </row>
    <row r="166" spans="2:15" ht="15" thickBot="1" x14ac:dyDescent="0.35">
      <c r="B166" s="120" t="s">
        <v>102</v>
      </c>
      <c r="C166" s="110"/>
      <c r="D166" s="110"/>
      <c r="E166" s="118">
        <v>0</v>
      </c>
      <c r="G166" s="120" t="s">
        <v>102</v>
      </c>
      <c r="H166" s="110"/>
      <c r="I166" s="110"/>
      <c r="J166" s="118">
        <v>6.4</v>
      </c>
      <c r="L166" s="120" t="s">
        <v>102</v>
      </c>
      <c r="M166" s="110"/>
      <c r="N166" s="110"/>
      <c r="O166" s="118">
        <v>7.2</v>
      </c>
    </row>
    <row r="167" spans="2:15" ht="15.6" thickTop="1" thickBot="1" x14ac:dyDescent="0.35">
      <c r="B167" s="107" t="s">
        <v>250</v>
      </c>
      <c r="C167" s="211"/>
      <c r="D167" s="108"/>
      <c r="E167" s="215"/>
      <c r="G167" s="107" t="s">
        <v>250</v>
      </c>
      <c r="H167" s="211"/>
      <c r="I167" s="108"/>
      <c r="J167" s="215"/>
      <c r="L167" s="107" t="s">
        <v>250</v>
      </c>
      <c r="M167" s="211"/>
      <c r="N167" s="108"/>
      <c r="O167" s="215"/>
    </row>
    <row r="168" spans="2:15" ht="15" thickTop="1" x14ac:dyDescent="0.3">
      <c r="B168" s="106" t="s">
        <v>336</v>
      </c>
      <c r="C168" s="201"/>
      <c r="D168" s="2"/>
      <c r="E168" s="117">
        <v>0</v>
      </c>
      <c r="G168" s="106" t="s">
        <v>336</v>
      </c>
      <c r="H168" s="201"/>
      <c r="I168" s="2"/>
      <c r="J168" s="117">
        <v>0</v>
      </c>
      <c r="L168" s="106" t="s">
        <v>336</v>
      </c>
      <c r="M168" s="201"/>
      <c r="N168" s="2"/>
      <c r="O168" s="117">
        <v>0</v>
      </c>
    </row>
    <row r="169" spans="2:15" x14ac:dyDescent="0.3">
      <c r="B169" s="106" t="s">
        <v>408</v>
      </c>
      <c r="C169" s="212"/>
      <c r="D169" s="213"/>
      <c r="E169" s="115">
        <v>0</v>
      </c>
      <c r="G169" s="106" t="s">
        <v>408</v>
      </c>
      <c r="H169" s="212"/>
      <c r="I169" s="213"/>
      <c r="J169" s="115">
        <v>0</v>
      </c>
      <c r="L169" s="106" t="s">
        <v>408</v>
      </c>
      <c r="M169" s="212"/>
      <c r="N169" s="213"/>
      <c r="O169" s="115">
        <v>0</v>
      </c>
    </row>
    <row r="170" spans="2:15" x14ac:dyDescent="0.3">
      <c r="B170" s="106" t="s">
        <v>470</v>
      </c>
      <c r="C170" s="212"/>
      <c r="D170" s="213"/>
      <c r="E170" s="115">
        <v>0</v>
      </c>
      <c r="G170" s="106" t="s">
        <v>470</v>
      </c>
      <c r="H170" s="212"/>
      <c r="I170" s="213"/>
      <c r="J170" s="115">
        <v>0</v>
      </c>
      <c r="L170" s="106" t="s">
        <v>470</v>
      </c>
      <c r="M170" s="212"/>
      <c r="N170" s="213"/>
      <c r="O170" s="115">
        <v>0</v>
      </c>
    </row>
    <row r="171" spans="2:15" x14ac:dyDescent="0.3">
      <c r="B171" s="106" t="s">
        <v>272</v>
      </c>
      <c r="C171" s="212"/>
      <c r="D171" s="213"/>
      <c r="E171" s="115">
        <v>0</v>
      </c>
      <c r="G171" s="106" t="s">
        <v>272</v>
      </c>
      <c r="H171" s="212"/>
      <c r="I171" s="213"/>
      <c r="J171" s="115">
        <v>0</v>
      </c>
      <c r="L171" s="106" t="s">
        <v>272</v>
      </c>
      <c r="M171" s="212"/>
      <c r="N171" s="213"/>
      <c r="O171" s="115">
        <v>0</v>
      </c>
    </row>
    <row r="172" spans="2:15" x14ac:dyDescent="0.3">
      <c r="B172" s="106" t="s">
        <v>97</v>
      </c>
      <c r="C172" s="2"/>
      <c r="D172" s="2"/>
      <c r="E172" s="114">
        <v>130</v>
      </c>
      <c r="G172" s="106" t="s">
        <v>97</v>
      </c>
      <c r="H172" s="2"/>
      <c r="I172" s="2"/>
      <c r="J172" s="114">
        <v>160</v>
      </c>
      <c r="L172" s="106" t="s">
        <v>97</v>
      </c>
      <c r="M172" s="2"/>
      <c r="N172" s="2"/>
      <c r="O172" s="114">
        <v>290</v>
      </c>
    </row>
    <row r="173" spans="2:15" x14ac:dyDescent="0.3">
      <c r="B173" s="106" t="s">
        <v>104</v>
      </c>
      <c r="C173" s="2"/>
      <c r="D173" s="2"/>
      <c r="E173" s="113">
        <v>8.6666666666666661</v>
      </c>
      <c r="G173" s="106" t="s">
        <v>104</v>
      </c>
      <c r="H173" s="2"/>
      <c r="I173" s="2"/>
      <c r="J173" s="113">
        <v>10.666666666666666</v>
      </c>
      <c r="L173" s="106" t="s">
        <v>104</v>
      </c>
      <c r="M173" s="2"/>
      <c r="N173" s="2"/>
      <c r="O173" s="113">
        <v>19.333333333333332</v>
      </c>
    </row>
    <row r="174" spans="2:15" x14ac:dyDescent="0.3">
      <c r="B174" s="106" t="s">
        <v>409</v>
      </c>
      <c r="C174" s="2"/>
      <c r="D174" s="2"/>
      <c r="E174" s="114">
        <v>0</v>
      </c>
      <c r="G174" s="106" t="s">
        <v>409</v>
      </c>
      <c r="H174" s="2"/>
      <c r="I174" s="2"/>
      <c r="J174" s="114">
        <v>6.4</v>
      </c>
      <c r="L174" s="106" t="s">
        <v>409</v>
      </c>
      <c r="M174" s="2"/>
      <c r="N174" s="2"/>
      <c r="O174" s="114">
        <v>10.4</v>
      </c>
    </row>
    <row r="175" spans="2:15" ht="15" thickBot="1" x14ac:dyDescent="0.35">
      <c r="B175" s="106" t="s">
        <v>100</v>
      </c>
      <c r="C175" s="2"/>
      <c r="D175" s="214"/>
      <c r="E175" s="324">
        <v>130</v>
      </c>
      <c r="G175" s="106" t="s">
        <v>100</v>
      </c>
      <c r="H175" s="2"/>
      <c r="I175" s="214"/>
      <c r="J175" s="324">
        <v>0</v>
      </c>
      <c r="L175" s="106" t="s">
        <v>100</v>
      </c>
      <c r="M175" s="2"/>
      <c r="N175" s="214"/>
      <c r="O175" s="324">
        <v>13.2</v>
      </c>
    </row>
    <row r="176" spans="2:15" ht="15.6" thickTop="1" thickBot="1" x14ac:dyDescent="0.35">
      <c r="B176" s="111" t="s">
        <v>98</v>
      </c>
      <c r="C176" s="112"/>
      <c r="D176" s="216"/>
      <c r="E176" s="217">
        <v>130</v>
      </c>
      <c r="G176" s="111" t="s">
        <v>98</v>
      </c>
      <c r="H176" s="112"/>
      <c r="I176" s="216"/>
      <c r="J176" s="217">
        <v>166.4</v>
      </c>
      <c r="L176" s="111" t="s">
        <v>98</v>
      </c>
      <c r="M176" s="112"/>
      <c r="N176" s="216"/>
      <c r="O176" s="217">
        <v>300.39999999999998</v>
      </c>
    </row>
    <row r="177" spans="2:15" ht="15.6" thickTop="1" thickBot="1" x14ac:dyDescent="0.35">
      <c r="B177" s="111" t="s">
        <v>103</v>
      </c>
      <c r="C177" s="112"/>
      <c r="D177" s="216"/>
      <c r="E177" s="234">
        <v>130</v>
      </c>
      <c r="G177" s="111" t="s">
        <v>103</v>
      </c>
      <c r="H177" s="112"/>
      <c r="I177" s="216"/>
      <c r="J177" s="234">
        <v>166.4</v>
      </c>
      <c r="L177" s="111" t="s">
        <v>103</v>
      </c>
      <c r="M177" s="112"/>
      <c r="N177" s="216"/>
      <c r="O177" s="234">
        <v>300.39999999999998</v>
      </c>
    </row>
    <row r="178" spans="2:15" ht="15.6" thickTop="1" thickBot="1" x14ac:dyDescent="0.35"/>
    <row r="179" spans="2:15" ht="15.6" thickTop="1" thickBot="1" x14ac:dyDescent="0.35">
      <c r="B179" s="352" t="s">
        <v>96</v>
      </c>
      <c r="C179" s="353"/>
      <c r="D179" s="326" t="s">
        <v>472</v>
      </c>
      <c r="E179" s="131">
        <v>44788</v>
      </c>
      <c r="G179" s="352" t="s">
        <v>96</v>
      </c>
      <c r="H179" s="353"/>
      <c r="I179" s="326" t="s">
        <v>472</v>
      </c>
      <c r="J179" s="131">
        <v>44819</v>
      </c>
      <c r="L179" s="352" t="s">
        <v>96</v>
      </c>
      <c r="M179" s="353"/>
      <c r="N179" s="326" t="s">
        <v>472</v>
      </c>
      <c r="O179" s="131">
        <v>44849</v>
      </c>
    </row>
    <row r="180" spans="2:15" ht="15.6" thickTop="1" thickBot="1" x14ac:dyDescent="0.35">
      <c r="B180" s="354"/>
      <c r="C180" s="355"/>
      <c r="D180" s="326" t="s">
        <v>473</v>
      </c>
      <c r="E180" s="131">
        <v>44788</v>
      </c>
      <c r="G180" s="354"/>
      <c r="H180" s="355"/>
      <c r="I180" s="326" t="s">
        <v>473</v>
      </c>
      <c r="J180" s="131">
        <v>44788</v>
      </c>
      <c r="L180" s="354"/>
      <c r="M180" s="355"/>
      <c r="N180" s="326" t="s">
        <v>473</v>
      </c>
      <c r="O180" s="131">
        <v>44788</v>
      </c>
    </row>
    <row r="181" spans="2:15" ht="15.6" thickTop="1" thickBot="1" x14ac:dyDescent="0.35">
      <c r="B181" s="356"/>
      <c r="C181" s="357"/>
      <c r="D181" s="326" t="s">
        <v>471</v>
      </c>
      <c r="E181" s="131">
        <v>44818</v>
      </c>
      <c r="G181" s="356"/>
      <c r="H181" s="357"/>
      <c r="I181" s="326" t="s">
        <v>471</v>
      </c>
      <c r="J181" s="131">
        <v>44848</v>
      </c>
      <c r="L181" s="356"/>
      <c r="M181" s="357"/>
      <c r="N181" s="326" t="s">
        <v>471</v>
      </c>
      <c r="O181" s="131">
        <v>44879</v>
      </c>
    </row>
    <row r="182" spans="2:15" ht="15.6" thickTop="1" thickBot="1" x14ac:dyDescent="0.35">
      <c r="B182" s="106" t="s">
        <v>95</v>
      </c>
      <c r="C182" s="2"/>
      <c r="D182" s="2"/>
      <c r="E182" s="200">
        <v>130</v>
      </c>
      <c r="G182" s="106" t="s">
        <v>95</v>
      </c>
      <c r="H182" s="2"/>
      <c r="I182" s="2"/>
      <c r="J182" s="200">
        <v>260</v>
      </c>
      <c r="L182" s="106" t="s">
        <v>95</v>
      </c>
      <c r="M182" s="2"/>
      <c r="N182" s="2"/>
      <c r="O182" s="200">
        <v>390</v>
      </c>
    </row>
    <row r="183" spans="2:15" ht="15.6" thickTop="1" thickBot="1" x14ac:dyDescent="0.35">
      <c r="B183" s="107" t="s">
        <v>183</v>
      </c>
      <c r="C183" s="108"/>
      <c r="D183" s="108"/>
      <c r="E183" s="208"/>
      <c r="G183" s="107" t="s">
        <v>183</v>
      </c>
      <c r="H183" s="108"/>
      <c r="I183" s="108"/>
      <c r="J183" s="208"/>
      <c r="L183" s="107" t="s">
        <v>183</v>
      </c>
      <c r="M183" s="108"/>
      <c r="N183" s="108"/>
      <c r="O183" s="208"/>
    </row>
    <row r="184" spans="2:15" ht="15" thickTop="1" x14ac:dyDescent="0.3">
      <c r="B184" s="206" t="s">
        <v>247</v>
      </c>
      <c r="C184" s="2"/>
      <c r="D184" s="2"/>
      <c r="E184" s="199">
        <v>0</v>
      </c>
      <c r="G184" s="206" t="s">
        <v>247</v>
      </c>
      <c r="H184" s="2"/>
      <c r="I184" s="2"/>
      <c r="J184" s="199">
        <v>160</v>
      </c>
      <c r="L184" s="206" t="s">
        <v>247</v>
      </c>
      <c r="M184" s="2"/>
      <c r="N184" s="2"/>
      <c r="O184" s="199">
        <v>360</v>
      </c>
    </row>
    <row r="185" spans="2:15" x14ac:dyDescent="0.3">
      <c r="B185" s="207" t="s">
        <v>248</v>
      </c>
      <c r="C185" s="2"/>
      <c r="D185" s="2"/>
      <c r="E185" s="115">
        <v>0</v>
      </c>
      <c r="G185" s="207" t="s">
        <v>248</v>
      </c>
      <c r="H185" s="2"/>
      <c r="I185" s="2"/>
      <c r="J185" s="115">
        <v>100</v>
      </c>
      <c r="L185" s="207" t="s">
        <v>248</v>
      </c>
      <c r="M185" s="2"/>
      <c r="N185" s="2"/>
      <c r="O185" s="115">
        <v>100</v>
      </c>
    </row>
    <row r="186" spans="2:15" x14ac:dyDescent="0.3">
      <c r="B186" s="106" t="s">
        <v>107</v>
      </c>
      <c r="C186" s="2"/>
      <c r="D186" s="2"/>
      <c r="E186" s="116">
        <v>0</v>
      </c>
      <c r="G186" s="106" t="s">
        <v>107</v>
      </c>
      <c r="H186" s="2"/>
      <c r="I186" s="2"/>
      <c r="J186" s="116">
        <v>260</v>
      </c>
      <c r="L186" s="106" t="s">
        <v>107</v>
      </c>
      <c r="M186" s="2"/>
      <c r="N186" s="2"/>
      <c r="O186" s="116">
        <v>200</v>
      </c>
    </row>
    <row r="187" spans="2:15" x14ac:dyDescent="0.3">
      <c r="B187" s="207" t="s">
        <v>249</v>
      </c>
      <c r="C187" s="2"/>
      <c r="D187" s="2"/>
      <c r="E187" s="209">
        <v>0</v>
      </c>
      <c r="G187" s="207" t="s">
        <v>249</v>
      </c>
      <c r="H187" s="2"/>
      <c r="I187" s="2"/>
      <c r="J187" s="209">
        <v>6.4</v>
      </c>
      <c r="L187" s="207" t="s">
        <v>249</v>
      </c>
      <c r="M187" s="2"/>
      <c r="N187" s="2"/>
      <c r="O187" s="209">
        <v>10.4</v>
      </c>
    </row>
    <row r="188" spans="2:15" ht="15" thickBot="1" x14ac:dyDescent="0.35">
      <c r="B188" s="106" t="s">
        <v>109</v>
      </c>
      <c r="C188" s="2"/>
      <c r="D188" s="2"/>
      <c r="E188" s="116">
        <v>0</v>
      </c>
      <c r="G188" s="106" t="s">
        <v>109</v>
      </c>
      <c r="H188" s="2"/>
      <c r="I188" s="2"/>
      <c r="J188" s="116">
        <v>6.4</v>
      </c>
      <c r="L188" s="106" t="s">
        <v>109</v>
      </c>
      <c r="M188" s="2"/>
      <c r="N188" s="2"/>
      <c r="O188" s="116">
        <v>4</v>
      </c>
    </row>
    <row r="189" spans="2:15" ht="15.6" thickTop="1" thickBot="1" x14ac:dyDescent="0.35">
      <c r="B189" s="210" t="s">
        <v>41</v>
      </c>
      <c r="C189" s="108"/>
      <c r="D189" s="108"/>
      <c r="E189" s="208"/>
      <c r="G189" s="210" t="s">
        <v>41</v>
      </c>
      <c r="H189" s="108"/>
      <c r="I189" s="108"/>
      <c r="J189" s="208"/>
      <c r="L189" s="210" t="s">
        <v>41</v>
      </c>
      <c r="M189" s="108"/>
      <c r="N189" s="108"/>
      <c r="O189" s="208"/>
    </row>
    <row r="190" spans="2:15" ht="15" thickTop="1" x14ac:dyDescent="0.3">
      <c r="B190" s="106" t="s">
        <v>105</v>
      </c>
      <c r="C190" s="2"/>
      <c r="D190" s="2"/>
      <c r="E190" s="115">
        <v>0</v>
      </c>
      <c r="G190" s="106" t="s">
        <v>105</v>
      </c>
      <c r="H190" s="2"/>
      <c r="I190" s="2"/>
      <c r="J190" s="115">
        <v>0</v>
      </c>
      <c r="L190" s="106" t="s">
        <v>105</v>
      </c>
      <c r="M190" s="2"/>
      <c r="N190" s="2"/>
      <c r="O190" s="115">
        <v>80</v>
      </c>
    </row>
    <row r="191" spans="2:15" x14ac:dyDescent="0.3">
      <c r="B191" s="106" t="s">
        <v>108</v>
      </c>
      <c r="C191" s="2"/>
      <c r="D191" s="2"/>
      <c r="E191" s="116">
        <v>0</v>
      </c>
      <c r="G191" s="106" t="s">
        <v>108</v>
      </c>
      <c r="H191" s="2"/>
      <c r="I191" s="2"/>
      <c r="J191" s="116">
        <v>0</v>
      </c>
      <c r="L191" s="106" t="s">
        <v>108</v>
      </c>
      <c r="M191" s="2"/>
      <c r="N191" s="2"/>
      <c r="O191" s="116">
        <v>80</v>
      </c>
    </row>
    <row r="192" spans="2:15" ht="15" thickBot="1" x14ac:dyDescent="0.35">
      <c r="B192" s="120" t="s">
        <v>99</v>
      </c>
      <c r="C192" s="119"/>
      <c r="D192" s="110"/>
      <c r="E192" s="118">
        <v>0</v>
      </c>
      <c r="G192" s="120" t="s">
        <v>99</v>
      </c>
      <c r="H192" s="119"/>
      <c r="I192" s="110"/>
      <c r="J192" s="118">
        <v>160</v>
      </c>
      <c r="L192" s="120" t="s">
        <v>99</v>
      </c>
      <c r="M192" s="119"/>
      <c r="N192" s="110"/>
      <c r="O192" s="118">
        <v>280</v>
      </c>
    </row>
    <row r="193" spans="2:15" ht="15" thickTop="1" x14ac:dyDescent="0.3">
      <c r="B193" s="106" t="s">
        <v>106</v>
      </c>
      <c r="C193" s="2"/>
      <c r="D193" s="2"/>
      <c r="E193" s="115">
        <v>0</v>
      </c>
      <c r="G193" s="106" t="s">
        <v>106</v>
      </c>
      <c r="H193" s="2"/>
      <c r="I193" s="2"/>
      <c r="J193" s="115">
        <v>0</v>
      </c>
      <c r="L193" s="106" t="s">
        <v>106</v>
      </c>
      <c r="M193" s="2"/>
      <c r="N193" s="2"/>
      <c r="O193" s="115">
        <v>3.2</v>
      </c>
    </row>
    <row r="194" spans="2:15" x14ac:dyDescent="0.3">
      <c r="B194" s="106" t="s">
        <v>110</v>
      </c>
      <c r="C194" s="2"/>
      <c r="D194" s="2"/>
      <c r="E194" s="116">
        <v>0</v>
      </c>
      <c r="G194" s="106" t="s">
        <v>110</v>
      </c>
      <c r="H194" s="2"/>
      <c r="I194" s="2"/>
      <c r="J194" s="116">
        <v>0</v>
      </c>
      <c r="L194" s="106" t="s">
        <v>110</v>
      </c>
      <c r="M194" s="2"/>
      <c r="N194" s="2"/>
      <c r="O194" s="116">
        <v>3.2</v>
      </c>
    </row>
    <row r="195" spans="2:15" ht="15" thickBot="1" x14ac:dyDescent="0.35">
      <c r="B195" s="120" t="s">
        <v>102</v>
      </c>
      <c r="C195" s="110"/>
      <c r="D195" s="110"/>
      <c r="E195" s="118">
        <v>0</v>
      </c>
      <c r="G195" s="120" t="s">
        <v>102</v>
      </c>
      <c r="H195" s="110"/>
      <c r="I195" s="110"/>
      <c r="J195" s="118">
        <v>6.4</v>
      </c>
      <c r="L195" s="120" t="s">
        <v>102</v>
      </c>
      <c r="M195" s="110"/>
      <c r="N195" s="110"/>
      <c r="O195" s="118">
        <v>7.2</v>
      </c>
    </row>
    <row r="196" spans="2:15" ht="15.6" thickTop="1" thickBot="1" x14ac:dyDescent="0.35">
      <c r="B196" s="107" t="s">
        <v>250</v>
      </c>
      <c r="C196" s="211"/>
      <c r="D196" s="108"/>
      <c r="E196" s="215"/>
      <c r="G196" s="107" t="s">
        <v>250</v>
      </c>
      <c r="H196" s="211"/>
      <c r="I196" s="108"/>
      <c r="J196" s="215"/>
      <c r="L196" s="107" t="s">
        <v>250</v>
      </c>
      <c r="M196" s="211"/>
      <c r="N196" s="108"/>
      <c r="O196" s="215"/>
    </row>
    <row r="197" spans="2:15" ht="15" thickTop="1" x14ac:dyDescent="0.3">
      <c r="B197" s="106" t="s">
        <v>336</v>
      </c>
      <c r="C197" s="201"/>
      <c r="D197" s="2"/>
      <c r="E197" s="117">
        <v>0</v>
      </c>
      <c r="G197" s="106" t="s">
        <v>336</v>
      </c>
      <c r="H197" s="201"/>
      <c r="I197" s="2"/>
      <c r="J197" s="117">
        <v>0</v>
      </c>
      <c r="L197" s="106" t="s">
        <v>336</v>
      </c>
      <c r="M197" s="201"/>
      <c r="N197" s="2"/>
      <c r="O197" s="117">
        <v>0</v>
      </c>
    </row>
    <row r="198" spans="2:15" x14ac:dyDescent="0.3">
      <c r="B198" s="106" t="s">
        <v>408</v>
      </c>
      <c r="C198" s="212"/>
      <c r="D198" s="213"/>
      <c r="E198" s="115">
        <v>0</v>
      </c>
      <c r="G198" s="106" t="s">
        <v>408</v>
      </c>
      <c r="H198" s="212"/>
      <c r="I198" s="213"/>
      <c r="J198" s="115">
        <v>0</v>
      </c>
      <c r="L198" s="106" t="s">
        <v>408</v>
      </c>
      <c r="M198" s="212"/>
      <c r="N198" s="213"/>
      <c r="O198" s="115">
        <v>0</v>
      </c>
    </row>
    <row r="199" spans="2:15" x14ac:dyDescent="0.3">
      <c r="B199" s="106" t="s">
        <v>470</v>
      </c>
      <c r="C199" s="212"/>
      <c r="D199" s="213"/>
      <c r="E199" s="115">
        <v>0</v>
      </c>
      <c r="G199" s="106" t="s">
        <v>470</v>
      </c>
      <c r="H199" s="212"/>
      <c r="I199" s="213"/>
      <c r="J199" s="115">
        <v>0</v>
      </c>
      <c r="L199" s="106" t="s">
        <v>470</v>
      </c>
      <c r="M199" s="212"/>
      <c r="N199" s="213"/>
      <c r="O199" s="115">
        <v>0</v>
      </c>
    </row>
    <row r="200" spans="2:15" x14ac:dyDescent="0.3">
      <c r="B200" s="106" t="s">
        <v>272</v>
      </c>
      <c r="C200" s="212"/>
      <c r="D200" s="213"/>
      <c r="E200" s="115">
        <v>0</v>
      </c>
      <c r="G200" s="106" t="s">
        <v>272</v>
      </c>
      <c r="H200" s="212"/>
      <c r="I200" s="213"/>
      <c r="J200" s="115">
        <v>0</v>
      </c>
      <c r="L200" s="106" t="s">
        <v>272</v>
      </c>
      <c r="M200" s="212"/>
      <c r="N200" s="213"/>
      <c r="O200" s="115">
        <v>0</v>
      </c>
    </row>
    <row r="201" spans="2:15" x14ac:dyDescent="0.3">
      <c r="B201" s="106" t="s">
        <v>97</v>
      </c>
      <c r="C201" s="2"/>
      <c r="D201" s="2"/>
      <c r="E201" s="114">
        <v>130</v>
      </c>
      <c r="G201" s="106" t="s">
        <v>97</v>
      </c>
      <c r="H201" s="2"/>
      <c r="I201" s="2"/>
      <c r="J201" s="114">
        <v>160</v>
      </c>
      <c r="L201" s="106" t="s">
        <v>97</v>
      </c>
      <c r="M201" s="2"/>
      <c r="N201" s="2"/>
      <c r="O201" s="114">
        <v>290</v>
      </c>
    </row>
    <row r="202" spans="2:15" x14ac:dyDescent="0.3">
      <c r="B202" s="106" t="s">
        <v>104</v>
      </c>
      <c r="C202" s="2"/>
      <c r="D202" s="2"/>
      <c r="E202" s="113">
        <v>8.6666666666666661</v>
      </c>
      <c r="G202" s="106" t="s">
        <v>104</v>
      </c>
      <c r="H202" s="2"/>
      <c r="I202" s="2"/>
      <c r="J202" s="113">
        <v>10.666666666666666</v>
      </c>
      <c r="L202" s="106" t="s">
        <v>104</v>
      </c>
      <c r="M202" s="2"/>
      <c r="N202" s="2"/>
      <c r="O202" s="113">
        <v>19.333333333333332</v>
      </c>
    </row>
    <row r="203" spans="2:15" x14ac:dyDescent="0.3">
      <c r="B203" s="106" t="s">
        <v>409</v>
      </c>
      <c r="C203" s="2"/>
      <c r="D203" s="2"/>
      <c r="E203" s="114">
        <v>0</v>
      </c>
      <c r="G203" s="106" t="s">
        <v>409</v>
      </c>
      <c r="H203" s="2"/>
      <c r="I203" s="2"/>
      <c r="J203" s="114">
        <v>6.4</v>
      </c>
      <c r="L203" s="106" t="s">
        <v>409</v>
      </c>
      <c r="M203" s="2"/>
      <c r="N203" s="2"/>
      <c r="O203" s="114">
        <v>10.4</v>
      </c>
    </row>
    <row r="204" spans="2:15" ht="15" thickBot="1" x14ac:dyDescent="0.35">
      <c r="B204" s="106" t="s">
        <v>100</v>
      </c>
      <c r="C204" s="2"/>
      <c r="D204" s="214"/>
      <c r="E204" s="324">
        <v>130</v>
      </c>
      <c r="G204" s="106" t="s">
        <v>100</v>
      </c>
      <c r="H204" s="2"/>
      <c r="I204" s="214"/>
      <c r="J204" s="324">
        <v>0</v>
      </c>
      <c r="L204" s="106" t="s">
        <v>100</v>
      </c>
      <c r="M204" s="2"/>
      <c r="N204" s="214"/>
      <c r="O204" s="324">
        <v>13.2</v>
      </c>
    </row>
    <row r="205" spans="2:15" ht="15.6" thickTop="1" thickBot="1" x14ac:dyDescent="0.35">
      <c r="B205" s="111" t="s">
        <v>98</v>
      </c>
      <c r="C205" s="112"/>
      <c r="D205" s="216"/>
      <c r="E205" s="217">
        <v>130</v>
      </c>
      <c r="G205" s="111" t="s">
        <v>98</v>
      </c>
      <c r="H205" s="112"/>
      <c r="I205" s="216"/>
      <c r="J205" s="217">
        <v>166.4</v>
      </c>
      <c r="L205" s="111" t="s">
        <v>98</v>
      </c>
      <c r="M205" s="112"/>
      <c r="N205" s="216"/>
      <c r="O205" s="217">
        <v>300.39999999999998</v>
      </c>
    </row>
    <row r="206" spans="2:15" ht="15.6" thickTop="1" thickBot="1" x14ac:dyDescent="0.35">
      <c r="B206" s="111" t="s">
        <v>103</v>
      </c>
      <c r="C206" s="112"/>
      <c r="D206" s="216"/>
      <c r="E206" s="234">
        <v>130</v>
      </c>
      <c r="G206" s="111" t="s">
        <v>103</v>
      </c>
      <c r="H206" s="112"/>
      <c r="I206" s="216"/>
      <c r="J206" s="234">
        <v>166.4</v>
      </c>
      <c r="L206" s="111" t="s">
        <v>103</v>
      </c>
      <c r="M206" s="112"/>
      <c r="N206" s="216"/>
      <c r="O206" s="234">
        <v>300.39999999999998</v>
      </c>
    </row>
    <row r="207" spans="2:15" ht="15.6" thickTop="1" thickBot="1" x14ac:dyDescent="0.35"/>
    <row r="208" spans="2:15" ht="15.6" thickTop="1" thickBot="1" x14ac:dyDescent="0.35">
      <c r="B208" s="352" t="s">
        <v>96</v>
      </c>
      <c r="C208" s="353"/>
      <c r="D208" s="326" t="s">
        <v>472</v>
      </c>
      <c r="E208" s="131">
        <v>44788</v>
      </c>
      <c r="G208" s="352" t="s">
        <v>96</v>
      </c>
      <c r="H208" s="353"/>
      <c r="I208" s="326" t="s">
        <v>472</v>
      </c>
      <c r="J208" s="131">
        <v>44819</v>
      </c>
      <c r="L208" s="352" t="s">
        <v>96</v>
      </c>
      <c r="M208" s="353"/>
      <c r="N208" s="326" t="s">
        <v>472</v>
      </c>
      <c r="O208" s="131">
        <v>44849</v>
      </c>
    </row>
    <row r="209" spans="2:15" ht="15.6" thickTop="1" thickBot="1" x14ac:dyDescent="0.35">
      <c r="B209" s="354"/>
      <c r="C209" s="355"/>
      <c r="D209" s="326" t="s">
        <v>473</v>
      </c>
      <c r="E209" s="131">
        <v>44788</v>
      </c>
      <c r="G209" s="354"/>
      <c r="H209" s="355"/>
      <c r="I209" s="326" t="s">
        <v>473</v>
      </c>
      <c r="J209" s="131">
        <v>44788</v>
      </c>
      <c r="L209" s="354"/>
      <c r="M209" s="355"/>
      <c r="N209" s="326" t="s">
        <v>473</v>
      </c>
      <c r="O209" s="131">
        <v>44788</v>
      </c>
    </row>
    <row r="210" spans="2:15" ht="15.6" thickTop="1" thickBot="1" x14ac:dyDescent="0.35">
      <c r="B210" s="356"/>
      <c r="C210" s="357"/>
      <c r="D210" s="326" t="s">
        <v>471</v>
      </c>
      <c r="E210" s="131">
        <v>44818</v>
      </c>
      <c r="G210" s="356"/>
      <c r="H210" s="357"/>
      <c r="I210" s="326" t="s">
        <v>471</v>
      </c>
      <c r="J210" s="131">
        <v>44848</v>
      </c>
      <c r="L210" s="356"/>
      <c r="M210" s="357"/>
      <c r="N210" s="326" t="s">
        <v>471</v>
      </c>
      <c r="O210" s="131">
        <v>44879</v>
      </c>
    </row>
    <row r="211" spans="2:15" ht="15.6" thickTop="1" thickBot="1" x14ac:dyDescent="0.35">
      <c r="B211" s="106" t="s">
        <v>95</v>
      </c>
      <c r="C211" s="2"/>
      <c r="D211" s="2"/>
      <c r="E211" s="200">
        <v>130</v>
      </c>
      <c r="G211" s="106" t="s">
        <v>95</v>
      </c>
      <c r="H211" s="2"/>
      <c r="I211" s="2"/>
      <c r="J211" s="200">
        <v>260</v>
      </c>
      <c r="L211" s="106" t="s">
        <v>95</v>
      </c>
      <c r="M211" s="2"/>
      <c r="N211" s="2"/>
      <c r="O211" s="200">
        <v>390</v>
      </c>
    </row>
    <row r="212" spans="2:15" ht="15.6" thickTop="1" thickBot="1" x14ac:dyDescent="0.35">
      <c r="B212" s="107" t="s">
        <v>183</v>
      </c>
      <c r="C212" s="108"/>
      <c r="D212" s="108"/>
      <c r="E212" s="208"/>
      <c r="G212" s="107" t="s">
        <v>183</v>
      </c>
      <c r="H212" s="108"/>
      <c r="I212" s="108"/>
      <c r="J212" s="208"/>
      <c r="L212" s="107" t="s">
        <v>183</v>
      </c>
      <c r="M212" s="108"/>
      <c r="N212" s="108"/>
      <c r="O212" s="208"/>
    </row>
    <row r="213" spans="2:15" ht="15" thickTop="1" x14ac:dyDescent="0.3">
      <c r="B213" s="206" t="s">
        <v>247</v>
      </c>
      <c r="C213" s="2"/>
      <c r="D213" s="2"/>
      <c r="E213" s="199">
        <v>0</v>
      </c>
      <c r="G213" s="206" t="s">
        <v>247</v>
      </c>
      <c r="H213" s="2"/>
      <c r="I213" s="2"/>
      <c r="J213" s="199">
        <v>160</v>
      </c>
      <c r="L213" s="206" t="s">
        <v>247</v>
      </c>
      <c r="M213" s="2"/>
      <c r="N213" s="2"/>
      <c r="O213" s="199">
        <v>360</v>
      </c>
    </row>
    <row r="214" spans="2:15" x14ac:dyDescent="0.3">
      <c r="B214" s="207" t="s">
        <v>248</v>
      </c>
      <c r="C214" s="2"/>
      <c r="D214" s="2"/>
      <c r="E214" s="115">
        <v>0</v>
      </c>
      <c r="G214" s="207" t="s">
        <v>248</v>
      </c>
      <c r="H214" s="2"/>
      <c r="I214" s="2"/>
      <c r="J214" s="115">
        <v>100</v>
      </c>
      <c r="L214" s="207" t="s">
        <v>248</v>
      </c>
      <c r="M214" s="2"/>
      <c r="N214" s="2"/>
      <c r="O214" s="115">
        <v>100</v>
      </c>
    </row>
    <row r="215" spans="2:15" x14ac:dyDescent="0.3">
      <c r="B215" s="106" t="s">
        <v>107</v>
      </c>
      <c r="C215" s="2"/>
      <c r="D215" s="2"/>
      <c r="E215" s="116">
        <v>0</v>
      </c>
      <c r="G215" s="106" t="s">
        <v>107</v>
      </c>
      <c r="H215" s="2"/>
      <c r="I215" s="2"/>
      <c r="J215" s="116">
        <v>260</v>
      </c>
      <c r="L215" s="106" t="s">
        <v>107</v>
      </c>
      <c r="M215" s="2"/>
      <c r="N215" s="2"/>
      <c r="O215" s="116">
        <v>200</v>
      </c>
    </row>
    <row r="216" spans="2:15" x14ac:dyDescent="0.3">
      <c r="B216" s="207" t="s">
        <v>249</v>
      </c>
      <c r="C216" s="2"/>
      <c r="D216" s="2"/>
      <c r="E216" s="209">
        <v>0</v>
      </c>
      <c r="G216" s="207" t="s">
        <v>249</v>
      </c>
      <c r="H216" s="2"/>
      <c r="I216" s="2"/>
      <c r="J216" s="209">
        <v>6.4</v>
      </c>
      <c r="L216" s="207" t="s">
        <v>249</v>
      </c>
      <c r="M216" s="2"/>
      <c r="N216" s="2"/>
      <c r="O216" s="209">
        <v>10.4</v>
      </c>
    </row>
    <row r="217" spans="2:15" ht="15" thickBot="1" x14ac:dyDescent="0.35">
      <c r="B217" s="106" t="s">
        <v>109</v>
      </c>
      <c r="C217" s="2"/>
      <c r="D217" s="2"/>
      <c r="E217" s="116">
        <v>0</v>
      </c>
      <c r="G217" s="106" t="s">
        <v>109</v>
      </c>
      <c r="H217" s="2"/>
      <c r="I217" s="2"/>
      <c r="J217" s="116">
        <v>6.4</v>
      </c>
      <c r="L217" s="106" t="s">
        <v>109</v>
      </c>
      <c r="M217" s="2"/>
      <c r="N217" s="2"/>
      <c r="O217" s="116">
        <v>4</v>
      </c>
    </row>
    <row r="218" spans="2:15" ht="15.6" thickTop="1" thickBot="1" x14ac:dyDescent="0.35">
      <c r="B218" s="210" t="s">
        <v>41</v>
      </c>
      <c r="C218" s="108"/>
      <c r="D218" s="108"/>
      <c r="E218" s="208"/>
      <c r="G218" s="210" t="s">
        <v>41</v>
      </c>
      <c r="H218" s="108"/>
      <c r="I218" s="108"/>
      <c r="J218" s="208"/>
      <c r="L218" s="210" t="s">
        <v>41</v>
      </c>
      <c r="M218" s="108"/>
      <c r="N218" s="108"/>
      <c r="O218" s="208"/>
    </row>
    <row r="219" spans="2:15" ht="15" thickTop="1" x14ac:dyDescent="0.3">
      <c r="B219" s="106" t="s">
        <v>105</v>
      </c>
      <c r="C219" s="2"/>
      <c r="D219" s="2"/>
      <c r="E219" s="115">
        <v>0</v>
      </c>
      <c r="G219" s="106" t="s">
        <v>105</v>
      </c>
      <c r="H219" s="2"/>
      <c r="I219" s="2"/>
      <c r="J219" s="115">
        <v>0</v>
      </c>
      <c r="L219" s="106" t="s">
        <v>105</v>
      </c>
      <c r="M219" s="2"/>
      <c r="N219" s="2"/>
      <c r="O219" s="115">
        <v>80</v>
      </c>
    </row>
    <row r="220" spans="2:15" x14ac:dyDescent="0.3">
      <c r="B220" s="106" t="s">
        <v>108</v>
      </c>
      <c r="C220" s="2"/>
      <c r="D220" s="2"/>
      <c r="E220" s="116">
        <v>0</v>
      </c>
      <c r="G220" s="106" t="s">
        <v>108</v>
      </c>
      <c r="H220" s="2"/>
      <c r="I220" s="2"/>
      <c r="J220" s="116">
        <v>0</v>
      </c>
      <c r="L220" s="106" t="s">
        <v>108</v>
      </c>
      <c r="M220" s="2"/>
      <c r="N220" s="2"/>
      <c r="O220" s="116">
        <v>80</v>
      </c>
    </row>
    <row r="221" spans="2:15" ht="15" thickBot="1" x14ac:dyDescent="0.35">
      <c r="B221" s="120" t="s">
        <v>99</v>
      </c>
      <c r="C221" s="119"/>
      <c r="D221" s="110"/>
      <c r="E221" s="118">
        <v>0</v>
      </c>
      <c r="G221" s="120" t="s">
        <v>99</v>
      </c>
      <c r="H221" s="119"/>
      <c r="I221" s="110"/>
      <c r="J221" s="118">
        <v>160</v>
      </c>
      <c r="L221" s="120" t="s">
        <v>99</v>
      </c>
      <c r="M221" s="119"/>
      <c r="N221" s="110"/>
      <c r="O221" s="118">
        <v>280</v>
      </c>
    </row>
    <row r="222" spans="2:15" ht="15" thickTop="1" x14ac:dyDescent="0.3">
      <c r="B222" s="106" t="s">
        <v>106</v>
      </c>
      <c r="C222" s="2"/>
      <c r="D222" s="2"/>
      <c r="E222" s="115">
        <v>0</v>
      </c>
      <c r="G222" s="106" t="s">
        <v>106</v>
      </c>
      <c r="H222" s="2"/>
      <c r="I222" s="2"/>
      <c r="J222" s="115">
        <v>0</v>
      </c>
      <c r="L222" s="106" t="s">
        <v>106</v>
      </c>
      <c r="M222" s="2"/>
      <c r="N222" s="2"/>
      <c r="O222" s="115">
        <v>3.2</v>
      </c>
    </row>
    <row r="223" spans="2:15" x14ac:dyDescent="0.3">
      <c r="B223" s="106" t="s">
        <v>110</v>
      </c>
      <c r="C223" s="2"/>
      <c r="D223" s="2"/>
      <c r="E223" s="116">
        <v>0</v>
      </c>
      <c r="G223" s="106" t="s">
        <v>110</v>
      </c>
      <c r="H223" s="2"/>
      <c r="I223" s="2"/>
      <c r="J223" s="116">
        <v>0</v>
      </c>
      <c r="L223" s="106" t="s">
        <v>110</v>
      </c>
      <c r="M223" s="2"/>
      <c r="N223" s="2"/>
      <c r="O223" s="116">
        <v>3.2</v>
      </c>
    </row>
    <row r="224" spans="2:15" ht="15" thickBot="1" x14ac:dyDescent="0.35">
      <c r="B224" s="120" t="s">
        <v>102</v>
      </c>
      <c r="C224" s="110"/>
      <c r="D224" s="110"/>
      <c r="E224" s="118">
        <v>0</v>
      </c>
      <c r="G224" s="120" t="s">
        <v>102</v>
      </c>
      <c r="H224" s="110"/>
      <c r="I224" s="110"/>
      <c r="J224" s="118">
        <v>6.4</v>
      </c>
      <c r="L224" s="120" t="s">
        <v>102</v>
      </c>
      <c r="M224" s="110"/>
      <c r="N224" s="110"/>
      <c r="O224" s="118">
        <v>7.2</v>
      </c>
    </row>
    <row r="225" spans="2:15" ht="15.6" thickTop="1" thickBot="1" x14ac:dyDescent="0.35">
      <c r="B225" s="107" t="s">
        <v>250</v>
      </c>
      <c r="C225" s="211"/>
      <c r="D225" s="108"/>
      <c r="E225" s="215"/>
      <c r="G225" s="107" t="s">
        <v>250</v>
      </c>
      <c r="H225" s="211"/>
      <c r="I225" s="108"/>
      <c r="J225" s="215"/>
      <c r="L225" s="107" t="s">
        <v>250</v>
      </c>
      <c r="M225" s="211"/>
      <c r="N225" s="108"/>
      <c r="O225" s="215"/>
    </row>
    <row r="226" spans="2:15" ht="15" thickTop="1" x14ac:dyDescent="0.3">
      <c r="B226" s="106" t="s">
        <v>336</v>
      </c>
      <c r="C226" s="201"/>
      <c r="D226" s="2"/>
      <c r="E226" s="117">
        <v>0</v>
      </c>
      <c r="G226" s="106" t="s">
        <v>336</v>
      </c>
      <c r="H226" s="201"/>
      <c r="I226" s="2"/>
      <c r="J226" s="117">
        <v>0</v>
      </c>
      <c r="L226" s="106" t="s">
        <v>336</v>
      </c>
      <c r="M226" s="201"/>
      <c r="N226" s="2"/>
      <c r="O226" s="117">
        <v>0</v>
      </c>
    </row>
    <row r="227" spans="2:15" x14ac:dyDescent="0.3">
      <c r="B227" s="106" t="s">
        <v>408</v>
      </c>
      <c r="C227" s="212"/>
      <c r="D227" s="213"/>
      <c r="E227" s="115">
        <v>0</v>
      </c>
      <c r="G227" s="106" t="s">
        <v>408</v>
      </c>
      <c r="H227" s="212"/>
      <c r="I227" s="213"/>
      <c r="J227" s="115">
        <v>0</v>
      </c>
      <c r="L227" s="106" t="s">
        <v>408</v>
      </c>
      <c r="M227" s="212"/>
      <c r="N227" s="213"/>
      <c r="O227" s="115">
        <v>0</v>
      </c>
    </row>
    <row r="228" spans="2:15" x14ac:dyDescent="0.3">
      <c r="B228" s="106" t="s">
        <v>470</v>
      </c>
      <c r="C228" s="212"/>
      <c r="D228" s="213"/>
      <c r="E228" s="115">
        <v>0</v>
      </c>
      <c r="G228" s="106" t="s">
        <v>470</v>
      </c>
      <c r="H228" s="212"/>
      <c r="I228" s="213"/>
      <c r="J228" s="115">
        <v>0</v>
      </c>
      <c r="L228" s="106" t="s">
        <v>470</v>
      </c>
      <c r="M228" s="212"/>
      <c r="N228" s="213"/>
      <c r="O228" s="115">
        <v>0</v>
      </c>
    </row>
    <row r="229" spans="2:15" x14ac:dyDescent="0.3">
      <c r="B229" s="106" t="s">
        <v>272</v>
      </c>
      <c r="C229" s="212"/>
      <c r="D229" s="213"/>
      <c r="E229" s="115">
        <v>0</v>
      </c>
      <c r="G229" s="106" t="s">
        <v>272</v>
      </c>
      <c r="H229" s="212"/>
      <c r="I229" s="213"/>
      <c r="J229" s="115">
        <v>0</v>
      </c>
      <c r="L229" s="106" t="s">
        <v>272</v>
      </c>
      <c r="M229" s="212"/>
      <c r="N229" s="213"/>
      <c r="O229" s="115">
        <v>0</v>
      </c>
    </row>
    <row r="230" spans="2:15" x14ac:dyDescent="0.3">
      <c r="B230" s="106" t="s">
        <v>97</v>
      </c>
      <c r="C230" s="2"/>
      <c r="D230" s="2"/>
      <c r="E230" s="114">
        <v>130</v>
      </c>
      <c r="G230" s="106" t="s">
        <v>97</v>
      </c>
      <c r="H230" s="2"/>
      <c r="I230" s="2"/>
      <c r="J230" s="114">
        <v>160</v>
      </c>
      <c r="L230" s="106" t="s">
        <v>97</v>
      </c>
      <c r="M230" s="2"/>
      <c r="N230" s="2"/>
      <c r="O230" s="114">
        <v>290</v>
      </c>
    </row>
    <row r="231" spans="2:15" x14ac:dyDescent="0.3">
      <c r="B231" s="106" t="s">
        <v>104</v>
      </c>
      <c r="C231" s="2"/>
      <c r="D231" s="2"/>
      <c r="E231" s="113">
        <v>8.6666666666666661</v>
      </c>
      <c r="G231" s="106" t="s">
        <v>104</v>
      </c>
      <c r="H231" s="2"/>
      <c r="I231" s="2"/>
      <c r="J231" s="113">
        <v>10.666666666666666</v>
      </c>
      <c r="L231" s="106" t="s">
        <v>104</v>
      </c>
      <c r="M231" s="2"/>
      <c r="N231" s="2"/>
      <c r="O231" s="113">
        <v>19.333333333333332</v>
      </c>
    </row>
    <row r="232" spans="2:15" x14ac:dyDescent="0.3">
      <c r="B232" s="106" t="s">
        <v>409</v>
      </c>
      <c r="C232" s="2"/>
      <c r="D232" s="2"/>
      <c r="E232" s="114">
        <v>0</v>
      </c>
      <c r="G232" s="106" t="s">
        <v>409</v>
      </c>
      <c r="H232" s="2"/>
      <c r="I232" s="2"/>
      <c r="J232" s="114">
        <v>6.4</v>
      </c>
      <c r="L232" s="106" t="s">
        <v>409</v>
      </c>
      <c r="M232" s="2"/>
      <c r="N232" s="2"/>
      <c r="O232" s="114">
        <v>10.4</v>
      </c>
    </row>
    <row r="233" spans="2:15" ht="15" thickBot="1" x14ac:dyDescent="0.35">
      <c r="B233" s="106" t="s">
        <v>100</v>
      </c>
      <c r="C233" s="2"/>
      <c r="D233" s="214"/>
      <c r="E233" s="324">
        <v>130</v>
      </c>
      <c r="G233" s="106" t="s">
        <v>100</v>
      </c>
      <c r="H233" s="2"/>
      <c r="I233" s="214"/>
      <c r="J233" s="324">
        <v>0</v>
      </c>
      <c r="L233" s="106" t="s">
        <v>100</v>
      </c>
      <c r="M233" s="2"/>
      <c r="N233" s="214"/>
      <c r="O233" s="324">
        <v>13.2</v>
      </c>
    </row>
    <row r="234" spans="2:15" ht="15.6" thickTop="1" thickBot="1" x14ac:dyDescent="0.35">
      <c r="B234" s="111" t="s">
        <v>98</v>
      </c>
      <c r="C234" s="112"/>
      <c r="D234" s="216"/>
      <c r="E234" s="217">
        <v>130</v>
      </c>
      <c r="G234" s="111" t="s">
        <v>98</v>
      </c>
      <c r="H234" s="112"/>
      <c r="I234" s="216"/>
      <c r="J234" s="217">
        <v>166.4</v>
      </c>
      <c r="L234" s="111" t="s">
        <v>98</v>
      </c>
      <c r="M234" s="112"/>
      <c r="N234" s="216"/>
      <c r="O234" s="217">
        <v>300.39999999999998</v>
      </c>
    </row>
    <row r="235" spans="2:15" ht="15.6" thickTop="1" thickBot="1" x14ac:dyDescent="0.35">
      <c r="B235" s="111" t="s">
        <v>103</v>
      </c>
      <c r="C235" s="112"/>
      <c r="D235" s="216"/>
      <c r="E235" s="234">
        <v>130</v>
      </c>
      <c r="G235" s="111" t="s">
        <v>103</v>
      </c>
      <c r="H235" s="112"/>
      <c r="I235" s="216"/>
      <c r="J235" s="234">
        <v>166.4</v>
      </c>
      <c r="L235" s="111" t="s">
        <v>103</v>
      </c>
      <c r="M235" s="112"/>
      <c r="N235" s="216"/>
      <c r="O235" s="234">
        <v>300.39999999999998</v>
      </c>
    </row>
    <row r="236" spans="2:15" ht="15.6" thickTop="1" thickBot="1" x14ac:dyDescent="0.35"/>
    <row r="237" spans="2:15" ht="15.6" thickTop="1" thickBot="1" x14ac:dyDescent="0.35">
      <c r="B237" s="352" t="s">
        <v>96</v>
      </c>
      <c r="C237" s="353"/>
      <c r="D237" s="326" t="s">
        <v>472</v>
      </c>
      <c r="E237" s="131">
        <v>44788</v>
      </c>
      <c r="G237" s="352" t="s">
        <v>96</v>
      </c>
      <c r="H237" s="353"/>
      <c r="I237" s="326" t="s">
        <v>472</v>
      </c>
      <c r="J237" s="131">
        <v>44819</v>
      </c>
      <c r="L237" s="352" t="s">
        <v>96</v>
      </c>
      <c r="M237" s="353"/>
      <c r="N237" s="326" t="s">
        <v>472</v>
      </c>
      <c r="O237" s="131">
        <v>44849</v>
      </c>
    </row>
    <row r="238" spans="2:15" ht="15.6" thickTop="1" thickBot="1" x14ac:dyDescent="0.35">
      <c r="B238" s="354"/>
      <c r="C238" s="355"/>
      <c r="D238" s="326" t="s">
        <v>473</v>
      </c>
      <c r="E238" s="131">
        <v>44788</v>
      </c>
      <c r="G238" s="354"/>
      <c r="H238" s="355"/>
      <c r="I238" s="326" t="s">
        <v>473</v>
      </c>
      <c r="J238" s="131">
        <v>44788</v>
      </c>
      <c r="L238" s="354"/>
      <c r="M238" s="355"/>
      <c r="N238" s="326" t="s">
        <v>473</v>
      </c>
      <c r="O238" s="131">
        <v>44788</v>
      </c>
    </row>
    <row r="239" spans="2:15" ht="15.6" thickTop="1" thickBot="1" x14ac:dyDescent="0.35">
      <c r="B239" s="356"/>
      <c r="C239" s="357"/>
      <c r="D239" s="326" t="s">
        <v>471</v>
      </c>
      <c r="E239" s="131">
        <v>44818</v>
      </c>
      <c r="G239" s="356"/>
      <c r="H239" s="357"/>
      <c r="I239" s="326" t="s">
        <v>471</v>
      </c>
      <c r="J239" s="131">
        <v>44848</v>
      </c>
      <c r="L239" s="356"/>
      <c r="M239" s="357"/>
      <c r="N239" s="326" t="s">
        <v>471</v>
      </c>
      <c r="O239" s="131">
        <v>44879</v>
      </c>
    </row>
    <row r="240" spans="2:15" ht="15.6" thickTop="1" thickBot="1" x14ac:dyDescent="0.35">
      <c r="B240" s="106" t="s">
        <v>95</v>
      </c>
      <c r="C240" s="2"/>
      <c r="D240" s="2"/>
      <c r="E240" s="200">
        <v>130</v>
      </c>
      <c r="G240" s="106" t="s">
        <v>95</v>
      </c>
      <c r="H240" s="2"/>
      <c r="I240" s="2"/>
      <c r="J240" s="200">
        <v>260</v>
      </c>
      <c r="L240" s="106" t="s">
        <v>95</v>
      </c>
      <c r="M240" s="2"/>
      <c r="N240" s="2"/>
      <c r="O240" s="200">
        <v>390</v>
      </c>
    </row>
    <row r="241" spans="2:15" ht="15.6" thickTop="1" thickBot="1" x14ac:dyDescent="0.35">
      <c r="B241" s="107" t="s">
        <v>183</v>
      </c>
      <c r="C241" s="108"/>
      <c r="D241" s="108"/>
      <c r="E241" s="208"/>
      <c r="G241" s="107" t="s">
        <v>183</v>
      </c>
      <c r="H241" s="108"/>
      <c r="I241" s="108"/>
      <c r="J241" s="208"/>
      <c r="L241" s="107" t="s">
        <v>183</v>
      </c>
      <c r="M241" s="108"/>
      <c r="N241" s="108"/>
      <c r="O241" s="208"/>
    </row>
    <row r="242" spans="2:15" ht="15" thickTop="1" x14ac:dyDescent="0.3">
      <c r="B242" s="206" t="s">
        <v>247</v>
      </c>
      <c r="C242" s="2"/>
      <c r="D242" s="2"/>
      <c r="E242" s="199">
        <v>0</v>
      </c>
      <c r="G242" s="206" t="s">
        <v>247</v>
      </c>
      <c r="H242" s="2"/>
      <c r="I242" s="2"/>
      <c r="J242" s="199">
        <v>160</v>
      </c>
      <c r="L242" s="206" t="s">
        <v>247</v>
      </c>
      <c r="M242" s="2"/>
      <c r="N242" s="2"/>
      <c r="O242" s="199">
        <v>360</v>
      </c>
    </row>
    <row r="243" spans="2:15" x14ac:dyDescent="0.3">
      <c r="B243" s="207" t="s">
        <v>248</v>
      </c>
      <c r="C243" s="2"/>
      <c r="D243" s="2"/>
      <c r="E243" s="115">
        <v>0</v>
      </c>
      <c r="G243" s="207" t="s">
        <v>248</v>
      </c>
      <c r="H243" s="2"/>
      <c r="I243" s="2"/>
      <c r="J243" s="115">
        <v>100</v>
      </c>
      <c r="L243" s="207" t="s">
        <v>248</v>
      </c>
      <c r="M243" s="2"/>
      <c r="N243" s="2"/>
      <c r="O243" s="115">
        <v>100</v>
      </c>
    </row>
    <row r="244" spans="2:15" x14ac:dyDescent="0.3">
      <c r="B244" s="106" t="s">
        <v>107</v>
      </c>
      <c r="C244" s="2"/>
      <c r="D244" s="2"/>
      <c r="E244" s="116">
        <v>0</v>
      </c>
      <c r="G244" s="106" t="s">
        <v>107</v>
      </c>
      <c r="H244" s="2"/>
      <c r="I244" s="2"/>
      <c r="J244" s="116">
        <v>260</v>
      </c>
      <c r="L244" s="106" t="s">
        <v>107</v>
      </c>
      <c r="M244" s="2"/>
      <c r="N244" s="2"/>
      <c r="O244" s="116">
        <v>200</v>
      </c>
    </row>
    <row r="245" spans="2:15" x14ac:dyDescent="0.3">
      <c r="B245" s="207" t="s">
        <v>249</v>
      </c>
      <c r="C245" s="2"/>
      <c r="D245" s="2"/>
      <c r="E245" s="209">
        <v>0</v>
      </c>
      <c r="G245" s="207" t="s">
        <v>249</v>
      </c>
      <c r="H245" s="2"/>
      <c r="I245" s="2"/>
      <c r="J245" s="209">
        <v>6.4</v>
      </c>
      <c r="L245" s="207" t="s">
        <v>249</v>
      </c>
      <c r="M245" s="2"/>
      <c r="N245" s="2"/>
      <c r="O245" s="209">
        <v>10.4</v>
      </c>
    </row>
    <row r="246" spans="2:15" ht="15" thickBot="1" x14ac:dyDescent="0.35">
      <c r="B246" s="106" t="s">
        <v>109</v>
      </c>
      <c r="C246" s="2"/>
      <c r="D246" s="2"/>
      <c r="E246" s="116">
        <v>0</v>
      </c>
      <c r="G246" s="106" t="s">
        <v>109</v>
      </c>
      <c r="H246" s="2"/>
      <c r="I246" s="2"/>
      <c r="J246" s="116">
        <v>6.4</v>
      </c>
      <c r="L246" s="106" t="s">
        <v>109</v>
      </c>
      <c r="M246" s="2"/>
      <c r="N246" s="2"/>
      <c r="O246" s="116">
        <v>4</v>
      </c>
    </row>
    <row r="247" spans="2:15" ht="15.6" thickTop="1" thickBot="1" x14ac:dyDescent="0.35">
      <c r="B247" s="210" t="s">
        <v>41</v>
      </c>
      <c r="C247" s="108"/>
      <c r="D247" s="108"/>
      <c r="E247" s="208"/>
      <c r="G247" s="210" t="s">
        <v>41</v>
      </c>
      <c r="H247" s="108"/>
      <c r="I247" s="108"/>
      <c r="J247" s="208"/>
      <c r="L247" s="210" t="s">
        <v>41</v>
      </c>
      <c r="M247" s="108"/>
      <c r="N247" s="108"/>
      <c r="O247" s="208"/>
    </row>
    <row r="248" spans="2:15" ht="15" thickTop="1" x14ac:dyDescent="0.3">
      <c r="B248" s="106" t="s">
        <v>105</v>
      </c>
      <c r="C248" s="2"/>
      <c r="D248" s="2"/>
      <c r="E248" s="115">
        <v>0</v>
      </c>
      <c r="G248" s="106" t="s">
        <v>105</v>
      </c>
      <c r="H248" s="2"/>
      <c r="I248" s="2"/>
      <c r="J248" s="115">
        <v>0</v>
      </c>
      <c r="L248" s="106" t="s">
        <v>105</v>
      </c>
      <c r="M248" s="2"/>
      <c r="N248" s="2"/>
      <c r="O248" s="115">
        <v>80</v>
      </c>
    </row>
    <row r="249" spans="2:15" x14ac:dyDescent="0.3">
      <c r="B249" s="106" t="s">
        <v>108</v>
      </c>
      <c r="C249" s="2"/>
      <c r="D249" s="2"/>
      <c r="E249" s="116">
        <v>0</v>
      </c>
      <c r="G249" s="106" t="s">
        <v>108</v>
      </c>
      <c r="H249" s="2"/>
      <c r="I249" s="2"/>
      <c r="J249" s="116">
        <v>0</v>
      </c>
      <c r="L249" s="106" t="s">
        <v>108</v>
      </c>
      <c r="M249" s="2"/>
      <c r="N249" s="2"/>
      <c r="O249" s="116">
        <v>80</v>
      </c>
    </row>
    <row r="250" spans="2:15" ht="15" thickBot="1" x14ac:dyDescent="0.35">
      <c r="B250" s="120" t="s">
        <v>99</v>
      </c>
      <c r="C250" s="119"/>
      <c r="D250" s="110"/>
      <c r="E250" s="118">
        <v>0</v>
      </c>
      <c r="G250" s="120" t="s">
        <v>99</v>
      </c>
      <c r="H250" s="119"/>
      <c r="I250" s="110"/>
      <c r="J250" s="118">
        <v>160</v>
      </c>
      <c r="L250" s="120" t="s">
        <v>99</v>
      </c>
      <c r="M250" s="119"/>
      <c r="N250" s="110"/>
      <c r="O250" s="118">
        <v>280</v>
      </c>
    </row>
    <row r="251" spans="2:15" ht="15" thickTop="1" x14ac:dyDescent="0.3">
      <c r="B251" s="106" t="s">
        <v>106</v>
      </c>
      <c r="C251" s="2"/>
      <c r="D251" s="2"/>
      <c r="E251" s="115">
        <v>0</v>
      </c>
      <c r="G251" s="106" t="s">
        <v>106</v>
      </c>
      <c r="H251" s="2"/>
      <c r="I251" s="2"/>
      <c r="J251" s="115">
        <v>0</v>
      </c>
      <c r="L251" s="106" t="s">
        <v>106</v>
      </c>
      <c r="M251" s="2"/>
      <c r="N251" s="2"/>
      <c r="O251" s="115">
        <v>3.2</v>
      </c>
    </row>
    <row r="252" spans="2:15" x14ac:dyDescent="0.3">
      <c r="B252" s="106" t="s">
        <v>110</v>
      </c>
      <c r="C252" s="2"/>
      <c r="D252" s="2"/>
      <c r="E252" s="116">
        <v>0</v>
      </c>
      <c r="G252" s="106" t="s">
        <v>110</v>
      </c>
      <c r="H252" s="2"/>
      <c r="I252" s="2"/>
      <c r="J252" s="116">
        <v>0</v>
      </c>
      <c r="L252" s="106" t="s">
        <v>110</v>
      </c>
      <c r="M252" s="2"/>
      <c r="N252" s="2"/>
      <c r="O252" s="116">
        <v>3.2</v>
      </c>
    </row>
    <row r="253" spans="2:15" ht="15" thickBot="1" x14ac:dyDescent="0.35">
      <c r="B253" s="120" t="s">
        <v>102</v>
      </c>
      <c r="C253" s="110"/>
      <c r="D253" s="110"/>
      <c r="E253" s="118">
        <v>0</v>
      </c>
      <c r="G253" s="120" t="s">
        <v>102</v>
      </c>
      <c r="H253" s="110"/>
      <c r="I253" s="110"/>
      <c r="J253" s="118">
        <v>6.4</v>
      </c>
      <c r="L253" s="120" t="s">
        <v>102</v>
      </c>
      <c r="M253" s="110"/>
      <c r="N253" s="110"/>
      <c r="O253" s="118">
        <v>7.2</v>
      </c>
    </row>
    <row r="254" spans="2:15" ht="15.6" thickTop="1" thickBot="1" x14ac:dyDescent="0.35">
      <c r="B254" s="107" t="s">
        <v>250</v>
      </c>
      <c r="C254" s="211"/>
      <c r="D254" s="108"/>
      <c r="E254" s="215"/>
      <c r="G254" s="107" t="s">
        <v>250</v>
      </c>
      <c r="H254" s="211"/>
      <c r="I254" s="108"/>
      <c r="J254" s="215"/>
      <c r="L254" s="107" t="s">
        <v>250</v>
      </c>
      <c r="M254" s="211"/>
      <c r="N254" s="108"/>
      <c r="O254" s="215"/>
    </row>
    <row r="255" spans="2:15" ht="15" thickTop="1" x14ac:dyDescent="0.3">
      <c r="B255" s="106" t="s">
        <v>336</v>
      </c>
      <c r="C255" s="201"/>
      <c r="D255" s="2"/>
      <c r="E255" s="117">
        <v>0</v>
      </c>
      <c r="G255" s="106" t="s">
        <v>336</v>
      </c>
      <c r="H255" s="201"/>
      <c r="I255" s="2"/>
      <c r="J255" s="117">
        <v>0</v>
      </c>
      <c r="L255" s="106" t="s">
        <v>336</v>
      </c>
      <c r="M255" s="201"/>
      <c r="N255" s="2"/>
      <c r="O255" s="117">
        <v>0</v>
      </c>
    </row>
    <row r="256" spans="2:15" x14ac:dyDescent="0.3">
      <c r="B256" s="106" t="s">
        <v>408</v>
      </c>
      <c r="C256" s="212"/>
      <c r="D256" s="213"/>
      <c r="E256" s="115">
        <v>0</v>
      </c>
      <c r="G256" s="106" t="s">
        <v>408</v>
      </c>
      <c r="H256" s="212"/>
      <c r="I256" s="213"/>
      <c r="J256" s="115">
        <v>0</v>
      </c>
      <c r="L256" s="106" t="s">
        <v>408</v>
      </c>
      <c r="M256" s="212"/>
      <c r="N256" s="213"/>
      <c r="O256" s="115">
        <v>0</v>
      </c>
    </row>
    <row r="257" spans="2:15" x14ac:dyDescent="0.3">
      <c r="B257" s="106" t="s">
        <v>470</v>
      </c>
      <c r="C257" s="212"/>
      <c r="D257" s="213"/>
      <c r="E257" s="115">
        <v>0</v>
      </c>
      <c r="G257" s="106" t="s">
        <v>470</v>
      </c>
      <c r="H257" s="212"/>
      <c r="I257" s="213"/>
      <c r="J257" s="115">
        <v>0</v>
      </c>
      <c r="L257" s="106" t="s">
        <v>470</v>
      </c>
      <c r="M257" s="212"/>
      <c r="N257" s="213"/>
      <c r="O257" s="115">
        <v>0</v>
      </c>
    </row>
    <row r="258" spans="2:15" x14ac:dyDescent="0.3">
      <c r="B258" s="106" t="s">
        <v>272</v>
      </c>
      <c r="C258" s="212"/>
      <c r="D258" s="213"/>
      <c r="E258" s="115">
        <v>0</v>
      </c>
      <c r="G258" s="106" t="s">
        <v>272</v>
      </c>
      <c r="H258" s="212"/>
      <c r="I258" s="213"/>
      <c r="J258" s="115">
        <v>0</v>
      </c>
      <c r="L258" s="106" t="s">
        <v>272</v>
      </c>
      <c r="M258" s="212"/>
      <c r="N258" s="213"/>
      <c r="O258" s="115">
        <v>0</v>
      </c>
    </row>
    <row r="259" spans="2:15" x14ac:dyDescent="0.3">
      <c r="B259" s="106" t="s">
        <v>97</v>
      </c>
      <c r="C259" s="2"/>
      <c r="D259" s="2"/>
      <c r="E259" s="114">
        <v>130</v>
      </c>
      <c r="G259" s="106" t="s">
        <v>97</v>
      </c>
      <c r="H259" s="2"/>
      <c r="I259" s="2"/>
      <c r="J259" s="114">
        <v>160</v>
      </c>
      <c r="L259" s="106" t="s">
        <v>97</v>
      </c>
      <c r="M259" s="2"/>
      <c r="N259" s="2"/>
      <c r="O259" s="114">
        <v>290</v>
      </c>
    </row>
    <row r="260" spans="2:15" x14ac:dyDescent="0.3">
      <c r="B260" s="106" t="s">
        <v>104</v>
      </c>
      <c r="C260" s="2"/>
      <c r="D260" s="2"/>
      <c r="E260" s="113">
        <v>8.6666666666666661</v>
      </c>
      <c r="G260" s="106" t="s">
        <v>104</v>
      </c>
      <c r="H260" s="2"/>
      <c r="I260" s="2"/>
      <c r="J260" s="113">
        <v>10.666666666666666</v>
      </c>
      <c r="L260" s="106" t="s">
        <v>104</v>
      </c>
      <c r="M260" s="2"/>
      <c r="N260" s="2"/>
      <c r="O260" s="113">
        <v>19.333333333333332</v>
      </c>
    </row>
    <row r="261" spans="2:15" x14ac:dyDescent="0.3">
      <c r="B261" s="106" t="s">
        <v>409</v>
      </c>
      <c r="C261" s="2"/>
      <c r="D261" s="2"/>
      <c r="E261" s="114">
        <v>0</v>
      </c>
      <c r="G261" s="106" t="s">
        <v>409</v>
      </c>
      <c r="H261" s="2"/>
      <c r="I261" s="2"/>
      <c r="J261" s="114">
        <v>6.4</v>
      </c>
      <c r="L261" s="106" t="s">
        <v>409</v>
      </c>
      <c r="M261" s="2"/>
      <c r="N261" s="2"/>
      <c r="O261" s="114">
        <v>10.4</v>
      </c>
    </row>
    <row r="262" spans="2:15" ht="15" thickBot="1" x14ac:dyDescent="0.35">
      <c r="B262" s="106" t="s">
        <v>100</v>
      </c>
      <c r="C262" s="2"/>
      <c r="D262" s="214"/>
      <c r="E262" s="324">
        <v>130</v>
      </c>
      <c r="G262" s="106" t="s">
        <v>100</v>
      </c>
      <c r="H262" s="2"/>
      <c r="I262" s="214"/>
      <c r="J262" s="324">
        <v>0</v>
      </c>
      <c r="L262" s="106" t="s">
        <v>100</v>
      </c>
      <c r="M262" s="2"/>
      <c r="N262" s="214"/>
      <c r="O262" s="324">
        <v>13.2</v>
      </c>
    </row>
    <row r="263" spans="2:15" ht="15.6" thickTop="1" thickBot="1" x14ac:dyDescent="0.35">
      <c r="B263" s="111" t="s">
        <v>98</v>
      </c>
      <c r="C263" s="112"/>
      <c r="D263" s="216"/>
      <c r="E263" s="217">
        <v>130</v>
      </c>
      <c r="G263" s="111" t="s">
        <v>98</v>
      </c>
      <c r="H263" s="112"/>
      <c r="I263" s="216"/>
      <c r="J263" s="217">
        <v>166.4</v>
      </c>
      <c r="L263" s="111" t="s">
        <v>98</v>
      </c>
      <c r="M263" s="112"/>
      <c r="N263" s="216"/>
      <c r="O263" s="217">
        <v>300.39999999999998</v>
      </c>
    </row>
    <row r="264" spans="2:15" ht="15.6" thickTop="1" thickBot="1" x14ac:dyDescent="0.35">
      <c r="B264" s="111" t="s">
        <v>103</v>
      </c>
      <c r="C264" s="112"/>
      <c r="D264" s="216"/>
      <c r="E264" s="234">
        <v>130</v>
      </c>
      <c r="G264" s="111" t="s">
        <v>103</v>
      </c>
      <c r="H264" s="112"/>
      <c r="I264" s="216"/>
      <c r="J264" s="234">
        <v>166.4</v>
      </c>
      <c r="L264" s="111" t="s">
        <v>103</v>
      </c>
      <c r="M264" s="112"/>
      <c r="N264" s="216"/>
      <c r="O264" s="234">
        <v>300.39999999999998</v>
      </c>
    </row>
    <row r="265" spans="2:15" ht="15.6" thickTop="1" thickBot="1" x14ac:dyDescent="0.35"/>
    <row r="266" spans="2:15" ht="15.6" thickTop="1" thickBot="1" x14ac:dyDescent="0.35">
      <c r="B266" s="352" t="s">
        <v>96</v>
      </c>
      <c r="C266" s="353"/>
      <c r="D266" s="326" t="s">
        <v>472</v>
      </c>
      <c r="E266" s="131">
        <v>44788</v>
      </c>
      <c r="G266" s="352" t="s">
        <v>96</v>
      </c>
      <c r="H266" s="353"/>
      <c r="I266" s="326" t="s">
        <v>472</v>
      </c>
      <c r="J266" s="131">
        <v>44819</v>
      </c>
      <c r="L266" s="352" t="s">
        <v>96</v>
      </c>
      <c r="M266" s="353"/>
      <c r="N266" s="326" t="s">
        <v>472</v>
      </c>
      <c r="O266" s="131">
        <v>44849</v>
      </c>
    </row>
    <row r="267" spans="2:15" ht="15.6" thickTop="1" thickBot="1" x14ac:dyDescent="0.35">
      <c r="B267" s="354"/>
      <c r="C267" s="355"/>
      <c r="D267" s="326" t="s">
        <v>473</v>
      </c>
      <c r="E267" s="131">
        <v>44788</v>
      </c>
      <c r="G267" s="354"/>
      <c r="H267" s="355"/>
      <c r="I267" s="326" t="s">
        <v>473</v>
      </c>
      <c r="J267" s="131">
        <v>44788</v>
      </c>
      <c r="L267" s="354"/>
      <c r="M267" s="355"/>
      <c r="N267" s="326" t="s">
        <v>473</v>
      </c>
      <c r="O267" s="131">
        <v>44788</v>
      </c>
    </row>
    <row r="268" spans="2:15" ht="15.6" thickTop="1" thickBot="1" x14ac:dyDescent="0.35">
      <c r="B268" s="356"/>
      <c r="C268" s="357"/>
      <c r="D268" s="326" t="s">
        <v>471</v>
      </c>
      <c r="E268" s="131">
        <v>44818</v>
      </c>
      <c r="G268" s="356"/>
      <c r="H268" s="357"/>
      <c r="I268" s="326" t="s">
        <v>471</v>
      </c>
      <c r="J268" s="131">
        <v>44848</v>
      </c>
      <c r="L268" s="356"/>
      <c r="M268" s="357"/>
      <c r="N268" s="326" t="s">
        <v>471</v>
      </c>
      <c r="O268" s="131">
        <v>44879</v>
      </c>
    </row>
    <row r="269" spans="2:15" ht="15.6" thickTop="1" thickBot="1" x14ac:dyDescent="0.35">
      <c r="B269" s="106" t="s">
        <v>95</v>
      </c>
      <c r="C269" s="2"/>
      <c r="D269" s="2"/>
      <c r="E269" s="200">
        <v>130</v>
      </c>
      <c r="G269" s="106" t="s">
        <v>95</v>
      </c>
      <c r="H269" s="2"/>
      <c r="I269" s="2"/>
      <c r="J269" s="200">
        <v>260</v>
      </c>
      <c r="L269" s="106" t="s">
        <v>95</v>
      </c>
      <c r="M269" s="2"/>
      <c r="N269" s="2"/>
      <c r="O269" s="200">
        <v>390</v>
      </c>
    </row>
    <row r="270" spans="2:15" ht="15.6" thickTop="1" thickBot="1" x14ac:dyDescent="0.35">
      <c r="B270" s="107" t="s">
        <v>183</v>
      </c>
      <c r="C270" s="108"/>
      <c r="D270" s="108"/>
      <c r="E270" s="208"/>
      <c r="G270" s="107" t="s">
        <v>183</v>
      </c>
      <c r="H270" s="108"/>
      <c r="I270" s="108"/>
      <c r="J270" s="208"/>
      <c r="L270" s="107" t="s">
        <v>183</v>
      </c>
      <c r="M270" s="108"/>
      <c r="N270" s="108"/>
      <c r="O270" s="208"/>
    </row>
    <row r="271" spans="2:15" ht="15" thickTop="1" x14ac:dyDescent="0.3">
      <c r="B271" s="206" t="s">
        <v>247</v>
      </c>
      <c r="C271" s="2"/>
      <c r="D271" s="2"/>
      <c r="E271" s="199">
        <v>0</v>
      </c>
      <c r="G271" s="206" t="s">
        <v>247</v>
      </c>
      <c r="H271" s="2"/>
      <c r="I271" s="2"/>
      <c r="J271" s="199">
        <v>160</v>
      </c>
      <c r="L271" s="206" t="s">
        <v>247</v>
      </c>
      <c r="M271" s="2"/>
      <c r="N271" s="2"/>
      <c r="O271" s="199">
        <v>360</v>
      </c>
    </row>
    <row r="272" spans="2:15" x14ac:dyDescent="0.3">
      <c r="B272" s="207" t="s">
        <v>248</v>
      </c>
      <c r="C272" s="2"/>
      <c r="D272" s="2"/>
      <c r="E272" s="115">
        <v>0</v>
      </c>
      <c r="G272" s="207" t="s">
        <v>248</v>
      </c>
      <c r="H272" s="2"/>
      <c r="I272" s="2"/>
      <c r="J272" s="115">
        <v>100</v>
      </c>
      <c r="L272" s="207" t="s">
        <v>248</v>
      </c>
      <c r="M272" s="2"/>
      <c r="N272" s="2"/>
      <c r="O272" s="115">
        <v>100</v>
      </c>
    </row>
    <row r="273" spans="2:15" x14ac:dyDescent="0.3">
      <c r="B273" s="106" t="s">
        <v>107</v>
      </c>
      <c r="C273" s="2"/>
      <c r="D273" s="2"/>
      <c r="E273" s="116">
        <v>0</v>
      </c>
      <c r="G273" s="106" t="s">
        <v>107</v>
      </c>
      <c r="H273" s="2"/>
      <c r="I273" s="2"/>
      <c r="J273" s="116">
        <v>260</v>
      </c>
      <c r="L273" s="106" t="s">
        <v>107</v>
      </c>
      <c r="M273" s="2"/>
      <c r="N273" s="2"/>
      <c r="O273" s="116">
        <v>200</v>
      </c>
    </row>
    <row r="274" spans="2:15" x14ac:dyDescent="0.3">
      <c r="B274" s="207" t="s">
        <v>249</v>
      </c>
      <c r="C274" s="2"/>
      <c r="D274" s="2"/>
      <c r="E274" s="209">
        <v>0</v>
      </c>
      <c r="G274" s="207" t="s">
        <v>249</v>
      </c>
      <c r="H274" s="2"/>
      <c r="I274" s="2"/>
      <c r="J274" s="209">
        <v>6.4</v>
      </c>
      <c r="L274" s="207" t="s">
        <v>249</v>
      </c>
      <c r="M274" s="2"/>
      <c r="N274" s="2"/>
      <c r="O274" s="209">
        <v>10.4</v>
      </c>
    </row>
    <row r="275" spans="2:15" ht="15" thickBot="1" x14ac:dyDescent="0.35">
      <c r="B275" s="106" t="s">
        <v>109</v>
      </c>
      <c r="C275" s="2"/>
      <c r="D275" s="2"/>
      <c r="E275" s="116">
        <v>0</v>
      </c>
      <c r="G275" s="106" t="s">
        <v>109</v>
      </c>
      <c r="H275" s="2"/>
      <c r="I275" s="2"/>
      <c r="J275" s="116">
        <v>6.4</v>
      </c>
      <c r="L275" s="106" t="s">
        <v>109</v>
      </c>
      <c r="M275" s="2"/>
      <c r="N275" s="2"/>
      <c r="O275" s="116">
        <v>4</v>
      </c>
    </row>
    <row r="276" spans="2:15" ht="15.6" thickTop="1" thickBot="1" x14ac:dyDescent="0.35">
      <c r="B276" s="210" t="s">
        <v>41</v>
      </c>
      <c r="C276" s="108"/>
      <c r="D276" s="108"/>
      <c r="E276" s="208"/>
      <c r="G276" s="210" t="s">
        <v>41</v>
      </c>
      <c r="H276" s="108"/>
      <c r="I276" s="108"/>
      <c r="J276" s="208"/>
      <c r="L276" s="210" t="s">
        <v>41</v>
      </c>
      <c r="M276" s="108"/>
      <c r="N276" s="108"/>
      <c r="O276" s="208"/>
    </row>
    <row r="277" spans="2:15" ht="15" thickTop="1" x14ac:dyDescent="0.3">
      <c r="B277" s="106" t="s">
        <v>105</v>
      </c>
      <c r="C277" s="2"/>
      <c r="D277" s="2"/>
      <c r="E277" s="115">
        <v>0</v>
      </c>
      <c r="G277" s="106" t="s">
        <v>105</v>
      </c>
      <c r="H277" s="2"/>
      <c r="I277" s="2"/>
      <c r="J277" s="115">
        <v>0</v>
      </c>
      <c r="L277" s="106" t="s">
        <v>105</v>
      </c>
      <c r="M277" s="2"/>
      <c r="N277" s="2"/>
      <c r="O277" s="115">
        <v>80</v>
      </c>
    </row>
    <row r="278" spans="2:15" x14ac:dyDescent="0.3">
      <c r="B278" s="106" t="s">
        <v>108</v>
      </c>
      <c r="C278" s="2"/>
      <c r="D278" s="2"/>
      <c r="E278" s="116">
        <v>0</v>
      </c>
      <c r="G278" s="106" t="s">
        <v>108</v>
      </c>
      <c r="H278" s="2"/>
      <c r="I278" s="2"/>
      <c r="J278" s="116">
        <v>0</v>
      </c>
      <c r="L278" s="106" t="s">
        <v>108</v>
      </c>
      <c r="M278" s="2"/>
      <c r="N278" s="2"/>
      <c r="O278" s="116">
        <v>80</v>
      </c>
    </row>
    <row r="279" spans="2:15" ht="15" thickBot="1" x14ac:dyDescent="0.35">
      <c r="B279" s="120" t="s">
        <v>99</v>
      </c>
      <c r="C279" s="119"/>
      <c r="D279" s="110"/>
      <c r="E279" s="118">
        <v>0</v>
      </c>
      <c r="G279" s="120" t="s">
        <v>99</v>
      </c>
      <c r="H279" s="119"/>
      <c r="I279" s="110"/>
      <c r="J279" s="118">
        <v>160</v>
      </c>
      <c r="L279" s="120" t="s">
        <v>99</v>
      </c>
      <c r="M279" s="119"/>
      <c r="N279" s="110"/>
      <c r="O279" s="118">
        <v>280</v>
      </c>
    </row>
    <row r="280" spans="2:15" ht="15" thickTop="1" x14ac:dyDescent="0.3">
      <c r="B280" s="106" t="s">
        <v>106</v>
      </c>
      <c r="C280" s="2"/>
      <c r="D280" s="2"/>
      <c r="E280" s="115">
        <v>0</v>
      </c>
      <c r="G280" s="106" t="s">
        <v>106</v>
      </c>
      <c r="H280" s="2"/>
      <c r="I280" s="2"/>
      <c r="J280" s="115">
        <v>0</v>
      </c>
      <c r="L280" s="106" t="s">
        <v>106</v>
      </c>
      <c r="M280" s="2"/>
      <c r="N280" s="2"/>
      <c r="O280" s="115">
        <v>3.2</v>
      </c>
    </row>
    <row r="281" spans="2:15" x14ac:dyDescent="0.3">
      <c r="B281" s="106" t="s">
        <v>110</v>
      </c>
      <c r="C281" s="2"/>
      <c r="D281" s="2"/>
      <c r="E281" s="116">
        <v>0</v>
      </c>
      <c r="G281" s="106" t="s">
        <v>110</v>
      </c>
      <c r="H281" s="2"/>
      <c r="I281" s="2"/>
      <c r="J281" s="116">
        <v>0</v>
      </c>
      <c r="L281" s="106" t="s">
        <v>110</v>
      </c>
      <c r="M281" s="2"/>
      <c r="N281" s="2"/>
      <c r="O281" s="116">
        <v>3.2</v>
      </c>
    </row>
    <row r="282" spans="2:15" ht="15" thickBot="1" x14ac:dyDescent="0.35">
      <c r="B282" s="120" t="s">
        <v>102</v>
      </c>
      <c r="C282" s="110"/>
      <c r="D282" s="110"/>
      <c r="E282" s="118">
        <v>0</v>
      </c>
      <c r="G282" s="120" t="s">
        <v>102</v>
      </c>
      <c r="H282" s="110"/>
      <c r="I282" s="110"/>
      <c r="J282" s="118">
        <v>6.4</v>
      </c>
      <c r="L282" s="120" t="s">
        <v>102</v>
      </c>
      <c r="M282" s="110"/>
      <c r="N282" s="110"/>
      <c r="O282" s="118">
        <v>7.2</v>
      </c>
    </row>
    <row r="283" spans="2:15" ht="15.6" thickTop="1" thickBot="1" x14ac:dyDescent="0.35">
      <c r="B283" s="107" t="s">
        <v>250</v>
      </c>
      <c r="C283" s="211"/>
      <c r="D283" s="108"/>
      <c r="E283" s="215"/>
      <c r="G283" s="107" t="s">
        <v>250</v>
      </c>
      <c r="H283" s="211"/>
      <c r="I283" s="108"/>
      <c r="J283" s="215"/>
      <c r="L283" s="107" t="s">
        <v>250</v>
      </c>
      <c r="M283" s="211"/>
      <c r="N283" s="108"/>
      <c r="O283" s="215"/>
    </row>
    <row r="284" spans="2:15" ht="15" thickTop="1" x14ac:dyDescent="0.3">
      <c r="B284" s="106" t="s">
        <v>336</v>
      </c>
      <c r="C284" s="201"/>
      <c r="D284" s="2"/>
      <c r="E284" s="117">
        <v>0</v>
      </c>
      <c r="G284" s="106" t="s">
        <v>336</v>
      </c>
      <c r="H284" s="201"/>
      <c r="I284" s="2"/>
      <c r="J284" s="117">
        <v>0</v>
      </c>
      <c r="L284" s="106" t="s">
        <v>336</v>
      </c>
      <c r="M284" s="201"/>
      <c r="N284" s="2"/>
      <c r="O284" s="117">
        <v>0</v>
      </c>
    </row>
    <row r="285" spans="2:15" x14ac:dyDescent="0.3">
      <c r="B285" s="106" t="s">
        <v>408</v>
      </c>
      <c r="C285" s="212"/>
      <c r="D285" s="213"/>
      <c r="E285" s="115">
        <v>0</v>
      </c>
      <c r="G285" s="106" t="s">
        <v>408</v>
      </c>
      <c r="H285" s="212"/>
      <c r="I285" s="213"/>
      <c r="J285" s="115">
        <v>0</v>
      </c>
      <c r="L285" s="106" t="s">
        <v>408</v>
      </c>
      <c r="M285" s="212"/>
      <c r="N285" s="213"/>
      <c r="O285" s="115">
        <v>0</v>
      </c>
    </row>
    <row r="286" spans="2:15" x14ac:dyDescent="0.3">
      <c r="B286" s="106" t="s">
        <v>470</v>
      </c>
      <c r="C286" s="212"/>
      <c r="D286" s="213"/>
      <c r="E286" s="115">
        <v>0</v>
      </c>
      <c r="G286" s="106" t="s">
        <v>470</v>
      </c>
      <c r="H286" s="212"/>
      <c r="I286" s="213"/>
      <c r="J286" s="115">
        <v>0</v>
      </c>
      <c r="L286" s="106" t="s">
        <v>470</v>
      </c>
      <c r="M286" s="212"/>
      <c r="N286" s="213"/>
      <c r="O286" s="115">
        <v>0</v>
      </c>
    </row>
    <row r="287" spans="2:15" x14ac:dyDescent="0.3">
      <c r="B287" s="106" t="s">
        <v>272</v>
      </c>
      <c r="C287" s="212"/>
      <c r="D287" s="213"/>
      <c r="E287" s="115">
        <v>0</v>
      </c>
      <c r="G287" s="106" t="s">
        <v>272</v>
      </c>
      <c r="H287" s="212"/>
      <c r="I287" s="213"/>
      <c r="J287" s="115">
        <v>0</v>
      </c>
      <c r="L287" s="106" t="s">
        <v>272</v>
      </c>
      <c r="M287" s="212"/>
      <c r="N287" s="213"/>
      <c r="O287" s="115">
        <v>0</v>
      </c>
    </row>
    <row r="288" spans="2:15" x14ac:dyDescent="0.3">
      <c r="B288" s="106" t="s">
        <v>97</v>
      </c>
      <c r="C288" s="2"/>
      <c r="D288" s="2"/>
      <c r="E288" s="114">
        <v>130</v>
      </c>
      <c r="G288" s="106" t="s">
        <v>97</v>
      </c>
      <c r="H288" s="2"/>
      <c r="I288" s="2"/>
      <c r="J288" s="114">
        <v>160</v>
      </c>
      <c r="L288" s="106" t="s">
        <v>97</v>
      </c>
      <c r="M288" s="2"/>
      <c r="N288" s="2"/>
      <c r="O288" s="114">
        <v>290</v>
      </c>
    </row>
    <row r="289" spans="2:15" x14ac:dyDescent="0.3">
      <c r="B289" s="106" t="s">
        <v>104</v>
      </c>
      <c r="C289" s="2"/>
      <c r="D289" s="2"/>
      <c r="E289" s="113">
        <v>8.6666666666666661</v>
      </c>
      <c r="G289" s="106" t="s">
        <v>104</v>
      </c>
      <c r="H289" s="2"/>
      <c r="I289" s="2"/>
      <c r="J289" s="113">
        <v>10.666666666666666</v>
      </c>
      <c r="L289" s="106" t="s">
        <v>104</v>
      </c>
      <c r="M289" s="2"/>
      <c r="N289" s="2"/>
      <c r="O289" s="113">
        <v>19.333333333333332</v>
      </c>
    </row>
    <row r="290" spans="2:15" x14ac:dyDescent="0.3">
      <c r="B290" s="106" t="s">
        <v>409</v>
      </c>
      <c r="C290" s="2"/>
      <c r="D290" s="2"/>
      <c r="E290" s="114">
        <v>0</v>
      </c>
      <c r="G290" s="106" t="s">
        <v>409</v>
      </c>
      <c r="H290" s="2"/>
      <c r="I290" s="2"/>
      <c r="J290" s="114">
        <v>6.4</v>
      </c>
      <c r="L290" s="106" t="s">
        <v>409</v>
      </c>
      <c r="M290" s="2"/>
      <c r="N290" s="2"/>
      <c r="O290" s="114">
        <v>10.4</v>
      </c>
    </row>
    <row r="291" spans="2:15" ht="15" thickBot="1" x14ac:dyDescent="0.35">
      <c r="B291" s="106" t="s">
        <v>100</v>
      </c>
      <c r="C291" s="2"/>
      <c r="D291" s="214"/>
      <c r="E291" s="324">
        <v>130</v>
      </c>
      <c r="G291" s="106" t="s">
        <v>100</v>
      </c>
      <c r="H291" s="2"/>
      <c r="I291" s="214"/>
      <c r="J291" s="324">
        <v>0</v>
      </c>
      <c r="L291" s="106" t="s">
        <v>100</v>
      </c>
      <c r="M291" s="2"/>
      <c r="N291" s="214"/>
      <c r="O291" s="324">
        <v>13.2</v>
      </c>
    </row>
    <row r="292" spans="2:15" ht="15.6" thickTop="1" thickBot="1" x14ac:dyDescent="0.35">
      <c r="B292" s="111" t="s">
        <v>98</v>
      </c>
      <c r="C292" s="112"/>
      <c r="D292" s="216"/>
      <c r="E292" s="217">
        <v>130</v>
      </c>
      <c r="G292" s="111" t="s">
        <v>98</v>
      </c>
      <c r="H292" s="112"/>
      <c r="I292" s="216"/>
      <c r="J292" s="217">
        <v>166.4</v>
      </c>
      <c r="L292" s="111" t="s">
        <v>98</v>
      </c>
      <c r="M292" s="112"/>
      <c r="N292" s="216"/>
      <c r="O292" s="217">
        <v>300.39999999999998</v>
      </c>
    </row>
    <row r="293" spans="2:15" ht="15.6" thickTop="1" thickBot="1" x14ac:dyDescent="0.35">
      <c r="B293" s="111" t="s">
        <v>103</v>
      </c>
      <c r="C293" s="112"/>
      <c r="D293" s="216"/>
      <c r="E293" s="234">
        <v>130</v>
      </c>
      <c r="G293" s="111" t="s">
        <v>103</v>
      </c>
      <c r="H293" s="112"/>
      <c r="I293" s="216"/>
      <c r="J293" s="234">
        <v>166.4</v>
      </c>
      <c r="L293" s="111" t="s">
        <v>103</v>
      </c>
      <c r="M293" s="112"/>
      <c r="N293" s="216"/>
      <c r="O293" s="234">
        <v>300.39999999999998</v>
      </c>
    </row>
    <row r="294" spans="2:15" ht="15.6" thickTop="1" thickBot="1" x14ac:dyDescent="0.35"/>
    <row r="295" spans="2:15" ht="15.6" thickTop="1" thickBot="1" x14ac:dyDescent="0.35">
      <c r="B295" s="352" t="s">
        <v>96</v>
      </c>
      <c r="C295" s="353"/>
      <c r="D295" s="326" t="s">
        <v>472</v>
      </c>
      <c r="E295" s="131">
        <v>44788</v>
      </c>
      <c r="G295" s="352" t="s">
        <v>96</v>
      </c>
      <c r="H295" s="353"/>
      <c r="I295" s="326" t="s">
        <v>472</v>
      </c>
      <c r="J295" s="131">
        <v>44819</v>
      </c>
      <c r="L295" s="352" t="s">
        <v>96</v>
      </c>
      <c r="M295" s="353"/>
      <c r="N295" s="326" t="s">
        <v>472</v>
      </c>
      <c r="O295" s="131">
        <v>44849</v>
      </c>
    </row>
    <row r="296" spans="2:15" ht="15.6" thickTop="1" thickBot="1" x14ac:dyDescent="0.35">
      <c r="B296" s="354"/>
      <c r="C296" s="355"/>
      <c r="D296" s="326" t="s">
        <v>473</v>
      </c>
      <c r="E296" s="131">
        <v>44788</v>
      </c>
      <c r="G296" s="354"/>
      <c r="H296" s="355"/>
      <c r="I296" s="326" t="s">
        <v>473</v>
      </c>
      <c r="J296" s="131">
        <v>44788</v>
      </c>
      <c r="L296" s="354"/>
      <c r="M296" s="355"/>
      <c r="N296" s="326" t="s">
        <v>473</v>
      </c>
      <c r="O296" s="131">
        <v>44788</v>
      </c>
    </row>
    <row r="297" spans="2:15" ht="15.6" thickTop="1" thickBot="1" x14ac:dyDescent="0.35">
      <c r="B297" s="356"/>
      <c r="C297" s="357"/>
      <c r="D297" s="326" t="s">
        <v>471</v>
      </c>
      <c r="E297" s="131">
        <v>44818</v>
      </c>
      <c r="G297" s="356"/>
      <c r="H297" s="357"/>
      <c r="I297" s="326" t="s">
        <v>471</v>
      </c>
      <c r="J297" s="131">
        <v>44848</v>
      </c>
      <c r="L297" s="356"/>
      <c r="M297" s="357"/>
      <c r="N297" s="326" t="s">
        <v>471</v>
      </c>
      <c r="O297" s="131">
        <v>44879</v>
      </c>
    </row>
    <row r="298" spans="2:15" ht="15.6" thickTop="1" thickBot="1" x14ac:dyDescent="0.35">
      <c r="B298" s="106" t="s">
        <v>95</v>
      </c>
      <c r="C298" s="2"/>
      <c r="D298" s="2"/>
      <c r="E298" s="200">
        <v>130</v>
      </c>
      <c r="G298" s="106" t="s">
        <v>95</v>
      </c>
      <c r="H298" s="2"/>
      <c r="I298" s="2"/>
      <c r="J298" s="200">
        <v>260</v>
      </c>
      <c r="L298" s="106" t="s">
        <v>95</v>
      </c>
      <c r="M298" s="2"/>
      <c r="N298" s="2"/>
      <c r="O298" s="200">
        <v>390</v>
      </c>
    </row>
    <row r="299" spans="2:15" ht="15.6" thickTop="1" thickBot="1" x14ac:dyDescent="0.35">
      <c r="B299" s="107" t="s">
        <v>183</v>
      </c>
      <c r="C299" s="108"/>
      <c r="D299" s="108"/>
      <c r="E299" s="208"/>
      <c r="G299" s="107" t="s">
        <v>183</v>
      </c>
      <c r="H299" s="108"/>
      <c r="I299" s="108"/>
      <c r="J299" s="208"/>
      <c r="L299" s="107" t="s">
        <v>183</v>
      </c>
      <c r="M299" s="108"/>
      <c r="N299" s="108"/>
      <c r="O299" s="208"/>
    </row>
    <row r="300" spans="2:15" ht="15" thickTop="1" x14ac:dyDescent="0.3">
      <c r="B300" s="206" t="s">
        <v>247</v>
      </c>
      <c r="C300" s="2"/>
      <c r="D300" s="2"/>
      <c r="E300" s="199">
        <v>0</v>
      </c>
      <c r="G300" s="206" t="s">
        <v>247</v>
      </c>
      <c r="H300" s="2"/>
      <c r="I300" s="2"/>
      <c r="J300" s="199">
        <v>160</v>
      </c>
      <c r="L300" s="206" t="s">
        <v>247</v>
      </c>
      <c r="M300" s="2"/>
      <c r="N300" s="2"/>
      <c r="O300" s="199">
        <v>360</v>
      </c>
    </row>
    <row r="301" spans="2:15" x14ac:dyDescent="0.3">
      <c r="B301" s="207" t="s">
        <v>248</v>
      </c>
      <c r="C301" s="2"/>
      <c r="D301" s="2"/>
      <c r="E301" s="115">
        <v>0</v>
      </c>
      <c r="G301" s="207" t="s">
        <v>248</v>
      </c>
      <c r="H301" s="2"/>
      <c r="I301" s="2"/>
      <c r="J301" s="115">
        <v>100</v>
      </c>
      <c r="L301" s="207" t="s">
        <v>248</v>
      </c>
      <c r="M301" s="2"/>
      <c r="N301" s="2"/>
      <c r="O301" s="115">
        <v>100</v>
      </c>
    </row>
    <row r="302" spans="2:15" x14ac:dyDescent="0.3">
      <c r="B302" s="106" t="s">
        <v>107</v>
      </c>
      <c r="C302" s="2"/>
      <c r="D302" s="2"/>
      <c r="E302" s="116">
        <v>0</v>
      </c>
      <c r="G302" s="106" t="s">
        <v>107</v>
      </c>
      <c r="H302" s="2"/>
      <c r="I302" s="2"/>
      <c r="J302" s="116">
        <v>260</v>
      </c>
      <c r="L302" s="106" t="s">
        <v>107</v>
      </c>
      <c r="M302" s="2"/>
      <c r="N302" s="2"/>
      <c r="O302" s="116">
        <v>200</v>
      </c>
    </row>
    <row r="303" spans="2:15" x14ac:dyDescent="0.3">
      <c r="B303" s="207" t="s">
        <v>249</v>
      </c>
      <c r="C303" s="2"/>
      <c r="D303" s="2"/>
      <c r="E303" s="209">
        <v>0</v>
      </c>
      <c r="G303" s="207" t="s">
        <v>249</v>
      </c>
      <c r="H303" s="2"/>
      <c r="I303" s="2"/>
      <c r="J303" s="209">
        <v>6.4</v>
      </c>
      <c r="L303" s="207" t="s">
        <v>249</v>
      </c>
      <c r="M303" s="2"/>
      <c r="N303" s="2"/>
      <c r="O303" s="209">
        <v>10.4</v>
      </c>
    </row>
    <row r="304" spans="2:15" ht="15" thickBot="1" x14ac:dyDescent="0.35">
      <c r="B304" s="106" t="s">
        <v>109</v>
      </c>
      <c r="C304" s="2"/>
      <c r="D304" s="2"/>
      <c r="E304" s="116">
        <v>0</v>
      </c>
      <c r="G304" s="106" t="s">
        <v>109</v>
      </c>
      <c r="H304" s="2"/>
      <c r="I304" s="2"/>
      <c r="J304" s="116">
        <v>6.4</v>
      </c>
      <c r="L304" s="106" t="s">
        <v>109</v>
      </c>
      <c r="M304" s="2"/>
      <c r="N304" s="2"/>
      <c r="O304" s="116">
        <v>4</v>
      </c>
    </row>
    <row r="305" spans="2:15" ht="15.6" thickTop="1" thickBot="1" x14ac:dyDescent="0.35">
      <c r="B305" s="210" t="s">
        <v>41</v>
      </c>
      <c r="C305" s="108"/>
      <c r="D305" s="108"/>
      <c r="E305" s="208"/>
      <c r="G305" s="210" t="s">
        <v>41</v>
      </c>
      <c r="H305" s="108"/>
      <c r="I305" s="108"/>
      <c r="J305" s="208"/>
      <c r="L305" s="210" t="s">
        <v>41</v>
      </c>
      <c r="M305" s="108"/>
      <c r="N305" s="108"/>
      <c r="O305" s="208"/>
    </row>
    <row r="306" spans="2:15" ht="15" thickTop="1" x14ac:dyDescent="0.3">
      <c r="B306" s="106" t="s">
        <v>105</v>
      </c>
      <c r="C306" s="2"/>
      <c r="D306" s="2"/>
      <c r="E306" s="115">
        <v>0</v>
      </c>
      <c r="G306" s="106" t="s">
        <v>105</v>
      </c>
      <c r="H306" s="2"/>
      <c r="I306" s="2"/>
      <c r="J306" s="115">
        <v>0</v>
      </c>
      <c r="L306" s="106" t="s">
        <v>105</v>
      </c>
      <c r="M306" s="2"/>
      <c r="N306" s="2"/>
      <c r="O306" s="115">
        <v>80</v>
      </c>
    </row>
    <row r="307" spans="2:15" x14ac:dyDescent="0.3">
      <c r="B307" s="106" t="s">
        <v>108</v>
      </c>
      <c r="C307" s="2"/>
      <c r="D307" s="2"/>
      <c r="E307" s="116">
        <v>0</v>
      </c>
      <c r="G307" s="106" t="s">
        <v>108</v>
      </c>
      <c r="H307" s="2"/>
      <c r="I307" s="2"/>
      <c r="J307" s="116">
        <v>0</v>
      </c>
      <c r="L307" s="106" t="s">
        <v>108</v>
      </c>
      <c r="M307" s="2"/>
      <c r="N307" s="2"/>
      <c r="O307" s="116">
        <v>80</v>
      </c>
    </row>
    <row r="308" spans="2:15" ht="15" thickBot="1" x14ac:dyDescent="0.35">
      <c r="B308" s="120" t="s">
        <v>99</v>
      </c>
      <c r="C308" s="119"/>
      <c r="D308" s="110"/>
      <c r="E308" s="118">
        <v>0</v>
      </c>
      <c r="G308" s="120" t="s">
        <v>99</v>
      </c>
      <c r="H308" s="119"/>
      <c r="I308" s="110"/>
      <c r="J308" s="118">
        <v>160</v>
      </c>
      <c r="L308" s="120" t="s">
        <v>99</v>
      </c>
      <c r="M308" s="119"/>
      <c r="N308" s="110"/>
      <c r="O308" s="118">
        <v>280</v>
      </c>
    </row>
    <row r="309" spans="2:15" ht="15" thickTop="1" x14ac:dyDescent="0.3">
      <c r="B309" s="106" t="s">
        <v>106</v>
      </c>
      <c r="C309" s="2"/>
      <c r="D309" s="2"/>
      <c r="E309" s="115">
        <v>0</v>
      </c>
      <c r="G309" s="106" t="s">
        <v>106</v>
      </c>
      <c r="H309" s="2"/>
      <c r="I309" s="2"/>
      <c r="J309" s="115">
        <v>0</v>
      </c>
      <c r="L309" s="106" t="s">
        <v>106</v>
      </c>
      <c r="M309" s="2"/>
      <c r="N309" s="2"/>
      <c r="O309" s="115">
        <v>3.2</v>
      </c>
    </row>
    <row r="310" spans="2:15" x14ac:dyDescent="0.3">
      <c r="B310" s="106" t="s">
        <v>110</v>
      </c>
      <c r="C310" s="2"/>
      <c r="D310" s="2"/>
      <c r="E310" s="116">
        <v>0</v>
      </c>
      <c r="G310" s="106" t="s">
        <v>110</v>
      </c>
      <c r="H310" s="2"/>
      <c r="I310" s="2"/>
      <c r="J310" s="116">
        <v>0</v>
      </c>
      <c r="L310" s="106" t="s">
        <v>110</v>
      </c>
      <c r="M310" s="2"/>
      <c r="N310" s="2"/>
      <c r="O310" s="116">
        <v>3.2</v>
      </c>
    </row>
    <row r="311" spans="2:15" ht="15" thickBot="1" x14ac:dyDescent="0.35">
      <c r="B311" s="120" t="s">
        <v>102</v>
      </c>
      <c r="C311" s="110"/>
      <c r="D311" s="110"/>
      <c r="E311" s="118">
        <v>0</v>
      </c>
      <c r="G311" s="120" t="s">
        <v>102</v>
      </c>
      <c r="H311" s="110"/>
      <c r="I311" s="110"/>
      <c r="J311" s="118">
        <v>6.4</v>
      </c>
      <c r="L311" s="120" t="s">
        <v>102</v>
      </c>
      <c r="M311" s="110"/>
      <c r="N311" s="110"/>
      <c r="O311" s="118">
        <v>7.2</v>
      </c>
    </row>
    <row r="312" spans="2:15" ht="15.6" thickTop="1" thickBot="1" x14ac:dyDescent="0.35">
      <c r="B312" s="107" t="s">
        <v>250</v>
      </c>
      <c r="C312" s="211"/>
      <c r="D312" s="108"/>
      <c r="E312" s="215"/>
      <c r="G312" s="107" t="s">
        <v>250</v>
      </c>
      <c r="H312" s="211"/>
      <c r="I312" s="108"/>
      <c r="J312" s="215"/>
      <c r="L312" s="107" t="s">
        <v>250</v>
      </c>
      <c r="M312" s="211"/>
      <c r="N312" s="108"/>
      <c r="O312" s="215"/>
    </row>
    <row r="313" spans="2:15" ht="15" thickTop="1" x14ac:dyDescent="0.3">
      <c r="B313" s="106" t="s">
        <v>336</v>
      </c>
      <c r="C313" s="201"/>
      <c r="D313" s="2"/>
      <c r="E313" s="117">
        <v>0</v>
      </c>
      <c r="G313" s="106" t="s">
        <v>336</v>
      </c>
      <c r="H313" s="201"/>
      <c r="I313" s="2"/>
      <c r="J313" s="117">
        <v>0</v>
      </c>
      <c r="L313" s="106" t="s">
        <v>336</v>
      </c>
      <c r="M313" s="201"/>
      <c r="N313" s="2"/>
      <c r="O313" s="117">
        <v>0</v>
      </c>
    </row>
    <row r="314" spans="2:15" x14ac:dyDescent="0.3">
      <c r="B314" s="106" t="s">
        <v>408</v>
      </c>
      <c r="C314" s="212"/>
      <c r="D314" s="213"/>
      <c r="E314" s="115">
        <v>0</v>
      </c>
      <c r="G314" s="106" t="s">
        <v>408</v>
      </c>
      <c r="H314" s="212"/>
      <c r="I314" s="213"/>
      <c r="J314" s="115">
        <v>0</v>
      </c>
      <c r="L314" s="106" t="s">
        <v>408</v>
      </c>
      <c r="M314" s="212"/>
      <c r="N314" s="213"/>
      <c r="O314" s="115">
        <v>0</v>
      </c>
    </row>
    <row r="315" spans="2:15" x14ac:dyDescent="0.3">
      <c r="B315" s="106" t="s">
        <v>470</v>
      </c>
      <c r="C315" s="212"/>
      <c r="D315" s="213"/>
      <c r="E315" s="115">
        <v>0</v>
      </c>
      <c r="G315" s="106" t="s">
        <v>470</v>
      </c>
      <c r="H315" s="212"/>
      <c r="I315" s="213"/>
      <c r="J315" s="115">
        <v>0</v>
      </c>
      <c r="L315" s="106" t="s">
        <v>470</v>
      </c>
      <c r="M315" s="212"/>
      <c r="N315" s="213"/>
      <c r="O315" s="115">
        <v>0</v>
      </c>
    </row>
    <row r="316" spans="2:15" x14ac:dyDescent="0.3">
      <c r="B316" s="106" t="s">
        <v>272</v>
      </c>
      <c r="C316" s="212"/>
      <c r="D316" s="213"/>
      <c r="E316" s="115">
        <v>0</v>
      </c>
      <c r="G316" s="106" t="s">
        <v>272</v>
      </c>
      <c r="H316" s="212"/>
      <c r="I316" s="213"/>
      <c r="J316" s="115">
        <v>0</v>
      </c>
      <c r="L316" s="106" t="s">
        <v>272</v>
      </c>
      <c r="M316" s="212"/>
      <c r="N316" s="213"/>
      <c r="O316" s="115">
        <v>0</v>
      </c>
    </row>
    <row r="317" spans="2:15" x14ac:dyDescent="0.3">
      <c r="B317" s="106" t="s">
        <v>97</v>
      </c>
      <c r="C317" s="2"/>
      <c r="D317" s="2"/>
      <c r="E317" s="114">
        <v>130</v>
      </c>
      <c r="G317" s="106" t="s">
        <v>97</v>
      </c>
      <c r="H317" s="2"/>
      <c r="I317" s="2"/>
      <c r="J317" s="114">
        <v>160</v>
      </c>
      <c r="L317" s="106" t="s">
        <v>97</v>
      </c>
      <c r="M317" s="2"/>
      <c r="N317" s="2"/>
      <c r="O317" s="114">
        <v>290</v>
      </c>
    </row>
    <row r="318" spans="2:15" x14ac:dyDescent="0.3">
      <c r="B318" s="106" t="s">
        <v>104</v>
      </c>
      <c r="C318" s="2"/>
      <c r="D318" s="2"/>
      <c r="E318" s="113">
        <v>8.6666666666666661</v>
      </c>
      <c r="G318" s="106" t="s">
        <v>104</v>
      </c>
      <c r="H318" s="2"/>
      <c r="I318" s="2"/>
      <c r="J318" s="113">
        <v>10.666666666666666</v>
      </c>
      <c r="L318" s="106" t="s">
        <v>104</v>
      </c>
      <c r="M318" s="2"/>
      <c r="N318" s="2"/>
      <c r="O318" s="113">
        <v>19.333333333333332</v>
      </c>
    </row>
    <row r="319" spans="2:15" x14ac:dyDescent="0.3">
      <c r="B319" s="106" t="s">
        <v>409</v>
      </c>
      <c r="C319" s="2"/>
      <c r="D319" s="2"/>
      <c r="E319" s="114">
        <v>0</v>
      </c>
      <c r="G319" s="106" t="s">
        <v>409</v>
      </c>
      <c r="H319" s="2"/>
      <c r="I319" s="2"/>
      <c r="J319" s="114">
        <v>6.4</v>
      </c>
      <c r="L319" s="106" t="s">
        <v>409</v>
      </c>
      <c r="M319" s="2"/>
      <c r="N319" s="2"/>
      <c r="O319" s="114">
        <v>10.4</v>
      </c>
    </row>
    <row r="320" spans="2:15" ht="15" thickBot="1" x14ac:dyDescent="0.35">
      <c r="B320" s="106" t="s">
        <v>100</v>
      </c>
      <c r="C320" s="2"/>
      <c r="D320" s="214"/>
      <c r="E320" s="324">
        <v>130</v>
      </c>
      <c r="G320" s="106" t="s">
        <v>100</v>
      </c>
      <c r="H320" s="2"/>
      <c r="I320" s="214"/>
      <c r="J320" s="324">
        <v>0</v>
      </c>
      <c r="L320" s="106" t="s">
        <v>100</v>
      </c>
      <c r="M320" s="2"/>
      <c r="N320" s="214"/>
      <c r="O320" s="324">
        <v>13.2</v>
      </c>
    </row>
    <row r="321" spans="2:15" ht="15.6" thickTop="1" thickBot="1" x14ac:dyDescent="0.35">
      <c r="B321" s="111" t="s">
        <v>98</v>
      </c>
      <c r="C321" s="112"/>
      <c r="D321" s="216"/>
      <c r="E321" s="217">
        <v>130</v>
      </c>
      <c r="G321" s="111" t="s">
        <v>98</v>
      </c>
      <c r="H321" s="112"/>
      <c r="I321" s="216"/>
      <c r="J321" s="217">
        <v>166.4</v>
      </c>
      <c r="L321" s="111" t="s">
        <v>98</v>
      </c>
      <c r="M321" s="112"/>
      <c r="N321" s="216"/>
      <c r="O321" s="217">
        <v>300.39999999999998</v>
      </c>
    </row>
    <row r="322" spans="2:15" ht="15.6" thickTop="1" thickBot="1" x14ac:dyDescent="0.35">
      <c r="B322" s="111" t="s">
        <v>103</v>
      </c>
      <c r="C322" s="112"/>
      <c r="D322" s="216"/>
      <c r="E322" s="234">
        <v>130</v>
      </c>
      <c r="G322" s="111" t="s">
        <v>103</v>
      </c>
      <c r="H322" s="112"/>
      <c r="I322" s="216"/>
      <c r="J322" s="234">
        <v>166.4</v>
      </c>
      <c r="L322" s="111" t="s">
        <v>103</v>
      </c>
      <c r="M322" s="112"/>
      <c r="N322" s="216"/>
      <c r="O322" s="234">
        <v>300.39999999999998</v>
      </c>
    </row>
    <row r="323" spans="2:15" ht="15.6" thickTop="1" thickBot="1" x14ac:dyDescent="0.35"/>
    <row r="324" spans="2:15" ht="15.6" thickTop="1" thickBot="1" x14ac:dyDescent="0.35">
      <c r="B324" s="352" t="s">
        <v>96</v>
      </c>
      <c r="C324" s="353"/>
      <c r="D324" s="326" t="s">
        <v>472</v>
      </c>
      <c r="E324" s="131">
        <v>44788</v>
      </c>
      <c r="G324" s="352" t="s">
        <v>96</v>
      </c>
      <c r="H324" s="353"/>
      <c r="I324" s="326" t="s">
        <v>472</v>
      </c>
      <c r="J324" s="131">
        <v>44819</v>
      </c>
      <c r="L324" s="352" t="s">
        <v>96</v>
      </c>
      <c r="M324" s="353"/>
      <c r="N324" s="326" t="s">
        <v>472</v>
      </c>
      <c r="O324" s="131">
        <v>44849</v>
      </c>
    </row>
    <row r="325" spans="2:15" ht="15.6" thickTop="1" thickBot="1" x14ac:dyDescent="0.35">
      <c r="B325" s="354"/>
      <c r="C325" s="355"/>
      <c r="D325" s="326" t="s">
        <v>473</v>
      </c>
      <c r="E325" s="131">
        <v>44788</v>
      </c>
      <c r="G325" s="354"/>
      <c r="H325" s="355"/>
      <c r="I325" s="326" t="s">
        <v>473</v>
      </c>
      <c r="J325" s="131">
        <v>44788</v>
      </c>
      <c r="L325" s="354"/>
      <c r="M325" s="355"/>
      <c r="N325" s="326" t="s">
        <v>473</v>
      </c>
      <c r="O325" s="131">
        <v>44788</v>
      </c>
    </row>
    <row r="326" spans="2:15" ht="15.6" thickTop="1" thickBot="1" x14ac:dyDescent="0.35">
      <c r="B326" s="356"/>
      <c r="C326" s="357"/>
      <c r="D326" s="326" t="s">
        <v>471</v>
      </c>
      <c r="E326" s="131">
        <v>44818</v>
      </c>
      <c r="G326" s="356"/>
      <c r="H326" s="357"/>
      <c r="I326" s="326" t="s">
        <v>471</v>
      </c>
      <c r="J326" s="131">
        <v>44848</v>
      </c>
      <c r="L326" s="356"/>
      <c r="M326" s="357"/>
      <c r="N326" s="326" t="s">
        <v>471</v>
      </c>
      <c r="O326" s="131">
        <v>44879</v>
      </c>
    </row>
    <row r="327" spans="2:15" ht="15.6" thickTop="1" thickBot="1" x14ac:dyDescent="0.35">
      <c r="B327" s="106" t="s">
        <v>95</v>
      </c>
      <c r="C327" s="2"/>
      <c r="D327" s="2"/>
      <c r="E327" s="200">
        <v>130</v>
      </c>
      <c r="G327" s="106" t="s">
        <v>95</v>
      </c>
      <c r="H327" s="2"/>
      <c r="I327" s="2"/>
      <c r="J327" s="200">
        <v>260</v>
      </c>
      <c r="L327" s="106" t="s">
        <v>95</v>
      </c>
      <c r="M327" s="2"/>
      <c r="N327" s="2"/>
      <c r="O327" s="200">
        <v>390</v>
      </c>
    </row>
    <row r="328" spans="2:15" ht="15.6" thickTop="1" thickBot="1" x14ac:dyDescent="0.35">
      <c r="B328" s="107" t="s">
        <v>183</v>
      </c>
      <c r="C328" s="108"/>
      <c r="D328" s="108"/>
      <c r="E328" s="208"/>
      <c r="G328" s="107" t="s">
        <v>183</v>
      </c>
      <c r="H328" s="108"/>
      <c r="I328" s="108"/>
      <c r="J328" s="208"/>
      <c r="L328" s="107" t="s">
        <v>183</v>
      </c>
      <c r="M328" s="108"/>
      <c r="N328" s="108"/>
      <c r="O328" s="208"/>
    </row>
    <row r="329" spans="2:15" ht="15" thickTop="1" x14ac:dyDescent="0.3">
      <c r="B329" s="206" t="s">
        <v>247</v>
      </c>
      <c r="C329" s="2"/>
      <c r="D329" s="2"/>
      <c r="E329" s="199">
        <v>0</v>
      </c>
      <c r="G329" s="206" t="s">
        <v>247</v>
      </c>
      <c r="H329" s="2"/>
      <c r="I329" s="2"/>
      <c r="J329" s="199">
        <v>160</v>
      </c>
      <c r="L329" s="206" t="s">
        <v>247</v>
      </c>
      <c r="M329" s="2"/>
      <c r="N329" s="2"/>
      <c r="O329" s="199">
        <v>360</v>
      </c>
    </row>
    <row r="330" spans="2:15" x14ac:dyDescent="0.3">
      <c r="B330" s="207" t="s">
        <v>248</v>
      </c>
      <c r="C330" s="2"/>
      <c r="D330" s="2"/>
      <c r="E330" s="115">
        <v>0</v>
      </c>
      <c r="G330" s="207" t="s">
        <v>248</v>
      </c>
      <c r="H330" s="2"/>
      <c r="I330" s="2"/>
      <c r="J330" s="115">
        <v>100</v>
      </c>
      <c r="L330" s="207" t="s">
        <v>248</v>
      </c>
      <c r="M330" s="2"/>
      <c r="N330" s="2"/>
      <c r="O330" s="115">
        <v>100</v>
      </c>
    </row>
    <row r="331" spans="2:15" x14ac:dyDescent="0.3">
      <c r="B331" s="106" t="s">
        <v>107</v>
      </c>
      <c r="C331" s="2"/>
      <c r="D331" s="2"/>
      <c r="E331" s="116">
        <v>0</v>
      </c>
      <c r="G331" s="106" t="s">
        <v>107</v>
      </c>
      <c r="H331" s="2"/>
      <c r="I331" s="2"/>
      <c r="J331" s="116">
        <v>260</v>
      </c>
      <c r="L331" s="106" t="s">
        <v>107</v>
      </c>
      <c r="M331" s="2"/>
      <c r="N331" s="2"/>
      <c r="O331" s="116">
        <v>200</v>
      </c>
    </row>
    <row r="332" spans="2:15" x14ac:dyDescent="0.3">
      <c r="B332" s="207" t="s">
        <v>249</v>
      </c>
      <c r="C332" s="2"/>
      <c r="D332" s="2"/>
      <c r="E332" s="209">
        <v>0</v>
      </c>
      <c r="G332" s="207" t="s">
        <v>249</v>
      </c>
      <c r="H332" s="2"/>
      <c r="I332" s="2"/>
      <c r="J332" s="209">
        <v>6.4</v>
      </c>
      <c r="L332" s="207" t="s">
        <v>249</v>
      </c>
      <c r="M332" s="2"/>
      <c r="N332" s="2"/>
      <c r="O332" s="209">
        <v>10.4</v>
      </c>
    </row>
    <row r="333" spans="2:15" ht="15" thickBot="1" x14ac:dyDescent="0.35">
      <c r="B333" s="106" t="s">
        <v>109</v>
      </c>
      <c r="C333" s="2"/>
      <c r="D333" s="2"/>
      <c r="E333" s="116">
        <v>0</v>
      </c>
      <c r="G333" s="106" t="s">
        <v>109</v>
      </c>
      <c r="H333" s="2"/>
      <c r="I333" s="2"/>
      <c r="J333" s="116">
        <v>6.4</v>
      </c>
      <c r="L333" s="106" t="s">
        <v>109</v>
      </c>
      <c r="M333" s="2"/>
      <c r="N333" s="2"/>
      <c r="O333" s="116">
        <v>4</v>
      </c>
    </row>
    <row r="334" spans="2:15" ht="15.6" thickTop="1" thickBot="1" x14ac:dyDescent="0.35">
      <c r="B334" s="210" t="s">
        <v>41</v>
      </c>
      <c r="C334" s="108"/>
      <c r="D334" s="108"/>
      <c r="E334" s="208"/>
      <c r="G334" s="210" t="s">
        <v>41</v>
      </c>
      <c r="H334" s="108"/>
      <c r="I334" s="108"/>
      <c r="J334" s="208"/>
      <c r="L334" s="210" t="s">
        <v>41</v>
      </c>
      <c r="M334" s="108"/>
      <c r="N334" s="108"/>
      <c r="O334" s="208"/>
    </row>
    <row r="335" spans="2:15" ht="15" thickTop="1" x14ac:dyDescent="0.3">
      <c r="B335" s="106" t="s">
        <v>105</v>
      </c>
      <c r="C335" s="2"/>
      <c r="D335" s="2"/>
      <c r="E335" s="115">
        <v>0</v>
      </c>
      <c r="G335" s="106" t="s">
        <v>105</v>
      </c>
      <c r="H335" s="2"/>
      <c r="I335" s="2"/>
      <c r="J335" s="115">
        <v>0</v>
      </c>
      <c r="L335" s="106" t="s">
        <v>105</v>
      </c>
      <c r="M335" s="2"/>
      <c r="N335" s="2"/>
      <c r="O335" s="115">
        <v>80</v>
      </c>
    </row>
    <row r="336" spans="2:15" x14ac:dyDescent="0.3">
      <c r="B336" s="106" t="s">
        <v>108</v>
      </c>
      <c r="C336" s="2"/>
      <c r="D336" s="2"/>
      <c r="E336" s="116">
        <v>0</v>
      </c>
      <c r="G336" s="106" t="s">
        <v>108</v>
      </c>
      <c r="H336" s="2"/>
      <c r="I336" s="2"/>
      <c r="J336" s="116">
        <v>0</v>
      </c>
      <c r="L336" s="106" t="s">
        <v>108</v>
      </c>
      <c r="M336" s="2"/>
      <c r="N336" s="2"/>
      <c r="O336" s="116">
        <v>80</v>
      </c>
    </row>
    <row r="337" spans="2:15" ht="15" thickBot="1" x14ac:dyDescent="0.35">
      <c r="B337" s="120" t="s">
        <v>99</v>
      </c>
      <c r="C337" s="119"/>
      <c r="D337" s="110"/>
      <c r="E337" s="118">
        <v>0</v>
      </c>
      <c r="G337" s="120" t="s">
        <v>99</v>
      </c>
      <c r="H337" s="119"/>
      <c r="I337" s="110"/>
      <c r="J337" s="118">
        <v>160</v>
      </c>
      <c r="L337" s="120" t="s">
        <v>99</v>
      </c>
      <c r="M337" s="119"/>
      <c r="N337" s="110"/>
      <c r="O337" s="118">
        <v>280</v>
      </c>
    </row>
    <row r="338" spans="2:15" ht="15" thickTop="1" x14ac:dyDescent="0.3">
      <c r="B338" s="106" t="s">
        <v>106</v>
      </c>
      <c r="C338" s="2"/>
      <c r="D338" s="2"/>
      <c r="E338" s="115">
        <v>0</v>
      </c>
      <c r="G338" s="106" t="s">
        <v>106</v>
      </c>
      <c r="H338" s="2"/>
      <c r="I338" s="2"/>
      <c r="J338" s="115">
        <v>0</v>
      </c>
      <c r="L338" s="106" t="s">
        <v>106</v>
      </c>
      <c r="M338" s="2"/>
      <c r="N338" s="2"/>
      <c r="O338" s="115">
        <v>3.2</v>
      </c>
    </row>
    <row r="339" spans="2:15" x14ac:dyDescent="0.3">
      <c r="B339" s="106" t="s">
        <v>110</v>
      </c>
      <c r="C339" s="2"/>
      <c r="D339" s="2"/>
      <c r="E339" s="116">
        <v>0</v>
      </c>
      <c r="G339" s="106" t="s">
        <v>110</v>
      </c>
      <c r="H339" s="2"/>
      <c r="I339" s="2"/>
      <c r="J339" s="116">
        <v>0</v>
      </c>
      <c r="L339" s="106" t="s">
        <v>110</v>
      </c>
      <c r="M339" s="2"/>
      <c r="N339" s="2"/>
      <c r="O339" s="116">
        <v>3.2</v>
      </c>
    </row>
    <row r="340" spans="2:15" ht="15" thickBot="1" x14ac:dyDescent="0.35">
      <c r="B340" s="120" t="s">
        <v>102</v>
      </c>
      <c r="C340" s="110"/>
      <c r="D340" s="110"/>
      <c r="E340" s="118">
        <v>0</v>
      </c>
      <c r="G340" s="120" t="s">
        <v>102</v>
      </c>
      <c r="H340" s="110"/>
      <c r="I340" s="110"/>
      <c r="J340" s="118">
        <v>6.4</v>
      </c>
      <c r="L340" s="120" t="s">
        <v>102</v>
      </c>
      <c r="M340" s="110"/>
      <c r="N340" s="110"/>
      <c r="O340" s="118">
        <v>7.2</v>
      </c>
    </row>
    <row r="341" spans="2:15" ht="15.6" thickTop="1" thickBot="1" x14ac:dyDescent="0.35">
      <c r="B341" s="107" t="s">
        <v>250</v>
      </c>
      <c r="C341" s="211"/>
      <c r="D341" s="108"/>
      <c r="E341" s="215"/>
      <c r="G341" s="107" t="s">
        <v>250</v>
      </c>
      <c r="H341" s="211"/>
      <c r="I341" s="108"/>
      <c r="J341" s="215"/>
      <c r="L341" s="107" t="s">
        <v>250</v>
      </c>
      <c r="M341" s="211"/>
      <c r="N341" s="108"/>
      <c r="O341" s="215"/>
    </row>
    <row r="342" spans="2:15" ht="15" thickTop="1" x14ac:dyDescent="0.3">
      <c r="B342" s="106" t="s">
        <v>336</v>
      </c>
      <c r="C342" s="201"/>
      <c r="D342" s="2"/>
      <c r="E342" s="117">
        <v>0</v>
      </c>
      <c r="G342" s="106" t="s">
        <v>336</v>
      </c>
      <c r="H342" s="201"/>
      <c r="I342" s="2"/>
      <c r="J342" s="117">
        <v>0</v>
      </c>
      <c r="L342" s="106" t="s">
        <v>336</v>
      </c>
      <c r="M342" s="201"/>
      <c r="N342" s="2"/>
      <c r="O342" s="117">
        <v>0</v>
      </c>
    </row>
    <row r="343" spans="2:15" x14ac:dyDescent="0.3">
      <c r="B343" s="106" t="s">
        <v>408</v>
      </c>
      <c r="C343" s="212"/>
      <c r="D343" s="213"/>
      <c r="E343" s="115">
        <v>0</v>
      </c>
      <c r="G343" s="106" t="s">
        <v>408</v>
      </c>
      <c r="H343" s="212"/>
      <c r="I343" s="213"/>
      <c r="J343" s="115">
        <v>0</v>
      </c>
      <c r="L343" s="106" t="s">
        <v>408</v>
      </c>
      <c r="M343" s="212"/>
      <c r="N343" s="213"/>
      <c r="O343" s="115">
        <v>0</v>
      </c>
    </row>
    <row r="344" spans="2:15" x14ac:dyDescent="0.3">
      <c r="B344" s="106" t="s">
        <v>470</v>
      </c>
      <c r="C344" s="212"/>
      <c r="D344" s="213"/>
      <c r="E344" s="115">
        <v>0</v>
      </c>
      <c r="G344" s="106" t="s">
        <v>470</v>
      </c>
      <c r="H344" s="212"/>
      <c r="I344" s="213"/>
      <c r="J344" s="115">
        <v>0</v>
      </c>
      <c r="L344" s="106" t="s">
        <v>470</v>
      </c>
      <c r="M344" s="212"/>
      <c r="N344" s="213"/>
      <c r="O344" s="115">
        <v>0</v>
      </c>
    </row>
    <row r="345" spans="2:15" x14ac:dyDescent="0.3">
      <c r="B345" s="106" t="s">
        <v>272</v>
      </c>
      <c r="C345" s="212"/>
      <c r="D345" s="213"/>
      <c r="E345" s="115">
        <v>0</v>
      </c>
      <c r="G345" s="106" t="s">
        <v>272</v>
      </c>
      <c r="H345" s="212"/>
      <c r="I345" s="213"/>
      <c r="J345" s="115">
        <v>0</v>
      </c>
      <c r="L345" s="106" t="s">
        <v>272</v>
      </c>
      <c r="M345" s="212"/>
      <c r="N345" s="213"/>
      <c r="O345" s="115">
        <v>0</v>
      </c>
    </row>
    <row r="346" spans="2:15" x14ac:dyDescent="0.3">
      <c r="B346" s="106" t="s">
        <v>97</v>
      </c>
      <c r="C346" s="2"/>
      <c r="D346" s="2"/>
      <c r="E346" s="114">
        <v>130</v>
      </c>
      <c r="G346" s="106" t="s">
        <v>97</v>
      </c>
      <c r="H346" s="2"/>
      <c r="I346" s="2"/>
      <c r="J346" s="114">
        <v>160</v>
      </c>
      <c r="L346" s="106" t="s">
        <v>97</v>
      </c>
      <c r="M346" s="2"/>
      <c r="N346" s="2"/>
      <c r="O346" s="114">
        <v>290</v>
      </c>
    </row>
    <row r="347" spans="2:15" x14ac:dyDescent="0.3">
      <c r="B347" s="106" t="s">
        <v>104</v>
      </c>
      <c r="C347" s="2"/>
      <c r="D347" s="2"/>
      <c r="E347" s="113">
        <v>8.6666666666666661</v>
      </c>
      <c r="G347" s="106" t="s">
        <v>104</v>
      </c>
      <c r="H347" s="2"/>
      <c r="I347" s="2"/>
      <c r="J347" s="113">
        <v>10.666666666666666</v>
      </c>
      <c r="L347" s="106" t="s">
        <v>104</v>
      </c>
      <c r="M347" s="2"/>
      <c r="N347" s="2"/>
      <c r="O347" s="113">
        <v>19.333333333333332</v>
      </c>
    </row>
    <row r="348" spans="2:15" x14ac:dyDescent="0.3">
      <c r="B348" s="106" t="s">
        <v>409</v>
      </c>
      <c r="C348" s="2"/>
      <c r="D348" s="2"/>
      <c r="E348" s="114">
        <v>0</v>
      </c>
      <c r="G348" s="106" t="s">
        <v>409</v>
      </c>
      <c r="H348" s="2"/>
      <c r="I348" s="2"/>
      <c r="J348" s="114">
        <v>6.4</v>
      </c>
      <c r="L348" s="106" t="s">
        <v>409</v>
      </c>
      <c r="M348" s="2"/>
      <c r="N348" s="2"/>
      <c r="O348" s="114">
        <v>10.4</v>
      </c>
    </row>
    <row r="349" spans="2:15" ht="15" thickBot="1" x14ac:dyDescent="0.35">
      <c r="B349" s="106" t="s">
        <v>100</v>
      </c>
      <c r="C349" s="2"/>
      <c r="D349" s="214"/>
      <c r="E349" s="324">
        <v>130</v>
      </c>
      <c r="G349" s="106" t="s">
        <v>100</v>
      </c>
      <c r="H349" s="2"/>
      <c r="I349" s="214"/>
      <c r="J349" s="324">
        <v>0</v>
      </c>
      <c r="L349" s="106" t="s">
        <v>100</v>
      </c>
      <c r="M349" s="2"/>
      <c r="N349" s="214"/>
      <c r="O349" s="324">
        <v>13.2</v>
      </c>
    </row>
    <row r="350" spans="2:15" ht="15.6" thickTop="1" thickBot="1" x14ac:dyDescent="0.35">
      <c r="B350" s="111" t="s">
        <v>98</v>
      </c>
      <c r="C350" s="112"/>
      <c r="D350" s="216"/>
      <c r="E350" s="217">
        <v>130</v>
      </c>
      <c r="G350" s="111" t="s">
        <v>98</v>
      </c>
      <c r="H350" s="112"/>
      <c r="I350" s="216"/>
      <c r="J350" s="217">
        <v>166.4</v>
      </c>
      <c r="L350" s="111" t="s">
        <v>98</v>
      </c>
      <c r="M350" s="112"/>
      <c r="N350" s="216"/>
      <c r="O350" s="217">
        <v>300.39999999999998</v>
      </c>
    </row>
    <row r="351" spans="2:15" ht="15.6" thickTop="1" thickBot="1" x14ac:dyDescent="0.35">
      <c r="B351" s="111" t="s">
        <v>103</v>
      </c>
      <c r="C351" s="112"/>
      <c r="D351" s="216"/>
      <c r="E351" s="234">
        <v>130</v>
      </c>
      <c r="G351" s="111" t="s">
        <v>103</v>
      </c>
      <c r="H351" s="112"/>
      <c r="I351" s="216"/>
      <c r="J351" s="234">
        <v>166.4</v>
      </c>
      <c r="L351" s="111" t="s">
        <v>103</v>
      </c>
      <c r="M351" s="112"/>
      <c r="N351" s="216"/>
      <c r="O351" s="234">
        <v>300.39999999999998</v>
      </c>
    </row>
    <row r="352" spans="2:15" ht="15" thickTop="1" x14ac:dyDescent="0.3"/>
  </sheetData>
  <mergeCells count="37">
    <mergeCell ref="L295:M297"/>
    <mergeCell ref="B324:C326"/>
    <mergeCell ref="G324:H326"/>
    <mergeCell ref="L324:M326"/>
    <mergeCell ref="B179:C181"/>
    <mergeCell ref="G179:H181"/>
    <mergeCell ref="L179:M181"/>
    <mergeCell ref="B208:C210"/>
    <mergeCell ref="G208:H210"/>
    <mergeCell ref="L208:M210"/>
    <mergeCell ref="B237:C239"/>
    <mergeCell ref="G237:H239"/>
    <mergeCell ref="B266:C268"/>
    <mergeCell ref="G266:H268"/>
    <mergeCell ref="B295:C297"/>
    <mergeCell ref="G295:H297"/>
    <mergeCell ref="G63:H65"/>
    <mergeCell ref="L63:M65"/>
    <mergeCell ref="B92:C94"/>
    <mergeCell ref="G92:H94"/>
    <mergeCell ref="L92:M94"/>
    <mergeCell ref="L237:M239"/>
    <mergeCell ref="L266:M268"/>
    <mergeCell ref="B2:O4"/>
    <mergeCell ref="B121:C123"/>
    <mergeCell ref="G121:H123"/>
    <mergeCell ref="L121:M123"/>
    <mergeCell ref="B150:C152"/>
    <mergeCell ref="G150:H152"/>
    <mergeCell ref="L150:M152"/>
    <mergeCell ref="B5:C7"/>
    <mergeCell ref="G5:H7"/>
    <mergeCell ref="L5:M7"/>
    <mergeCell ref="B34:C36"/>
    <mergeCell ref="G34:H36"/>
    <mergeCell ref="L34:M36"/>
    <mergeCell ref="B63:C65"/>
  </mergeCells>
  <pageMargins left="0.19685039370078741" right="0.19685039370078741" top="0.19685039370078741" bottom="0.19685039370078741" header="0" footer="0"/>
  <pageSetup paperSize="9" scale="62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358" t="s">
        <v>337</v>
      </c>
      <c r="C2" s="358"/>
      <c r="D2" s="358"/>
      <c r="E2" s="358"/>
      <c r="F2" s="358"/>
      <c r="G2" s="358"/>
      <c r="H2" s="358"/>
      <c r="I2" s="358"/>
      <c r="J2" s="358"/>
      <c r="K2" s="358"/>
      <c r="L2" s="358"/>
      <c r="M2" s="358"/>
      <c r="N2" s="358"/>
      <c r="O2" s="358"/>
    </row>
    <row r="3" spans="2:17" x14ac:dyDescent="0.3">
      <c r="B3" s="358"/>
      <c r="C3" s="358"/>
      <c r="D3" s="358"/>
      <c r="E3" s="358"/>
      <c r="F3" s="358"/>
      <c r="G3" s="358"/>
      <c r="H3" s="358"/>
      <c r="I3" s="358"/>
      <c r="J3" s="358"/>
      <c r="K3" s="358"/>
      <c r="L3" s="358"/>
      <c r="M3" s="358"/>
      <c r="N3" s="358"/>
      <c r="O3" s="358"/>
      <c r="Q3" s="36"/>
    </row>
    <row r="4" spans="2:17" x14ac:dyDescent="0.3">
      <c r="B4" s="358"/>
      <c r="C4" s="358"/>
      <c r="D4" s="358"/>
      <c r="E4" s="358"/>
      <c r="F4" s="358"/>
      <c r="G4" s="358"/>
      <c r="H4" s="358"/>
      <c r="I4" s="358"/>
      <c r="J4" s="358"/>
      <c r="K4" s="358"/>
      <c r="L4" s="358"/>
      <c r="M4" s="358"/>
      <c r="N4" s="358"/>
      <c r="O4" s="358"/>
      <c r="Q4" s="36"/>
    </row>
    <row r="5" spans="2:17" ht="15" thickBot="1" x14ac:dyDescent="0.35">
      <c r="Q5" s="36"/>
    </row>
    <row r="6" spans="2:17" ht="15.6" thickTop="1" thickBot="1" x14ac:dyDescent="0.35">
      <c r="B6" s="352" t="s">
        <v>96</v>
      </c>
      <c r="C6" s="359"/>
      <c r="D6" s="353"/>
      <c r="E6" s="131">
        <v>44788</v>
      </c>
      <c r="G6" s="352" t="s">
        <v>96</v>
      </c>
      <c r="H6" s="359"/>
      <c r="I6" s="353"/>
      <c r="J6" s="131">
        <v>44788</v>
      </c>
      <c r="L6" s="352" t="s">
        <v>96</v>
      </c>
      <c r="M6" s="359"/>
      <c r="N6" s="353"/>
      <c r="O6" s="131">
        <v>44788</v>
      </c>
      <c r="Q6" s="36"/>
    </row>
    <row r="7" spans="2:17" ht="15.6" thickTop="1" thickBot="1" x14ac:dyDescent="0.35">
      <c r="B7" s="356"/>
      <c r="C7" s="360"/>
      <c r="D7" s="357"/>
      <c r="E7" s="131">
        <v>44788</v>
      </c>
      <c r="G7" s="356"/>
      <c r="H7" s="360"/>
      <c r="I7" s="357"/>
      <c r="J7" s="131">
        <v>44819</v>
      </c>
      <c r="L7" s="356"/>
      <c r="M7" s="360"/>
      <c r="N7" s="357"/>
      <c r="O7" s="131">
        <v>44849</v>
      </c>
      <c r="Q7" s="36"/>
    </row>
    <row r="8" spans="2:17" ht="15.6" thickTop="1" thickBot="1" x14ac:dyDescent="0.35">
      <c r="B8" s="106" t="s">
        <v>95</v>
      </c>
      <c r="C8" s="2"/>
      <c r="D8" s="2"/>
      <c r="E8" s="200">
        <v>130</v>
      </c>
      <c r="G8" s="106" t="s">
        <v>95</v>
      </c>
      <c r="H8" s="2"/>
      <c r="I8" s="2"/>
      <c r="J8" s="200">
        <v>260</v>
      </c>
      <c r="L8" s="106" t="s">
        <v>95</v>
      </c>
      <c r="M8" s="2"/>
      <c r="N8" s="2"/>
      <c r="O8" s="200">
        <v>390</v>
      </c>
      <c r="Q8" s="36"/>
    </row>
    <row r="9" spans="2:17" ht="15.6" thickTop="1" thickBot="1" x14ac:dyDescent="0.35">
      <c r="B9" s="107" t="s">
        <v>183</v>
      </c>
      <c r="C9" s="108"/>
      <c r="D9" s="108"/>
      <c r="E9" s="208"/>
      <c r="G9" s="107" t="s">
        <v>183</v>
      </c>
      <c r="H9" s="108"/>
      <c r="I9" s="108"/>
      <c r="J9" s="208"/>
      <c r="L9" s="107" t="s">
        <v>183</v>
      </c>
      <c r="M9" s="108"/>
      <c r="N9" s="108"/>
      <c r="O9" s="208"/>
      <c r="Q9" s="36"/>
    </row>
    <row r="10" spans="2:17" ht="15" thickTop="1" x14ac:dyDescent="0.3">
      <c r="B10" s="206" t="s">
        <v>247</v>
      </c>
      <c r="C10" s="2"/>
      <c r="D10" s="2"/>
      <c r="E10" s="199">
        <v>0</v>
      </c>
      <c r="G10" s="206" t="s">
        <v>247</v>
      </c>
      <c r="H10" s="2"/>
      <c r="I10" s="2"/>
      <c r="J10" s="199">
        <v>160</v>
      </c>
      <c r="L10" s="206" t="s">
        <v>247</v>
      </c>
      <c r="M10" s="2"/>
      <c r="N10" s="2"/>
      <c r="O10" s="199">
        <v>360</v>
      </c>
      <c r="Q10" s="36"/>
    </row>
    <row r="11" spans="2:17" x14ac:dyDescent="0.3">
      <c r="B11" s="207" t="s">
        <v>248</v>
      </c>
      <c r="C11" s="2"/>
      <c r="D11" s="2"/>
      <c r="E11" s="115">
        <v>0</v>
      </c>
      <c r="G11" s="207" t="s">
        <v>248</v>
      </c>
      <c r="H11" s="2"/>
      <c r="I11" s="2"/>
      <c r="J11" s="115">
        <v>100</v>
      </c>
      <c r="L11" s="207" t="s">
        <v>248</v>
      </c>
      <c r="M11" s="2"/>
      <c r="N11" s="2"/>
      <c r="O11" s="115">
        <v>100</v>
      </c>
    </row>
    <row r="12" spans="2:17" x14ac:dyDescent="0.3">
      <c r="B12" s="106" t="s">
        <v>107</v>
      </c>
      <c r="C12" s="2"/>
      <c r="D12" s="2"/>
      <c r="E12" s="116">
        <v>0</v>
      </c>
      <c r="G12" s="106" t="s">
        <v>107</v>
      </c>
      <c r="H12" s="2"/>
      <c r="I12" s="2"/>
      <c r="J12" s="116">
        <v>160</v>
      </c>
      <c r="L12" s="106" t="s">
        <v>107</v>
      </c>
      <c r="M12" s="2"/>
      <c r="N12" s="2"/>
      <c r="O12" s="116">
        <v>200</v>
      </c>
    </row>
    <row r="13" spans="2:17" x14ac:dyDescent="0.3">
      <c r="B13" s="207" t="s">
        <v>249</v>
      </c>
      <c r="C13" s="2"/>
      <c r="D13" s="2"/>
      <c r="E13" s="209">
        <v>0</v>
      </c>
      <c r="G13" s="207" t="s">
        <v>249</v>
      </c>
      <c r="H13" s="2"/>
      <c r="I13" s="2"/>
      <c r="J13" s="209">
        <v>6.4</v>
      </c>
      <c r="L13" s="207" t="s">
        <v>249</v>
      </c>
      <c r="M13" s="2"/>
      <c r="N13" s="2"/>
      <c r="O13" s="209">
        <v>10.4</v>
      </c>
    </row>
    <row r="14" spans="2:17" ht="15" thickBot="1" x14ac:dyDescent="0.35">
      <c r="B14" s="106" t="s">
        <v>109</v>
      </c>
      <c r="C14" s="2"/>
      <c r="D14" s="2"/>
      <c r="E14" s="116">
        <v>0</v>
      </c>
      <c r="G14" s="106" t="s">
        <v>109</v>
      </c>
      <c r="H14" s="2"/>
      <c r="I14" s="2"/>
      <c r="J14" s="116">
        <v>6.4</v>
      </c>
      <c r="L14" s="106" t="s">
        <v>109</v>
      </c>
      <c r="M14" s="2"/>
      <c r="N14" s="2"/>
      <c r="O14" s="116">
        <v>4</v>
      </c>
    </row>
    <row r="15" spans="2:17" ht="15.6" thickTop="1" thickBot="1" x14ac:dyDescent="0.35">
      <c r="B15" s="210" t="s">
        <v>41</v>
      </c>
      <c r="C15" s="108"/>
      <c r="D15" s="108"/>
      <c r="E15" s="208"/>
      <c r="G15" s="210" t="s">
        <v>41</v>
      </c>
      <c r="H15" s="108"/>
      <c r="I15" s="108"/>
      <c r="J15" s="208"/>
      <c r="L15" s="210" t="s">
        <v>41</v>
      </c>
      <c r="M15" s="108"/>
      <c r="N15" s="108"/>
      <c r="O15" s="208"/>
    </row>
    <row r="16" spans="2:17" ht="15" thickTop="1" x14ac:dyDescent="0.3">
      <c r="B16" s="106" t="s">
        <v>105</v>
      </c>
      <c r="C16" s="2"/>
      <c r="D16" s="2"/>
      <c r="E16" s="115">
        <v>0</v>
      </c>
      <c r="G16" s="106" t="s">
        <v>105</v>
      </c>
      <c r="H16" s="2"/>
      <c r="I16" s="2"/>
      <c r="J16" s="115">
        <v>0</v>
      </c>
      <c r="L16" s="106" t="s">
        <v>105</v>
      </c>
      <c r="M16" s="2"/>
      <c r="N16" s="2"/>
      <c r="O16" s="115">
        <v>160</v>
      </c>
    </row>
    <row r="17" spans="2:15" x14ac:dyDescent="0.3">
      <c r="B17" s="106" t="s">
        <v>108</v>
      </c>
      <c r="C17" s="2"/>
      <c r="D17" s="2"/>
      <c r="E17" s="116">
        <v>0</v>
      </c>
      <c r="G17" s="106" t="s">
        <v>108</v>
      </c>
      <c r="H17" s="2"/>
      <c r="I17" s="2"/>
      <c r="J17" s="116">
        <v>0</v>
      </c>
      <c r="L17" s="106" t="s">
        <v>108</v>
      </c>
      <c r="M17" s="2"/>
      <c r="N17" s="2"/>
      <c r="O17" s="116">
        <v>160</v>
      </c>
    </row>
    <row r="18" spans="2:15" ht="15" thickBot="1" x14ac:dyDescent="0.35">
      <c r="B18" s="120" t="s">
        <v>99</v>
      </c>
      <c r="C18" s="119"/>
      <c r="D18" s="110"/>
      <c r="E18" s="118">
        <v>0</v>
      </c>
      <c r="G18" s="120" t="s">
        <v>99</v>
      </c>
      <c r="H18" s="119"/>
      <c r="I18" s="110"/>
      <c r="J18" s="118">
        <v>160</v>
      </c>
      <c r="L18" s="120" t="s">
        <v>99</v>
      </c>
      <c r="M18" s="119"/>
      <c r="N18" s="110"/>
      <c r="O18" s="118">
        <v>200</v>
      </c>
    </row>
    <row r="19" spans="2:15" ht="15" thickTop="1" x14ac:dyDescent="0.3">
      <c r="B19" s="106" t="s">
        <v>106</v>
      </c>
      <c r="C19" s="2"/>
      <c r="D19" s="2"/>
      <c r="E19" s="115">
        <v>0</v>
      </c>
      <c r="G19" s="106" t="s">
        <v>106</v>
      </c>
      <c r="H19" s="2"/>
      <c r="I19" s="2"/>
      <c r="J19" s="115">
        <v>0</v>
      </c>
      <c r="L19" s="106" t="s">
        <v>106</v>
      </c>
      <c r="M19" s="2"/>
      <c r="N19" s="2"/>
      <c r="O19" s="115">
        <v>6.4</v>
      </c>
    </row>
    <row r="20" spans="2:15" x14ac:dyDescent="0.3">
      <c r="B20" s="106" t="s">
        <v>110</v>
      </c>
      <c r="C20" s="2"/>
      <c r="D20" s="2"/>
      <c r="E20" s="116">
        <v>0</v>
      </c>
      <c r="G20" s="106" t="s">
        <v>110</v>
      </c>
      <c r="H20" s="2"/>
      <c r="I20" s="2"/>
      <c r="J20" s="116">
        <v>0</v>
      </c>
      <c r="L20" s="106" t="s">
        <v>110</v>
      </c>
      <c r="M20" s="2"/>
      <c r="N20" s="2"/>
      <c r="O20" s="116">
        <v>6.4</v>
      </c>
    </row>
    <row r="21" spans="2:15" ht="15" thickBot="1" x14ac:dyDescent="0.35">
      <c r="B21" s="120" t="s">
        <v>102</v>
      </c>
      <c r="C21" s="110"/>
      <c r="D21" s="110"/>
      <c r="E21" s="118">
        <v>0</v>
      </c>
      <c r="G21" s="120" t="s">
        <v>102</v>
      </c>
      <c r="H21" s="110"/>
      <c r="I21" s="110"/>
      <c r="J21" s="118">
        <v>6.4</v>
      </c>
      <c r="L21" s="120" t="s">
        <v>102</v>
      </c>
      <c r="M21" s="110"/>
      <c r="N21" s="110"/>
      <c r="O21" s="118">
        <v>4</v>
      </c>
    </row>
    <row r="22" spans="2:15" ht="15.6" thickTop="1" thickBot="1" x14ac:dyDescent="0.35">
      <c r="B22" s="107" t="s">
        <v>250</v>
      </c>
      <c r="C22" s="211"/>
      <c r="D22" s="108"/>
      <c r="E22" s="215"/>
      <c r="G22" s="107" t="s">
        <v>250</v>
      </c>
      <c r="H22" s="211"/>
      <c r="I22" s="108"/>
      <c r="J22" s="215"/>
      <c r="L22" s="107" t="s">
        <v>250</v>
      </c>
      <c r="M22" s="211"/>
      <c r="N22" s="108"/>
      <c r="O22" s="215"/>
    </row>
    <row r="23" spans="2:15" ht="15" thickTop="1" x14ac:dyDescent="0.3">
      <c r="B23" s="106" t="s">
        <v>251</v>
      </c>
      <c r="C23" s="201"/>
      <c r="D23" s="2"/>
      <c r="E23" s="117">
        <v>0</v>
      </c>
      <c r="G23" s="106" t="s">
        <v>251</v>
      </c>
      <c r="H23" s="201"/>
      <c r="I23" s="2"/>
      <c r="J23" s="117">
        <v>0</v>
      </c>
      <c r="L23" s="106" t="s">
        <v>251</v>
      </c>
      <c r="M23" s="201"/>
      <c r="N23" s="2"/>
      <c r="O23" s="117">
        <v>0</v>
      </c>
    </row>
    <row r="24" spans="2:15" x14ac:dyDescent="0.3">
      <c r="B24" s="106" t="s">
        <v>273</v>
      </c>
      <c r="C24" s="212"/>
      <c r="D24" s="213"/>
      <c r="E24" s="115">
        <v>0</v>
      </c>
      <c r="G24" s="106" t="s">
        <v>273</v>
      </c>
      <c r="H24" s="212"/>
      <c r="I24" s="213"/>
      <c r="J24" s="115">
        <v>0</v>
      </c>
      <c r="L24" s="106" t="s">
        <v>273</v>
      </c>
      <c r="M24" s="212"/>
      <c r="N24" s="213"/>
      <c r="O24" s="115">
        <v>0</v>
      </c>
    </row>
    <row r="25" spans="2:15" x14ac:dyDescent="0.3">
      <c r="B25" s="106" t="s">
        <v>272</v>
      </c>
      <c r="C25" s="212"/>
      <c r="D25" s="213"/>
      <c r="E25" s="115">
        <v>0</v>
      </c>
      <c r="G25" s="106" t="s">
        <v>272</v>
      </c>
      <c r="H25" s="212"/>
      <c r="I25" s="213"/>
      <c r="J25" s="115">
        <v>0</v>
      </c>
      <c r="L25" s="106" t="s">
        <v>272</v>
      </c>
      <c r="M25" s="212"/>
      <c r="N25" s="213"/>
      <c r="O25" s="115">
        <v>0</v>
      </c>
    </row>
    <row r="26" spans="2:15" x14ac:dyDescent="0.3">
      <c r="B26" s="106" t="s">
        <v>97</v>
      </c>
      <c r="C26" s="2"/>
      <c r="D26" s="2"/>
      <c r="E26" s="114">
        <v>130</v>
      </c>
      <c r="G26" s="106" t="s">
        <v>97</v>
      </c>
      <c r="H26" s="2"/>
      <c r="I26" s="2"/>
      <c r="J26" s="114">
        <v>160</v>
      </c>
      <c r="L26" s="106" t="s">
        <v>97</v>
      </c>
      <c r="M26" s="2"/>
      <c r="N26" s="2"/>
      <c r="O26" s="114">
        <v>290</v>
      </c>
    </row>
    <row r="27" spans="2:15" x14ac:dyDescent="0.3">
      <c r="B27" s="106" t="s">
        <v>104</v>
      </c>
      <c r="C27" s="2"/>
      <c r="D27" s="2"/>
      <c r="E27" s="113">
        <v>10</v>
      </c>
      <c r="G27" s="106" t="s">
        <v>104</v>
      </c>
      <c r="H27" s="2"/>
      <c r="I27" s="2"/>
      <c r="J27" s="113">
        <v>12.307692307692308</v>
      </c>
      <c r="L27" s="106" t="s">
        <v>104</v>
      </c>
      <c r="M27" s="2"/>
      <c r="N27" s="2"/>
      <c r="O27" s="113">
        <v>22.307692307692307</v>
      </c>
    </row>
    <row r="28" spans="2:15" x14ac:dyDescent="0.3">
      <c r="B28" s="106" t="s">
        <v>259</v>
      </c>
      <c r="C28" s="2"/>
      <c r="D28" s="2"/>
      <c r="E28" s="114">
        <v>0</v>
      </c>
      <c r="G28" s="106" t="s">
        <v>259</v>
      </c>
      <c r="H28" s="2"/>
      <c r="I28" s="2"/>
      <c r="J28" s="114">
        <v>6.4</v>
      </c>
      <c r="L28" s="106" t="s">
        <v>259</v>
      </c>
      <c r="M28" s="2"/>
      <c r="N28" s="2"/>
      <c r="O28" s="114">
        <v>10.4</v>
      </c>
    </row>
    <row r="29" spans="2:15" ht="15" thickBot="1" x14ac:dyDescent="0.35">
      <c r="B29" s="106" t="s">
        <v>100</v>
      </c>
      <c r="C29" s="2"/>
      <c r="D29" s="214"/>
      <c r="E29" s="221">
        <v>0</v>
      </c>
      <c r="G29" s="106" t="s">
        <v>100</v>
      </c>
      <c r="H29" s="2"/>
      <c r="I29" s="214"/>
      <c r="J29" s="221">
        <v>0</v>
      </c>
      <c r="L29" s="106" t="s">
        <v>100</v>
      </c>
      <c r="M29" s="2"/>
      <c r="N29" s="214"/>
      <c r="O29" s="221">
        <v>0</v>
      </c>
    </row>
    <row r="30" spans="2:15" ht="15.6" thickTop="1" thickBot="1" x14ac:dyDescent="0.35">
      <c r="B30" s="111" t="s">
        <v>98</v>
      </c>
      <c r="C30" s="112"/>
      <c r="D30" s="216"/>
      <c r="E30" s="217">
        <v>130</v>
      </c>
      <c r="G30" s="111" t="s">
        <v>98</v>
      </c>
      <c r="H30" s="112"/>
      <c r="I30" s="216"/>
      <c r="J30" s="217">
        <v>166.4</v>
      </c>
      <c r="L30" s="111" t="s">
        <v>98</v>
      </c>
      <c r="M30" s="112"/>
      <c r="N30" s="216"/>
      <c r="O30" s="217">
        <v>300.39999999999998</v>
      </c>
    </row>
    <row r="31" spans="2:15" ht="15.6" thickTop="1" thickBot="1" x14ac:dyDescent="0.35">
      <c r="B31" s="111" t="s">
        <v>103</v>
      </c>
      <c r="C31" s="112"/>
      <c r="D31" s="216"/>
      <c r="E31" s="234">
        <v>0</v>
      </c>
      <c r="G31" s="111" t="s">
        <v>103</v>
      </c>
      <c r="H31" s="112"/>
      <c r="I31" s="216"/>
      <c r="J31" s="234">
        <v>166.4</v>
      </c>
      <c r="L31" s="111" t="s">
        <v>103</v>
      </c>
      <c r="M31" s="112"/>
      <c r="N31" s="216"/>
      <c r="O31" s="234">
        <v>204</v>
      </c>
    </row>
    <row r="32" spans="2:15" ht="15.6" thickTop="1" thickBot="1" x14ac:dyDescent="0.35"/>
    <row r="33" spans="2:15" ht="15.6" thickTop="1" thickBot="1" x14ac:dyDescent="0.35">
      <c r="B33" s="352" t="s">
        <v>96</v>
      </c>
      <c r="C33" s="359"/>
      <c r="D33" s="353"/>
      <c r="E33" s="131">
        <v>44788</v>
      </c>
      <c r="G33" s="352" t="s">
        <v>96</v>
      </c>
      <c r="H33" s="359"/>
      <c r="I33" s="353"/>
      <c r="J33" s="131">
        <v>44788</v>
      </c>
      <c r="L33" s="352" t="s">
        <v>96</v>
      </c>
      <c r="M33" s="359"/>
      <c r="N33" s="353"/>
      <c r="O33" s="131">
        <v>44788</v>
      </c>
    </row>
    <row r="34" spans="2:15" ht="15.6" thickTop="1" thickBot="1" x14ac:dyDescent="0.35">
      <c r="B34" s="356"/>
      <c r="C34" s="360"/>
      <c r="D34" s="357"/>
      <c r="E34" s="131">
        <v>44880</v>
      </c>
      <c r="G34" s="356"/>
      <c r="H34" s="360"/>
      <c r="I34" s="357"/>
      <c r="J34" s="131">
        <v>44910</v>
      </c>
      <c r="L34" s="356"/>
      <c r="M34" s="360"/>
      <c r="N34" s="357"/>
      <c r="O34" s="131">
        <v>44941</v>
      </c>
    </row>
    <row r="35" spans="2:15" ht="15.6" thickTop="1" thickBot="1" x14ac:dyDescent="0.35">
      <c r="B35" s="106" t="s">
        <v>95</v>
      </c>
      <c r="C35" s="2"/>
      <c r="D35" s="2"/>
      <c r="E35" s="200">
        <v>520</v>
      </c>
      <c r="G35" s="106" t="s">
        <v>95</v>
      </c>
      <c r="H35" s="2"/>
      <c r="I35" s="2"/>
      <c r="J35" s="200">
        <v>650</v>
      </c>
      <c r="L35" s="106" t="s">
        <v>95</v>
      </c>
      <c r="M35" s="2"/>
      <c r="N35" s="2"/>
      <c r="O35" s="200">
        <v>780</v>
      </c>
    </row>
    <row r="36" spans="2:15" ht="15.6" thickTop="1" thickBot="1" x14ac:dyDescent="0.35">
      <c r="B36" s="107" t="s">
        <v>183</v>
      </c>
      <c r="C36" s="108"/>
      <c r="D36" s="108"/>
      <c r="E36" s="208"/>
      <c r="G36" s="107" t="s">
        <v>183</v>
      </c>
      <c r="H36" s="108"/>
      <c r="I36" s="108"/>
      <c r="J36" s="208"/>
      <c r="L36" s="107" t="s">
        <v>183</v>
      </c>
      <c r="M36" s="108"/>
      <c r="N36" s="108"/>
      <c r="O36" s="208"/>
    </row>
    <row r="37" spans="2:15" ht="15" thickTop="1" x14ac:dyDescent="0.3">
      <c r="B37" s="206" t="s">
        <v>247</v>
      </c>
      <c r="C37" s="2"/>
      <c r="D37" s="2"/>
      <c r="E37" s="199">
        <v>760</v>
      </c>
      <c r="G37" s="206" t="s">
        <v>247</v>
      </c>
      <c r="H37" s="2"/>
      <c r="I37" s="2"/>
      <c r="J37" s="199">
        <v>1130</v>
      </c>
      <c r="L37" s="206" t="s">
        <v>247</v>
      </c>
      <c r="M37" s="2"/>
      <c r="N37" s="2"/>
      <c r="O37" s="199">
        <v>1480</v>
      </c>
    </row>
    <row r="38" spans="2:15" x14ac:dyDescent="0.3">
      <c r="B38" s="207" t="s">
        <v>248</v>
      </c>
      <c r="C38" s="2"/>
      <c r="D38" s="2"/>
      <c r="E38" s="115">
        <v>100</v>
      </c>
      <c r="G38" s="207" t="s">
        <v>248</v>
      </c>
      <c r="H38" s="2"/>
      <c r="I38" s="2"/>
      <c r="J38" s="115">
        <v>100</v>
      </c>
      <c r="L38" s="207" t="s">
        <v>248</v>
      </c>
      <c r="M38" s="2"/>
      <c r="N38" s="2"/>
      <c r="O38" s="115">
        <v>100</v>
      </c>
    </row>
    <row r="39" spans="2:15" x14ac:dyDescent="0.3">
      <c r="B39" s="106" t="s">
        <v>107</v>
      </c>
      <c r="C39" s="2"/>
      <c r="D39" s="2"/>
      <c r="E39" s="116">
        <v>400</v>
      </c>
      <c r="G39" s="106" t="s">
        <v>107</v>
      </c>
      <c r="H39" s="2"/>
      <c r="I39" s="2"/>
      <c r="J39" s="116">
        <v>370</v>
      </c>
      <c r="L39" s="106" t="s">
        <v>107</v>
      </c>
      <c r="M39" s="2"/>
      <c r="N39" s="2"/>
      <c r="O39" s="116">
        <v>720</v>
      </c>
    </row>
    <row r="40" spans="2:15" x14ac:dyDescent="0.3">
      <c r="B40" s="207" t="s">
        <v>249</v>
      </c>
      <c r="C40" s="2"/>
      <c r="D40" s="2"/>
      <c r="E40" s="209">
        <v>22.4</v>
      </c>
      <c r="G40" s="207" t="s">
        <v>249</v>
      </c>
      <c r="H40" s="2"/>
      <c r="I40" s="2"/>
      <c r="J40" s="209">
        <v>55.4</v>
      </c>
      <c r="L40" s="207" t="s">
        <v>249</v>
      </c>
      <c r="M40" s="2"/>
      <c r="N40" s="2"/>
      <c r="O40" s="209">
        <v>78.400000000000006</v>
      </c>
    </row>
    <row r="41" spans="2:15" ht="15" thickBot="1" x14ac:dyDescent="0.35">
      <c r="B41" s="106" t="s">
        <v>109</v>
      </c>
      <c r="C41" s="2"/>
      <c r="D41" s="2"/>
      <c r="E41" s="116">
        <v>12</v>
      </c>
      <c r="G41" s="106" t="s">
        <v>109</v>
      </c>
      <c r="H41" s="2"/>
      <c r="I41" s="2"/>
      <c r="J41" s="116">
        <v>33</v>
      </c>
      <c r="L41" s="106" t="s">
        <v>109</v>
      </c>
      <c r="M41" s="2"/>
      <c r="N41" s="2"/>
      <c r="O41" s="116">
        <v>56</v>
      </c>
    </row>
    <row r="42" spans="2:15" ht="15.6" thickTop="1" thickBot="1" x14ac:dyDescent="0.35">
      <c r="B42" s="210" t="s">
        <v>41</v>
      </c>
      <c r="C42" s="108"/>
      <c r="D42" s="108"/>
      <c r="E42" s="208"/>
      <c r="G42" s="210" t="s">
        <v>41</v>
      </c>
      <c r="H42" s="108"/>
      <c r="I42" s="108"/>
      <c r="J42" s="208"/>
      <c r="L42" s="210" t="s">
        <v>41</v>
      </c>
      <c r="M42" s="108"/>
      <c r="N42" s="108"/>
      <c r="O42" s="208"/>
    </row>
    <row r="43" spans="2:15" ht="15" thickTop="1" x14ac:dyDescent="0.3">
      <c r="B43" s="106" t="s">
        <v>105</v>
      </c>
      <c r="C43" s="2"/>
      <c r="D43" s="2"/>
      <c r="E43" s="115">
        <v>360</v>
      </c>
      <c r="G43" s="106" t="s">
        <v>105</v>
      </c>
      <c r="H43" s="2"/>
      <c r="I43" s="2"/>
      <c r="J43" s="115">
        <v>360</v>
      </c>
      <c r="L43" s="106" t="s">
        <v>105</v>
      </c>
      <c r="M43" s="2"/>
      <c r="N43" s="2"/>
      <c r="O43" s="115">
        <v>594</v>
      </c>
    </row>
    <row r="44" spans="2:15" x14ac:dyDescent="0.3">
      <c r="B44" s="106" t="s">
        <v>108</v>
      </c>
      <c r="C44" s="2"/>
      <c r="D44" s="2"/>
      <c r="E44" s="116">
        <v>200</v>
      </c>
      <c r="G44" s="106" t="s">
        <v>108</v>
      </c>
      <c r="H44" s="2"/>
      <c r="I44" s="2"/>
      <c r="J44" s="116">
        <v>0</v>
      </c>
      <c r="L44" s="106" t="s">
        <v>108</v>
      </c>
      <c r="M44" s="2"/>
      <c r="N44" s="2"/>
      <c r="O44" s="116">
        <v>234</v>
      </c>
    </row>
    <row r="45" spans="2:15" ht="15" thickBot="1" x14ac:dyDescent="0.35">
      <c r="B45" s="120" t="s">
        <v>99</v>
      </c>
      <c r="C45" s="119"/>
      <c r="D45" s="110"/>
      <c r="E45" s="118">
        <v>400</v>
      </c>
      <c r="G45" s="120" t="s">
        <v>99</v>
      </c>
      <c r="H45" s="119"/>
      <c r="I45" s="110"/>
      <c r="J45" s="118">
        <v>770</v>
      </c>
      <c r="L45" s="120" t="s">
        <v>99</v>
      </c>
      <c r="M45" s="119"/>
      <c r="N45" s="110"/>
      <c r="O45" s="118">
        <v>886</v>
      </c>
    </row>
    <row r="46" spans="2:15" ht="15" thickTop="1" x14ac:dyDescent="0.3">
      <c r="B46" s="106" t="s">
        <v>106</v>
      </c>
      <c r="C46" s="2"/>
      <c r="D46" s="2"/>
      <c r="E46" s="115">
        <v>10.4</v>
      </c>
      <c r="G46" s="106" t="s">
        <v>106</v>
      </c>
      <c r="H46" s="2"/>
      <c r="I46" s="2"/>
      <c r="J46" s="115">
        <v>10.4</v>
      </c>
      <c r="L46" s="106" t="s">
        <v>106</v>
      </c>
      <c r="M46" s="2"/>
      <c r="N46" s="2"/>
      <c r="O46" s="115">
        <v>13.8</v>
      </c>
    </row>
    <row r="47" spans="2:15" x14ac:dyDescent="0.3">
      <c r="B47" s="106" t="s">
        <v>110</v>
      </c>
      <c r="C47" s="2"/>
      <c r="D47" s="2"/>
      <c r="E47" s="116">
        <v>4</v>
      </c>
      <c r="G47" s="106" t="s">
        <v>110</v>
      </c>
      <c r="H47" s="2"/>
      <c r="I47" s="2"/>
      <c r="J47" s="116">
        <v>0</v>
      </c>
      <c r="L47" s="106" t="s">
        <v>110</v>
      </c>
      <c r="M47" s="2"/>
      <c r="N47" s="2"/>
      <c r="O47" s="116">
        <v>3.4</v>
      </c>
    </row>
    <row r="48" spans="2:15" ht="15" thickBot="1" x14ac:dyDescent="0.35">
      <c r="B48" s="120" t="s">
        <v>102</v>
      </c>
      <c r="C48" s="110"/>
      <c r="D48" s="110"/>
      <c r="E48" s="118">
        <v>11.999999999999998</v>
      </c>
      <c r="G48" s="120" t="s">
        <v>102</v>
      </c>
      <c r="H48" s="110"/>
      <c r="I48" s="110"/>
      <c r="J48" s="118">
        <v>45</v>
      </c>
      <c r="L48" s="120" t="s">
        <v>102</v>
      </c>
      <c r="M48" s="110"/>
      <c r="N48" s="110"/>
      <c r="O48" s="118">
        <v>64.600000000000009</v>
      </c>
    </row>
    <row r="49" spans="2:15" ht="15.6" thickTop="1" thickBot="1" x14ac:dyDescent="0.35">
      <c r="B49" s="107" t="s">
        <v>250</v>
      </c>
      <c r="C49" s="211"/>
      <c r="D49" s="108"/>
      <c r="E49" s="215"/>
      <c r="G49" s="107" t="s">
        <v>250</v>
      </c>
      <c r="H49" s="211"/>
      <c r="I49" s="108"/>
      <c r="J49" s="215"/>
      <c r="L49" s="107" t="s">
        <v>250</v>
      </c>
      <c r="M49" s="211"/>
      <c r="N49" s="108"/>
      <c r="O49" s="215"/>
    </row>
    <row r="50" spans="2:15" ht="15" thickTop="1" x14ac:dyDescent="0.3">
      <c r="B50" s="106" t="s">
        <v>251</v>
      </c>
      <c r="C50" s="201"/>
      <c r="D50" s="2"/>
      <c r="E50" s="117">
        <v>0</v>
      </c>
      <c r="G50" s="106" t="s">
        <v>251</v>
      </c>
      <c r="H50" s="201"/>
      <c r="I50" s="2"/>
      <c r="J50" s="117">
        <v>0</v>
      </c>
      <c r="L50" s="106" t="s">
        <v>251</v>
      </c>
      <c r="M50" s="201"/>
      <c r="N50" s="2"/>
      <c r="O50" s="117">
        <v>10</v>
      </c>
    </row>
    <row r="51" spans="2:15" x14ac:dyDescent="0.3">
      <c r="B51" s="106" t="s">
        <v>273</v>
      </c>
      <c r="C51" s="212"/>
      <c r="D51" s="213"/>
      <c r="E51" s="115">
        <v>0</v>
      </c>
      <c r="G51" s="106" t="s">
        <v>273</v>
      </c>
      <c r="H51" s="212"/>
      <c r="I51" s="213"/>
      <c r="J51" s="115">
        <v>0</v>
      </c>
      <c r="L51" s="106" t="s">
        <v>273</v>
      </c>
      <c r="M51" s="212"/>
      <c r="N51" s="213"/>
      <c r="O51" s="115">
        <v>0</v>
      </c>
    </row>
    <row r="52" spans="2:15" x14ac:dyDescent="0.3">
      <c r="B52" s="106" t="s">
        <v>272</v>
      </c>
      <c r="C52" s="212"/>
      <c r="D52" s="213"/>
      <c r="E52" s="115">
        <v>0</v>
      </c>
      <c r="G52" s="106" t="s">
        <v>272</v>
      </c>
      <c r="H52" s="212"/>
      <c r="I52" s="213"/>
      <c r="J52" s="115">
        <v>0</v>
      </c>
      <c r="L52" s="106" t="s">
        <v>272</v>
      </c>
      <c r="M52" s="212"/>
      <c r="N52" s="213"/>
      <c r="O52" s="115">
        <v>0</v>
      </c>
    </row>
    <row r="53" spans="2:15" x14ac:dyDescent="0.3">
      <c r="B53" s="106" t="s">
        <v>97</v>
      </c>
      <c r="C53" s="2"/>
      <c r="D53" s="2"/>
      <c r="E53" s="114">
        <v>420</v>
      </c>
      <c r="G53" s="106" t="s">
        <v>97</v>
      </c>
      <c r="H53" s="2"/>
      <c r="I53" s="2"/>
      <c r="J53" s="114">
        <v>550</v>
      </c>
      <c r="L53" s="106" t="s">
        <v>97</v>
      </c>
      <c r="M53" s="2"/>
      <c r="N53" s="2"/>
      <c r="O53" s="114">
        <v>680</v>
      </c>
    </row>
    <row r="54" spans="2:15" x14ac:dyDescent="0.3">
      <c r="B54" s="106" t="s">
        <v>104</v>
      </c>
      <c r="C54" s="2"/>
      <c r="D54" s="2"/>
      <c r="E54" s="113">
        <v>32.307692307692307</v>
      </c>
      <c r="G54" s="106" t="s">
        <v>104</v>
      </c>
      <c r="H54" s="2"/>
      <c r="I54" s="2"/>
      <c r="J54" s="113">
        <v>42.307692307692307</v>
      </c>
      <c r="L54" s="106" t="s">
        <v>104</v>
      </c>
      <c r="M54" s="2"/>
      <c r="N54" s="2"/>
      <c r="O54" s="113">
        <v>52.307692307692307</v>
      </c>
    </row>
    <row r="55" spans="2:15" x14ac:dyDescent="0.3">
      <c r="B55" s="106" t="s">
        <v>259</v>
      </c>
      <c r="C55" s="2"/>
      <c r="D55" s="2"/>
      <c r="E55" s="114">
        <v>22.4</v>
      </c>
      <c r="G55" s="106" t="s">
        <v>259</v>
      </c>
      <c r="H55" s="2"/>
      <c r="I55" s="2"/>
      <c r="J55" s="114">
        <v>55.4</v>
      </c>
      <c r="L55" s="106" t="s">
        <v>259</v>
      </c>
      <c r="M55" s="2"/>
      <c r="N55" s="2"/>
      <c r="O55" s="114">
        <v>88.4</v>
      </c>
    </row>
    <row r="56" spans="2:15" ht="15" thickBot="1" x14ac:dyDescent="0.35">
      <c r="B56" s="106" t="s">
        <v>100</v>
      </c>
      <c r="C56" s="2"/>
      <c r="D56" s="214"/>
      <c r="E56" s="221">
        <v>0</v>
      </c>
      <c r="G56" s="106" t="s">
        <v>100</v>
      </c>
      <c r="H56" s="2"/>
      <c r="I56" s="214"/>
      <c r="J56" s="221">
        <v>0</v>
      </c>
      <c r="L56" s="106" t="s">
        <v>100</v>
      </c>
      <c r="M56" s="2"/>
      <c r="N56" s="214"/>
      <c r="O56" s="221">
        <v>0</v>
      </c>
    </row>
    <row r="57" spans="2:15" ht="15.6" thickTop="1" thickBot="1" x14ac:dyDescent="0.35">
      <c r="B57" s="111" t="s">
        <v>98</v>
      </c>
      <c r="C57" s="112"/>
      <c r="D57" s="216"/>
      <c r="E57" s="217">
        <v>442.4</v>
      </c>
      <c r="G57" s="111" t="s">
        <v>98</v>
      </c>
      <c r="H57" s="112"/>
      <c r="I57" s="216"/>
      <c r="J57" s="217">
        <v>605.4</v>
      </c>
      <c r="L57" s="111" t="s">
        <v>98</v>
      </c>
      <c r="M57" s="112"/>
      <c r="N57" s="216"/>
      <c r="O57" s="217">
        <v>768.4</v>
      </c>
    </row>
    <row r="58" spans="2:15" ht="15.6" thickTop="1" thickBot="1" x14ac:dyDescent="0.35">
      <c r="B58" s="111" t="s">
        <v>103</v>
      </c>
      <c r="C58" s="112"/>
      <c r="D58" s="216"/>
      <c r="E58" s="234">
        <v>412</v>
      </c>
      <c r="G58" s="111" t="s">
        <v>103</v>
      </c>
      <c r="H58" s="112"/>
      <c r="I58" s="216"/>
      <c r="J58" s="234">
        <v>815</v>
      </c>
      <c r="L58" s="111" t="s">
        <v>103</v>
      </c>
      <c r="M58" s="112"/>
      <c r="N58" s="216"/>
      <c r="O58" s="234">
        <v>950.6</v>
      </c>
    </row>
    <row r="59" spans="2:15" ht="15.6" thickTop="1" thickBot="1" x14ac:dyDescent="0.35"/>
    <row r="60" spans="2:15" ht="15.6" thickTop="1" thickBot="1" x14ac:dyDescent="0.35">
      <c r="B60" s="352" t="s">
        <v>96</v>
      </c>
      <c r="C60" s="359"/>
      <c r="D60" s="353"/>
      <c r="E60" s="131">
        <v>44788</v>
      </c>
      <c r="G60" s="352" t="s">
        <v>96</v>
      </c>
      <c r="H60" s="359"/>
      <c r="I60" s="353"/>
      <c r="J60" s="131">
        <v>44788</v>
      </c>
      <c r="L60" s="352" t="s">
        <v>96</v>
      </c>
      <c r="M60" s="359"/>
      <c r="N60" s="353"/>
      <c r="O60" s="131">
        <v>44788</v>
      </c>
    </row>
    <row r="61" spans="2:15" ht="15.6" thickTop="1" thickBot="1" x14ac:dyDescent="0.35">
      <c r="B61" s="356"/>
      <c r="C61" s="360"/>
      <c r="D61" s="357"/>
      <c r="E61" s="131">
        <v>44972</v>
      </c>
      <c r="G61" s="356"/>
      <c r="H61" s="360"/>
      <c r="I61" s="357"/>
      <c r="J61" s="131">
        <v>45000</v>
      </c>
      <c r="L61" s="356"/>
      <c r="M61" s="360"/>
      <c r="N61" s="357"/>
      <c r="O61" s="131">
        <v>45031</v>
      </c>
    </row>
    <row r="62" spans="2:15" ht="15.6" thickTop="1" thickBot="1" x14ac:dyDescent="0.35">
      <c r="B62" s="106" t="s">
        <v>95</v>
      </c>
      <c r="C62" s="2"/>
      <c r="D62" s="2"/>
      <c r="E62" s="200">
        <v>910</v>
      </c>
      <c r="G62" s="106" t="s">
        <v>95</v>
      </c>
      <c r="H62" s="2"/>
      <c r="I62" s="2"/>
      <c r="J62" s="200">
        <v>1040</v>
      </c>
      <c r="L62" s="106" t="s">
        <v>95</v>
      </c>
      <c r="M62" s="2"/>
      <c r="N62" s="2"/>
      <c r="O62" s="200">
        <v>1170</v>
      </c>
    </row>
    <row r="63" spans="2:15" ht="15.6" thickTop="1" thickBot="1" x14ac:dyDescent="0.35">
      <c r="B63" s="107" t="s">
        <v>183</v>
      </c>
      <c r="C63" s="108"/>
      <c r="D63" s="108"/>
      <c r="E63" s="208"/>
      <c r="G63" s="107" t="s">
        <v>183</v>
      </c>
      <c r="H63" s="108"/>
      <c r="I63" s="108"/>
      <c r="J63" s="208"/>
      <c r="L63" s="107" t="s">
        <v>183</v>
      </c>
      <c r="M63" s="108"/>
      <c r="N63" s="108"/>
      <c r="O63" s="208"/>
    </row>
    <row r="64" spans="2:15" ht="15" thickTop="1" x14ac:dyDescent="0.3">
      <c r="B64" s="206" t="s">
        <v>247</v>
      </c>
      <c r="C64" s="2"/>
      <c r="D64" s="2"/>
      <c r="E64" s="199">
        <v>1880</v>
      </c>
      <c r="G64" s="206" t="s">
        <v>247</v>
      </c>
      <c r="H64" s="2"/>
      <c r="I64" s="2"/>
      <c r="J64" s="199">
        <v>2360</v>
      </c>
      <c r="L64" s="206" t="s">
        <v>247</v>
      </c>
      <c r="M64" s="2"/>
      <c r="N64" s="2"/>
      <c r="O64" s="199">
        <v>2660</v>
      </c>
    </row>
    <row r="65" spans="2:15" x14ac:dyDescent="0.3">
      <c r="B65" s="207" t="s">
        <v>248</v>
      </c>
      <c r="C65" s="2"/>
      <c r="D65" s="2"/>
      <c r="E65" s="115">
        <v>100</v>
      </c>
      <c r="G65" s="207" t="s">
        <v>248</v>
      </c>
      <c r="H65" s="2"/>
      <c r="I65" s="2"/>
      <c r="J65" s="115">
        <v>100</v>
      </c>
      <c r="L65" s="207" t="s">
        <v>248</v>
      </c>
      <c r="M65" s="2"/>
      <c r="N65" s="2"/>
      <c r="O65" s="115">
        <v>100</v>
      </c>
    </row>
    <row r="66" spans="2:15" x14ac:dyDescent="0.3">
      <c r="B66" s="106" t="s">
        <v>107</v>
      </c>
      <c r="C66" s="2"/>
      <c r="D66" s="2"/>
      <c r="E66" s="116">
        <v>400</v>
      </c>
      <c r="G66" s="106" t="s">
        <v>107</v>
      </c>
      <c r="H66" s="2"/>
      <c r="I66" s="2"/>
      <c r="J66" s="116">
        <v>480</v>
      </c>
      <c r="L66" s="106" t="s">
        <v>107</v>
      </c>
      <c r="M66" s="2"/>
      <c r="N66" s="2"/>
      <c r="O66" s="116">
        <v>300</v>
      </c>
    </row>
    <row r="67" spans="2:15" x14ac:dyDescent="0.3">
      <c r="B67" s="207" t="s">
        <v>249</v>
      </c>
      <c r="C67" s="2"/>
      <c r="D67" s="2"/>
      <c r="E67" s="209">
        <v>104.4</v>
      </c>
      <c r="G67" s="207" t="s">
        <v>249</v>
      </c>
      <c r="H67" s="2"/>
      <c r="I67" s="2"/>
      <c r="J67" s="209">
        <v>138</v>
      </c>
      <c r="L67" s="207" t="s">
        <v>249</v>
      </c>
      <c r="M67" s="2"/>
      <c r="N67" s="2"/>
      <c r="O67" s="209">
        <v>162</v>
      </c>
    </row>
    <row r="68" spans="2:15" ht="15" thickBot="1" x14ac:dyDescent="0.35">
      <c r="B68" s="106" t="s">
        <v>109</v>
      </c>
      <c r="C68" s="2"/>
      <c r="D68" s="2"/>
      <c r="E68" s="116">
        <v>26</v>
      </c>
      <c r="G68" s="106" t="s">
        <v>109</v>
      </c>
      <c r="H68" s="2"/>
      <c r="I68" s="2"/>
      <c r="J68" s="116">
        <v>33.6</v>
      </c>
      <c r="L68" s="106" t="s">
        <v>109</v>
      </c>
      <c r="M68" s="2"/>
      <c r="N68" s="2"/>
      <c r="O68" s="116">
        <v>24</v>
      </c>
    </row>
    <row r="69" spans="2:15" ht="15.6" thickTop="1" thickBot="1" x14ac:dyDescent="0.35">
      <c r="B69" s="210" t="s">
        <v>41</v>
      </c>
      <c r="C69" s="108"/>
      <c r="D69" s="108"/>
      <c r="E69" s="208"/>
      <c r="G69" s="210" t="s">
        <v>41</v>
      </c>
      <c r="H69" s="108"/>
      <c r="I69" s="108"/>
      <c r="J69" s="208"/>
      <c r="L69" s="210" t="s">
        <v>41</v>
      </c>
      <c r="M69" s="108"/>
      <c r="N69" s="108"/>
      <c r="O69" s="208"/>
    </row>
    <row r="70" spans="2:15" ht="15" thickTop="1" x14ac:dyDescent="0.3">
      <c r="B70" s="106" t="s">
        <v>105</v>
      </c>
      <c r="C70" s="2"/>
      <c r="D70" s="2"/>
      <c r="E70" s="115">
        <v>936.33</v>
      </c>
      <c r="G70" s="106" t="s">
        <v>105</v>
      </c>
      <c r="H70" s="2"/>
      <c r="I70" s="2"/>
      <c r="J70" s="115">
        <v>1203.6599999999999</v>
      </c>
      <c r="L70" s="106" t="s">
        <v>105</v>
      </c>
      <c r="M70" s="2"/>
      <c r="N70" s="2"/>
      <c r="O70" s="115">
        <v>1850.9899999999998</v>
      </c>
    </row>
    <row r="71" spans="2:15" x14ac:dyDescent="0.3">
      <c r="B71" s="106" t="s">
        <v>108</v>
      </c>
      <c r="C71" s="2"/>
      <c r="D71" s="2"/>
      <c r="E71" s="116">
        <v>342.33</v>
      </c>
      <c r="G71" s="106" t="s">
        <v>108</v>
      </c>
      <c r="H71" s="2"/>
      <c r="I71" s="2"/>
      <c r="J71" s="116">
        <v>267.33</v>
      </c>
      <c r="L71" s="106" t="s">
        <v>108</v>
      </c>
      <c r="M71" s="2"/>
      <c r="N71" s="2"/>
      <c r="O71" s="116">
        <v>647.32999999999993</v>
      </c>
    </row>
    <row r="72" spans="2:15" ht="15" thickBot="1" x14ac:dyDescent="0.35">
      <c r="B72" s="120" t="s">
        <v>99</v>
      </c>
      <c r="C72" s="119"/>
      <c r="D72" s="110"/>
      <c r="E72" s="118">
        <v>943.67</v>
      </c>
      <c r="G72" s="120" t="s">
        <v>99</v>
      </c>
      <c r="H72" s="119"/>
      <c r="I72" s="110"/>
      <c r="J72" s="118">
        <v>1156.3400000000001</v>
      </c>
      <c r="L72" s="120" t="s">
        <v>99</v>
      </c>
      <c r="M72" s="119"/>
      <c r="N72" s="110"/>
      <c r="O72" s="118">
        <v>809.01000000000022</v>
      </c>
    </row>
    <row r="73" spans="2:15" ht="15" thickTop="1" x14ac:dyDescent="0.3">
      <c r="B73" s="106" t="s">
        <v>106</v>
      </c>
      <c r="C73" s="2"/>
      <c r="D73" s="2"/>
      <c r="E73" s="115">
        <v>36.200000000000003</v>
      </c>
      <c r="G73" s="106" t="s">
        <v>106</v>
      </c>
      <c r="H73" s="2"/>
      <c r="I73" s="2"/>
      <c r="J73" s="115">
        <v>54.6</v>
      </c>
      <c r="L73" s="106" t="s">
        <v>106</v>
      </c>
      <c r="M73" s="2"/>
      <c r="N73" s="2"/>
      <c r="O73" s="115">
        <v>98.600000000000009</v>
      </c>
    </row>
    <row r="74" spans="2:15" x14ac:dyDescent="0.3">
      <c r="B74" s="106" t="s">
        <v>110</v>
      </c>
      <c r="C74" s="2"/>
      <c r="D74" s="2"/>
      <c r="E74" s="116">
        <v>22.4</v>
      </c>
      <c r="G74" s="106" t="s">
        <v>110</v>
      </c>
      <c r="H74" s="2"/>
      <c r="I74" s="2"/>
      <c r="J74" s="116">
        <v>18.399999999999999</v>
      </c>
      <c r="L74" s="106" t="s">
        <v>110</v>
      </c>
      <c r="M74" s="2"/>
      <c r="N74" s="2"/>
      <c r="O74" s="116">
        <v>44</v>
      </c>
    </row>
    <row r="75" spans="2:15" ht="15" thickBot="1" x14ac:dyDescent="0.35">
      <c r="B75" s="120" t="s">
        <v>102</v>
      </c>
      <c r="C75" s="110"/>
      <c r="D75" s="110"/>
      <c r="E75" s="118">
        <v>68.2</v>
      </c>
      <c r="G75" s="120" t="s">
        <v>102</v>
      </c>
      <c r="H75" s="110"/>
      <c r="I75" s="110"/>
      <c r="J75" s="118">
        <v>83.4</v>
      </c>
      <c r="L75" s="120" t="s">
        <v>102</v>
      </c>
      <c r="M75" s="110"/>
      <c r="N75" s="110"/>
      <c r="O75" s="118">
        <v>63.399999999999991</v>
      </c>
    </row>
    <row r="76" spans="2:15" ht="15.6" thickTop="1" thickBot="1" x14ac:dyDescent="0.35">
      <c r="B76" s="107" t="s">
        <v>250</v>
      </c>
      <c r="C76" s="211"/>
      <c r="D76" s="108"/>
      <c r="E76" s="215"/>
      <c r="G76" s="107" t="s">
        <v>250</v>
      </c>
      <c r="H76" s="211"/>
      <c r="I76" s="108"/>
      <c r="J76" s="215"/>
      <c r="L76" s="107" t="s">
        <v>250</v>
      </c>
      <c r="M76" s="211"/>
      <c r="N76" s="108"/>
      <c r="O76" s="215"/>
    </row>
    <row r="77" spans="2:15" ht="15" thickTop="1" x14ac:dyDescent="0.3">
      <c r="B77" s="106" t="s">
        <v>251</v>
      </c>
      <c r="C77" s="201"/>
      <c r="D77" s="2"/>
      <c r="E77" s="117">
        <v>10</v>
      </c>
      <c r="G77" s="106" t="s">
        <v>251</v>
      </c>
      <c r="H77" s="201"/>
      <c r="I77" s="2"/>
      <c r="J77" s="117">
        <v>10</v>
      </c>
      <c r="L77" s="106" t="s">
        <v>251</v>
      </c>
      <c r="M77" s="201"/>
      <c r="N77" s="2"/>
      <c r="O77" s="117">
        <v>10</v>
      </c>
    </row>
    <row r="78" spans="2:15" x14ac:dyDescent="0.3">
      <c r="B78" s="106" t="s">
        <v>273</v>
      </c>
      <c r="C78" s="212"/>
      <c r="D78" s="213"/>
      <c r="E78" s="115">
        <v>0</v>
      </c>
      <c r="G78" s="106" t="s">
        <v>273</v>
      </c>
      <c r="H78" s="212"/>
      <c r="I78" s="213"/>
      <c r="J78" s="115">
        <v>0</v>
      </c>
      <c r="L78" s="106" t="s">
        <v>273</v>
      </c>
      <c r="M78" s="212"/>
      <c r="N78" s="213"/>
      <c r="O78" s="115">
        <v>0</v>
      </c>
    </row>
    <row r="79" spans="2:15" x14ac:dyDescent="0.3">
      <c r="B79" s="106" t="s">
        <v>272</v>
      </c>
      <c r="C79" s="212"/>
      <c r="D79" s="213"/>
      <c r="E79" s="115">
        <v>0</v>
      </c>
      <c r="G79" s="106" t="s">
        <v>272</v>
      </c>
      <c r="H79" s="212"/>
      <c r="I79" s="213"/>
      <c r="J79" s="115">
        <v>0</v>
      </c>
      <c r="L79" s="106" t="s">
        <v>272</v>
      </c>
      <c r="M79" s="212"/>
      <c r="N79" s="213"/>
      <c r="O79" s="115">
        <v>0</v>
      </c>
    </row>
    <row r="80" spans="2:15" x14ac:dyDescent="0.3">
      <c r="B80" s="106" t="s">
        <v>97</v>
      </c>
      <c r="C80" s="2"/>
      <c r="D80" s="2"/>
      <c r="E80" s="114">
        <v>810</v>
      </c>
      <c r="G80" s="106" t="s">
        <v>97</v>
      </c>
      <c r="H80" s="2"/>
      <c r="I80" s="2"/>
      <c r="J80" s="114">
        <v>940</v>
      </c>
      <c r="L80" s="106" t="s">
        <v>97</v>
      </c>
      <c r="M80" s="2"/>
      <c r="N80" s="2"/>
      <c r="O80" s="114">
        <v>1070</v>
      </c>
    </row>
    <row r="81" spans="2:15" x14ac:dyDescent="0.3">
      <c r="B81" s="106" t="s">
        <v>104</v>
      </c>
      <c r="C81" s="2"/>
      <c r="D81" s="2"/>
      <c r="E81" s="113">
        <v>62.307692307692307</v>
      </c>
      <c r="G81" s="106" t="s">
        <v>104</v>
      </c>
      <c r="H81" s="2"/>
      <c r="I81" s="2"/>
      <c r="J81" s="113">
        <v>72.307692307692307</v>
      </c>
      <c r="L81" s="106" t="s">
        <v>104</v>
      </c>
      <c r="M81" s="2"/>
      <c r="N81" s="2"/>
      <c r="O81" s="113">
        <v>82.307692307692307</v>
      </c>
    </row>
    <row r="82" spans="2:15" x14ac:dyDescent="0.3">
      <c r="B82" s="106" t="s">
        <v>259</v>
      </c>
      <c r="C82" s="2"/>
      <c r="D82" s="2"/>
      <c r="E82" s="114">
        <v>114.4</v>
      </c>
      <c r="G82" s="106" t="s">
        <v>259</v>
      </c>
      <c r="H82" s="2"/>
      <c r="I82" s="2"/>
      <c r="J82" s="114">
        <v>148</v>
      </c>
      <c r="L82" s="106" t="s">
        <v>259</v>
      </c>
      <c r="M82" s="2"/>
      <c r="N82" s="2"/>
      <c r="O82" s="114">
        <v>172</v>
      </c>
    </row>
    <row r="83" spans="2:15" ht="15" thickBot="1" x14ac:dyDescent="0.35">
      <c r="B83" s="106" t="s">
        <v>100</v>
      </c>
      <c r="C83" s="2"/>
      <c r="D83" s="214"/>
      <c r="E83" s="221">
        <v>0</v>
      </c>
      <c r="G83" s="106" t="s">
        <v>100</v>
      </c>
      <c r="H83" s="2"/>
      <c r="I83" s="214"/>
      <c r="J83" s="221">
        <v>0</v>
      </c>
      <c r="L83" s="106" t="s">
        <v>100</v>
      </c>
      <c r="M83" s="2"/>
      <c r="N83" s="214"/>
      <c r="O83" s="221">
        <v>0</v>
      </c>
    </row>
    <row r="84" spans="2:15" ht="15.6" thickTop="1" thickBot="1" x14ac:dyDescent="0.35">
      <c r="B84" s="111" t="s">
        <v>98</v>
      </c>
      <c r="C84" s="112"/>
      <c r="D84" s="216"/>
      <c r="E84" s="217">
        <v>924.4</v>
      </c>
      <c r="G84" s="111" t="s">
        <v>98</v>
      </c>
      <c r="H84" s="112"/>
      <c r="I84" s="216"/>
      <c r="J84" s="217">
        <v>1088</v>
      </c>
      <c r="L84" s="111" t="s">
        <v>98</v>
      </c>
      <c r="M84" s="112"/>
      <c r="N84" s="216"/>
      <c r="O84" s="217">
        <v>1242</v>
      </c>
    </row>
    <row r="85" spans="2:15" ht="15.6" thickTop="1" thickBot="1" x14ac:dyDescent="0.35">
      <c r="B85" s="111" t="s">
        <v>103</v>
      </c>
      <c r="C85" s="112"/>
      <c r="D85" s="216"/>
      <c r="E85" s="234">
        <v>1011.87</v>
      </c>
      <c r="G85" s="111" t="s">
        <v>103</v>
      </c>
      <c r="H85" s="112"/>
      <c r="I85" s="216"/>
      <c r="J85" s="234">
        <v>1239.7400000000002</v>
      </c>
      <c r="L85" s="111" t="s">
        <v>103</v>
      </c>
      <c r="M85" s="112"/>
      <c r="N85" s="216"/>
      <c r="O85" s="234">
        <v>872.4100000000002</v>
      </c>
    </row>
    <row r="86" spans="2:15" ht="15.6" thickTop="1" thickBot="1" x14ac:dyDescent="0.35"/>
    <row r="87" spans="2:15" ht="15.6" thickTop="1" thickBot="1" x14ac:dyDescent="0.35">
      <c r="B87" s="352" t="s">
        <v>96</v>
      </c>
      <c r="C87" s="359"/>
      <c r="D87" s="353"/>
      <c r="E87" s="131">
        <v>44788</v>
      </c>
      <c r="G87" s="352" t="s">
        <v>96</v>
      </c>
      <c r="H87" s="359"/>
      <c r="I87" s="353"/>
      <c r="J87" s="131">
        <v>44788</v>
      </c>
      <c r="L87" s="352" t="s">
        <v>96</v>
      </c>
      <c r="M87" s="359"/>
      <c r="N87" s="353"/>
      <c r="O87" s="131">
        <v>44788</v>
      </c>
    </row>
    <row r="88" spans="2:15" ht="15.6" thickTop="1" thickBot="1" x14ac:dyDescent="0.35">
      <c r="B88" s="356"/>
      <c r="C88" s="360"/>
      <c r="D88" s="357"/>
      <c r="E88" s="131">
        <v>45061</v>
      </c>
      <c r="G88" s="356"/>
      <c r="H88" s="360"/>
      <c r="I88" s="357"/>
      <c r="J88" s="131">
        <v>45092</v>
      </c>
      <c r="L88" s="356"/>
      <c r="M88" s="360"/>
      <c r="N88" s="357"/>
      <c r="O88" s="131">
        <v>45122</v>
      </c>
    </row>
    <row r="89" spans="2:15" ht="15.6" thickTop="1" thickBot="1" x14ac:dyDescent="0.35">
      <c r="B89" s="106" t="s">
        <v>95</v>
      </c>
      <c r="C89" s="2"/>
      <c r="D89" s="2"/>
      <c r="E89" s="200">
        <v>1300</v>
      </c>
      <c r="G89" s="106" t="s">
        <v>95</v>
      </c>
      <c r="H89" s="2"/>
      <c r="I89" s="2"/>
      <c r="J89" s="200">
        <v>1430</v>
      </c>
      <c r="L89" s="106" t="s">
        <v>95</v>
      </c>
      <c r="M89" s="2"/>
      <c r="N89" s="2"/>
      <c r="O89" s="200">
        <v>1560</v>
      </c>
    </row>
    <row r="90" spans="2:15" ht="15.6" thickTop="1" thickBot="1" x14ac:dyDescent="0.35">
      <c r="B90" s="107" t="s">
        <v>183</v>
      </c>
      <c r="C90" s="108"/>
      <c r="D90" s="108"/>
      <c r="E90" s="208"/>
      <c r="G90" s="107" t="s">
        <v>183</v>
      </c>
      <c r="H90" s="108"/>
      <c r="I90" s="108"/>
      <c r="J90" s="208"/>
      <c r="L90" s="107" t="s">
        <v>183</v>
      </c>
      <c r="M90" s="108"/>
      <c r="N90" s="108"/>
      <c r="O90" s="208"/>
    </row>
    <row r="91" spans="2:15" ht="15" thickTop="1" x14ac:dyDescent="0.3">
      <c r="B91" s="206" t="s">
        <v>247</v>
      </c>
      <c r="C91" s="2"/>
      <c r="D91" s="2"/>
      <c r="E91" s="199">
        <v>2960</v>
      </c>
      <c r="G91" s="206" t="s">
        <v>247</v>
      </c>
      <c r="H91" s="2"/>
      <c r="I91" s="2"/>
      <c r="J91" s="199">
        <v>3960</v>
      </c>
      <c r="L91" s="206" t="s">
        <v>247</v>
      </c>
      <c r="M91" s="2"/>
      <c r="N91" s="2"/>
      <c r="O91" s="199">
        <v>3960</v>
      </c>
    </row>
    <row r="92" spans="2:15" x14ac:dyDescent="0.3">
      <c r="B92" s="207" t="s">
        <v>248</v>
      </c>
      <c r="C92" s="2"/>
      <c r="D92" s="2"/>
      <c r="E92" s="115">
        <v>100</v>
      </c>
      <c r="G92" s="207" t="s">
        <v>248</v>
      </c>
      <c r="H92" s="2"/>
      <c r="I92" s="2"/>
      <c r="J92" s="115">
        <v>100</v>
      </c>
      <c r="L92" s="207" t="s">
        <v>248</v>
      </c>
      <c r="M92" s="2"/>
      <c r="N92" s="2"/>
      <c r="O92" s="115">
        <v>100</v>
      </c>
    </row>
    <row r="93" spans="2:15" x14ac:dyDescent="0.3">
      <c r="B93" s="106" t="s">
        <v>107</v>
      </c>
      <c r="C93" s="2"/>
      <c r="D93" s="2"/>
      <c r="E93" s="116">
        <v>300</v>
      </c>
      <c r="G93" s="106" t="s">
        <v>107</v>
      </c>
      <c r="H93" s="2"/>
      <c r="I93" s="2"/>
      <c r="J93" s="116">
        <v>1000</v>
      </c>
      <c r="L93" s="106" t="s">
        <v>107</v>
      </c>
      <c r="M93" s="2"/>
      <c r="N93" s="2"/>
      <c r="O93" s="116">
        <v>0</v>
      </c>
    </row>
    <row r="94" spans="2:15" x14ac:dyDescent="0.3">
      <c r="B94" s="207" t="s">
        <v>249</v>
      </c>
      <c r="C94" s="2"/>
      <c r="D94" s="2"/>
      <c r="E94" s="209">
        <v>178</v>
      </c>
      <c r="G94" s="207" t="s">
        <v>249</v>
      </c>
      <c r="H94" s="2"/>
      <c r="I94" s="2"/>
      <c r="J94" s="209">
        <v>258</v>
      </c>
      <c r="L94" s="207" t="s">
        <v>249</v>
      </c>
      <c r="M94" s="2"/>
      <c r="N94" s="2"/>
      <c r="O94" s="209">
        <v>258</v>
      </c>
    </row>
    <row r="95" spans="2:15" ht="15" thickBot="1" x14ac:dyDescent="0.35">
      <c r="B95" s="106" t="s">
        <v>109</v>
      </c>
      <c r="C95" s="2"/>
      <c r="D95" s="2"/>
      <c r="E95" s="116">
        <v>16</v>
      </c>
      <c r="G95" s="106" t="s">
        <v>109</v>
      </c>
      <c r="H95" s="2"/>
      <c r="I95" s="2"/>
      <c r="J95" s="116">
        <v>80</v>
      </c>
      <c r="L95" s="106" t="s">
        <v>109</v>
      </c>
      <c r="M95" s="2"/>
      <c r="N95" s="2"/>
      <c r="O95" s="116">
        <v>0</v>
      </c>
    </row>
    <row r="96" spans="2:15" ht="15.6" thickTop="1" thickBot="1" x14ac:dyDescent="0.35">
      <c r="B96" s="210" t="s">
        <v>41</v>
      </c>
      <c r="C96" s="108"/>
      <c r="D96" s="108"/>
      <c r="E96" s="208"/>
      <c r="G96" s="210" t="s">
        <v>41</v>
      </c>
      <c r="H96" s="108"/>
      <c r="I96" s="108"/>
      <c r="J96" s="208"/>
      <c r="L96" s="210" t="s">
        <v>41</v>
      </c>
      <c r="M96" s="108"/>
      <c r="N96" s="108"/>
      <c r="O96" s="208"/>
    </row>
    <row r="97" spans="2:15" ht="15" thickTop="1" x14ac:dyDescent="0.3">
      <c r="B97" s="106" t="s">
        <v>105</v>
      </c>
      <c r="C97" s="2"/>
      <c r="D97" s="2"/>
      <c r="E97" s="115">
        <v>2209.9899999999998</v>
      </c>
      <c r="G97" s="106" t="s">
        <v>105</v>
      </c>
      <c r="H97" s="2"/>
      <c r="I97" s="2"/>
      <c r="J97" s="115">
        <v>2534.9899999999998</v>
      </c>
      <c r="L97" s="106" t="s">
        <v>105</v>
      </c>
      <c r="M97" s="2"/>
      <c r="N97" s="2"/>
      <c r="O97" s="115">
        <v>2834.99</v>
      </c>
    </row>
    <row r="98" spans="2:15" x14ac:dyDescent="0.3">
      <c r="B98" s="106" t="s">
        <v>108</v>
      </c>
      <c r="C98" s="2"/>
      <c r="D98" s="2"/>
      <c r="E98" s="116">
        <v>359</v>
      </c>
      <c r="G98" s="106" t="s">
        <v>108</v>
      </c>
      <c r="H98" s="2"/>
      <c r="I98" s="2"/>
      <c r="J98" s="116">
        <v>325</v>
      </c>
      <c r="L98" s="106" t="s">
        <v>108</v>
      </c>
      <c r="M98" s="2"/>
      <c r="N98" s="2"/>
      <c r="O98" s="116">
        <v>300</v>
      </c>
    </row>
    <row r="99" spans="2:15" ht="15" thickBot="1" x14ac:dyDescent="0.35">
      <c r="B99" s="120" t="s">
        <v>99</v>
      </c>
      <c r="C99" s="119"/>
      <c r="D99" s="110"/>
      <c r="E99" s="118">
        <v>750.01000000000022</v>
      </c>
      <c r="G99" s="120" t="s">
        <v>99</v>
      </c>
      <c r="H99" s="119"/>
      <c r="I99" s="110"/>
      <c r="J99" s="118">
        <v>1425.0100000000002</v>
      </c>
      <c r="L99" s="120" t="s">
        <v>99</v>
      </c>
      <c r="M99" s="119"/>
      <c r="N99" s="110"/>
      <c r="O99" s="118">
        <v>1125.0100000000002</v>
      </c>
    </row>
    <row r="100" spans="2:15" ht="15" thickTop="1" x14ac:dyDescent="0.3">
      <c r="B100" s="106" t="s">
        <v>106</v>
      </c>
      <c r="C100" s="2"/>
      <c r="D100" s="2"/>
      <c r="E100" s="115">
        <v>126.00000000000001</v>
      </c>
      <c r="G100" s="106" t="s">
        <v>106</v>
      </c>
      <c r="H100" s="2"/>
      <c r="I100" s="2"/>
      <c r="J100" s="115">
        <v>148</v>
      </c>
      <c r="L100" s="106" t="s">
        <v>106</v>
      </c>
      <c r="M100" s="2"/>
      <c r="N100" s="2"/>
      <c r="O100" s="115">
        <v>188</v>
      </c>
    </row>
    <row r="101" spans="2:15" x14ac:dyDescent="0.3">
      <c r="B101" s="106" t="s">
        <v>110</v>
      </c>
      <c r="C101" s="2"/>
      <c r="D101" s="2"/>
      <c r="E101" s="116">
        <v>27.4</v>
      </c>
      <c r="G101" s="106" t="s">
        <v>110</v>
      </c>
      <c r="H101" s="2"/>
      <c r="I101" s="2"/>
      <c r="J101" s="116">
        <v>22</v>
      </c>
      <c r="L101" s="106" t="s">
        <v>110</v>
      </c>
      <c r="M101" s="2"/>
      <c r="N101" s="2"/>
      <c r="O101" s="116">
        <v>40</v>
      </c>
    </row>
    <row r="102" spans="2:15" ht="15" thickBot="1" x14ac:dyDescent="0.35">
      <c r="B102" s="120" t="s">
        <v>102</v>
      </c>
      <c r="C102" s="110"/>
      <c r="D102" s="110"/>
      <c r="E102" s="118">
        <v>51.999999999999986</v>
      </c>
      <c r="G102" s="120" t="s">
        <v>102</v>
      </c>
      <c r="H102" s="110"/>
      <c r="I102" s="110"/>
      <c r="J102" s="118">
        <v>110</v>
      </c>
      <c r="L102" s="120" t="s">
        <v>102</v>
      </c>
      <c r="M102" s="110"/>
      <c r="N102" s="110"/>
      <c r="O102" s="118">
        <v>70</v>
      </c>
    </row>
    <row r="103" spans="2:15" ht="15.6" thickTop="1" thickBot="1" x14ac:dyDescent="0.35">
      <c r="B103" s="107" t="s">
        <v>250</v>
      </c>
      <c r="C103" s="211"/>
      <c r="D103" s="108"/>
      <c r="E103" s="215"/>
      <c r="G103" s="107" t="s">
        <v>250</v>
      </c>
      <c r="H103" s="211"/>
      <c r="I103" s="108"/>
      <c r="J103" s="215"/>
      <c r="L103" s="107" t="s">
        <v>250</v>
      </c>
      <c r="M103" s="211"/>
      <c r="N103" s="108"/>
      <c r="O103" s="215"/>
    </row>
    <row r="104" spans="2:15" ht="15" thickTop="1" x14ac:dyDescent="0.3">
      <c r="B104" s="106" t="s">
        <v>251</v>
      </c>
      <c r="C104" s="201"/>
      <c r="D104" s="2"/>
      <c r="E104" s="117">
        <v>10</v>
      </c>
      <c r="G104" s="106" t="s">
        <v>251</v>
      </c>
      <c r="H104" s="201"/>
      <c r="I104" s="2"/>
      <c r="J104" s="117">
        <v>10</v>
      </c>
      <c r="L104" s="106" t="s">
        <v>251</v>
      </c>
      <c r="M104" s="201"/>
      <c r="N104" s="2"/>
      <c r="O104" s="117">
        <v>10</v>
      </c>
    </row>
    <row r="105" spans="2:15" x14ac:dyDescent="0.3">
      <c r="B105" s="106" t="s">
        <v>273</v>
      </c>
      <c r="C105" s="212"/>
      <c r="D105" s="213"/>
      <c r="E105" s="115">
        <v>0</v>
      </c>
      <c r="G105" s="106" t="s">
        <v>273</v>
      </c>
      <c r="H105" s="212"/>
      <c r="I105" s="213"/>
      <c r="J105" s="115">
        <v>0</v>
      </c>
      <c r="L105" s="106" t="s">
        <v>273</v>
      </c>
      <c r="M105" s="212"/>
      <c r="N105" s="213"/>
      <c r="O105" s="115">
        <v>0</v>
      </c>
    </row>
    <row r="106" spans="2:15" x14ac:dyDescent="0.3">
      <c r="B106" s="106" t="s">
        <v>272</v>
      </c>
      <c r="C106" s="212"/>
      <c r="D106" s="213"/>
      <c r="E106" s="115">
        <v>0</v>
      </c>
      <c r="G106" s="106" t="s">
        <v>272</v>
      </c>
      <c r="H106" s="212"/>
      <c r="I106" s="213"/>
      <c r="J106" s="115">
        <v>0</v>
      </c>
      <c r="L106" s="106" t="s">
        <v>272</v>
      </c>
      <c r="M106" s="212"/>
      <c r="N106" s="213"/>
      <c r="O106" s="115">
        <v>0</v>
      </c>
    </row>
    <row r="107" spans="2:15" x14ac:dyDescent="0.3">
      <c r="B107" s="106" t="s">
        <v>97</v>
      </c>
      <c r="C107" s="2"/>
      <c r="D107" s="2"/>
      <c r="E107" s="114">
        <v>1200</v>
      </c>
      <c r="G107" s="106" t="s">
        <v>97</v>
      </c>
      <c r="H107" s="2"/>
      <c r="I107" s="2"/>
      <c r="J107" s="114">
        <v>1330</v>
      </c>
      <c r="L107" s="106" t="s">
        <v>97</v>
      </c>
      <c r="M107" s="2"/>
      <c r="N107" s="2"/>
      <c r="O107" s="114">
        <v>1460</v>
      </c>
    </row>
    <row r="108" spans="2:15" x14ac:dyDescent="0.3">
      <c r="B108" s="106" t="s">
        <v>104</v>
      </c>
      <c r="C108" s="2"/>
      <c r="D108" s="2"/>
      <c r="E108" s="113">
        <v>92.307692307692307</v>
      </c>
      <c r="G108" s="106" t="s">
        <v>104</v>
      </c>
      <c r="H108" s="2"/>
      <c r="I108" s="2"/>
      <c r="J108" s="113">
        <v>102.30769230769231</v>
      </c>
      <c r="L108" s="106" t="s">
        <v>104</v>
      </c>
      <c r="M108" s="2"/>
      <c r="N108" s="2"/>
      <c r="O108" s="113">
        <v>112.30769230769231</v>
      </c>
    </row>
    <row r="109" spans="2:15" x14ac:dyDescent="0.3">
      <c r="B109" s="106" t="s">
        <v>259</v>
      </c>
      <c r="C109" s="2"/>
      <c r="D109" s="2"/>
      <c r="E109" s="114">
        <v>188</v>
      </c>
      <c r="G109" s="106" t="s">
        <v>259</v>
      </c>
      <c r="H109" s="2"/>
      <c r="I109" s="2"/>
      <c r="J109" s="114">
        <v>268</v>
      </c>
      <c r="L109" s="106" t="s">
        <v>259</v>
      </c>
      <c r="M109" s="2"/>
      <c r="N109" s="2"/>
      <c r="O109" s="114">
        <v>268</v>
      </c>
    </row>
    <row r="110" spans="2:15" ht="15" thickBot="1" x14ac:dyDescent="0.35">
      <c r="B110" s="106" t="s">
        <v>100</v>
      </c>
      <c r="C110" s="2"/>
      <c r="D110" s="214"/>
      <c r="E110" s="221">
        <v>0</v>
      </c>
      <c r="G110" s="106" t="s">
        <v>100</v>
      </c>
      <c r="H110" s="2"/>
      <c r="I110" s="214"/>
      <c r="J110" s="221">
        <v>0</v>
      </c>
      <c r="L110" s="106" t="s">
        <v>100</v>
      </c>
      <c r="M110" s="2"/>
      <c r="N110" s="214"/>
      <c r="O110" s="221">
        <v>0</v>
      </c>
    </row>
    <row r="111" spans="2:15" ht="15.6" thickTop="1" thickBot="1" x14ac:dyDescent="0.35">
      <c r="B111" s="111" t="s">
        <v>98</v>
      </c>
      <c r="C111" s="112"/>
      <c r="D111" s="216"/>
      <c r="E111" s="217">
        <v>1388</v>
      </c>
      <c r="G111" s="111" t="s">
        <v>98</v>
      </c>
      <c r="H111" s="112"/>
      <c r="I111" s="216"/>
      <c r="J111" s="217">
        <v>1598</v>
      </c>
      <c r="L111" s="111" t="s">
        <v>98</v>
      </c>
      <c r="M111" s="112"/>
      <c r="N111" s="216"/>
      <c r="O111" s="217">
        <v>1728</v>
      </c>
    </row>
    <row r="112" spans="2:15" ht="15.6" thickTop="1" thickBot="1" x14ac:dyDescent="0.35">
      <c r="B112" s="111" t="s">
        <v>103</v>
      </c>
      <c r="C112" s="112"/>
      <c r="D112" s="216"/>
      <c r="E112" s="234">
        <v>802.01000000000022</v>
      </c>
      <c r="G112" s="111" t="s">
        <v>103</v>
      </c>
      <c r="H112" s="112"/>
      <c r="I112" s="216"/>
      <c r="J112" s="234">
        <v>1535.0100000000002</v>
      </c>
      <c r="L112" s="111" t="s">
        <v>103</v>
      </c>
      <c r="M112" s="112"/>
      <c r="N112" s="216"/>
      <c r="O112" s="234">
        <v>1195.0100000000002</v>
      </c>
    </row>
    <row r="113" spans="2:15" ht="15.6" thickTop="1" thickBot="1" x14ac:dyDescent="0.35"/>
    <row r="114" spans="2:15" ht="15.6" thickTop="1" thickBot="1" x14ac:dyDescent="0.35">
      <c r="B114" s="352" t="s">
        <v>96</v>
      </c>
      <c r="C114" s="359"/>
      <c r="D114" s="353"/>
      <c r="E114" s="131">
        <v>44788</v>
      </c>
      <c r="G114" s="352" t="s">
        <v>96</v>
      </c>
      <c r="H114" s="359"/>
      <c r="I114" s="353"/>
      <c r="J114" s="131">
        <v>44788</v>
      </c>
      <c r="L114" s="352" t="s">
        <v>96</v>
      </c>
      <c r="M114" s="359"/>
      <c r="N114" s="353"/>
      <c r="O114" s="131">
        <v>44788</v>
      </c>
    </row>
    <row r="115" spans="2:15" ht="15.6" thickTop="1" thickBot="1" x14ac:dyDescent="0.35">
      <c r="B115" s="356"/>
      <c r="C115" s="360"/>
      <c r="D115" s="357"/>
      <c r="E115" s="131">
        <v>45153</v>
      </c>
      <c r="G115" s="356"/>
      <c r="H115" s="360"/>
      <c r="I115" s="357"/>
      <c r="J115" s="131">
        <v>45184</v>
      </c>
      <c r="L115" s="356"/>
      <c r="M115" s="360"/>
      <c r="N115" s="357"/>
      <c r="O115" s="131">
        <v>45214</v>
      </c>
    </row>
    <row r="116" spans="2:15" ht="15.6" thickTop="1" thickBot="1" x14ac:dyDescent="0.35">
      <c r="B116" s="106" t="s">
        <v>95</v>
      </c>
      <c r="C116" s="2"/>
      <c r="D116" s="2"/>
      <c r="E116" s="200">
        <v>1690</v>
      </c>
      <c r="G116" s="106" t="s">
        <v>95</v>
      </c>
      <c r="H116" s="2"/>
      <c r="I116" s="2"/>
      <c r="J116" s="200">
        <v>1820</v>
      </c>
      <c r="L116" s="106" t="s">
        <v>95</v>
      </c>
      <c r="M116" s="2"/>
      <c r="N116" s="2"/>
      <c r="O116" s="200">
        <v>1950</v>
      </c>
    </row>
    <row r="117" spans="2:15" ht="15.6" thickTop="1" thickBot="1" x14ac:dyDescent="0.35">
      <c r="B117" s="107" t="s">
        <v>183</v>
      </c>
      <c r="C117" s="108"/>
      <c r="D117" s="108"/>
      <c r="E117" s="208"/>
      <c r="G117" s="107" t="s">
        <v>183</v>
      </c>
      <c r="H117" s="108"/>
      <c r="I117" s="108"/>
      <c r="J117" s="208"/>
      <c r="L117" s="107" t="s">
        <v>183</v>
      </c>
      <c r="M117" s="108"/>
      <c r="N117" s="108"/>
      <c r="O117" s="208"/>
    </row>
    <row r="118" spans="2:15" ht="15" thickTop="1" x14ac:dyDescent="0.3">
      <c r="B118" s="206" t="s">
        <v>247</v>
      </c>
      <c r="C118" s="2"/>
      <c r="D118" s="2"/>
      <c r="E118" s="199">
        <v>4460</v>
      </c>
      <c r="G118" s="206" t="s">
        <v>247</v>
      </c>
      <c r="H118" s="2"/>
      <c r="I118" s="2"/>
      <c r="J118" s="199">
        <v>5160</v>
      </c>
      <c r="L118" s="206" t="s">
        <v>247</v>
      </c>
      <c r="M118" s="2"/>
      <c r="N118" s="2"/>
      <c r="O118" s="199">
        <v>6360</v>
      </c>
    </row>
    <row r="119" spans="2:15" x14ac:dyDescent="0.3">
      <c r="B119" s="207" t="s">
        <v>248</v>
      </c>
      <c r="C119" s="2"/>
      <c r="D119" s="2"/>
      <c r="E119" s="115">
        <v>100</v>
      </c>
      <c r="G119" s="207" t="s">
        <v>248</v>
      </c>
      <c r="H119" s="2"/>
      <c r="I119" s="2"/>
      <c r="J119" s="115">
        <v>100</v>
      </c>
      <c r="L119" s="207" t="s">
        <v>248</v>
      </c>
      <c r="M119" s="2"/>
      <c r="N119" s="2"/>
      <c r="O119" s="115">
        <v>100</v>
      </c>
    </row>
    <row r="120" spans="2:15" x14ac:dyDescent="0.3">
      <c r="B120" s="106" t="s">
        <v>107</v>
      </c>
      <c r="C120" s="2"/>
      <c r="D120" s="2"/>
      <c r="E120" s="116">
        <v>200</v>
      </c>
      <c r="G120" s="106" t="s">
        <v>107</v>
      </c>
      <c r="H120" s="2"/>
      <c r="I120" s="2"/>
      <c r="J120" s="116">
        <v>700</v>
      </c>
      <c r="L120" s="106" t="s">
        <v>107</v>
      </c>
      <c r="M120" s="2"/>
      <c r="N120" s="2"/>
      <c r="O120" s="116">
        <v>1200</v>
      </c>
    </row>
    <row r="121" spans="2:15" x14ac:dyDescent="0.3">
      <c r="B121" s="207" t="s">
        <v>249</v>
      </c>
      <c r="C121" s="2"/>
      <c r="D121" s="2"/>
      <c r="E121" s="209">
        <v>268</v>
      </c>
      <c r="G121" s="207" t="s">
        <v>249</v>
      </c>
      <c r="H121" s="2"/>
      <c r="I121" s="2"/>
      <c r="J121" s="209">
        <v>338</v>
      </c>
      <c r="L121" s="207" t="s">
        <v>249</v>
      </c>
      <c r="M121" s="2"/>
      <c r="N121" s="2"/>
      <c r="O121" s="209">
        <v>458</v>
      </c>
    </row>
    <row r="122" spans="2:15" ht="15" thickBot="1" x14ac:dyDescent="0.35">
      <c r="B122" s="106" t="s">
        <v>109</v>
      </c>
      <c r="C122" s="2"/>
      <c r="D122" s="2"/>
      <c r="E122" s="116">
        <v>4</v>
      </c>
      <c r="G122" s="106" t="s">
        <v>109</v>
      </c>
      <c r="H122" s="2"/>
      <c r="I122" s="2"/>
      <c r="J122" s="116">
        <v>70</v>
      </c>
      <c r="L122" s="106" t="s">
        <v>109</v>
      </c>
      <c r="M122" s="2"/>
      <c r="N122" s="2"/>
      <c r="O122" s="116">
        <v>120</v>
      </c>
    </row>
    <row r="123" spans="2:15" ht="15.6" thickTop="1" thickBot="1" x14ac:dyDescent="0.35">
      <c r="B123" s="210" t="s">
        <v>41</v>
      </c>
      <c r="C123" s="108"/>
      <c r="D123" s="108"/>
      <c r="E123" s="208"/>
      <c r="G123" s="210" t="s">
        <v>41</v>
      </c>
      <c r="H123" s="108"/>
      <c r="I123" s="108"/>
      <c r="J123" s="208"/>
      <c r="L123" s="210" t="s">
        <v>41</v>
      </c>
      <c r="M123" s="108"/>
      <c r="N123" s="108"/>
      <c r="O123" s="208"/>
    </row>
    <row r="124" spans="2:15" ht="15" thickTop="1" x14ac:dyDescent="0.3">
      <c r="B124" s="106" t="s">
        <v>105</v>
      </c>
      <c r="C124" s="2"/>
      <c r="D124" s="2"/>
      <c r="E124" s="115">
        <v>3134.99</v>
      </c>
      <c r="G124" s="106" t="s">
        <v>105</v>
      </c>
      <c r="H124" s="2"/>
      <c r="I124" s="2"/>
      <c r="J124" s="115">
        <v>3459.99</v>
      </c>
      <c r="L124" s="106" t="s">
        <v>105</v>
      </c>
      <c r="M124" s="2"/>
      <c r="N124" s="2"/>
      <c r="O124" s="115">
        <v>4584.99</v>
      </c>
    </row>
    <row r="125" spans="2:15" x14ac:dyDescent="0.3">
      <c r="B125" s="106" t="s">
        <v>108</v>
      </c>
      <c r="C125" s="2"/>
      <c r="D125" s="2"/>
      <c r="E125" s="116">
        <v>300</v>
      </c>
      <c r="G125" s="106" t="s">
        <v>108</v>
      </c>
      <c r="H125" s="2"/>
      <c r="I125" s="2"/>
      <c r="J125" s="116">
        <v>325</v>
      </c>
      <c r="L125" s="106" t="s">
        <v>108</v>
      </c>
      <c r="M125" s="2"/>
      <c r="N125" s="2"/>
      <c r="O125" s="116">
        <v>1125</v>
      </c>
    </row>
    <row r="126" spans="2:15" ht="15" thickBot="1" x14ac:dyDescent="0.35">
      <c r="B126" s="120" t="s">
        <v>99</v>
      </c>
      <c r="C126" s="119"/>
      <c r="D126" s="110"/>
      <c r="E126" s="118">
        <v>1325.0100000000002</v>
      </c>
      <c r="G126" s="120" t="s">
        <v>99</v>
      </c>
      <c r="H126" s="119"/>
      <c r="I126" s="110"/>
      <c r="J126" s="118">
        <v>1700.0100000000002</v>
      </c>
      <c r="L126" s="120" t="s">
        <v>99</v>
      </c>
      <c r="M126" s="119"/>
      <c r="N126" s="110"/>
      <c r="O126" s="118">
        <v>1775.0100000000002</v>
      </c>
    </row>
    <row r="127" spans="2:15" ht="15" thickTop="1" x14ac:dyDescent="0.3">
      <c r="B127" s="106" t="s">
        <v>106</v>
      </c>
      <c r="C127" s="2"/>
      <c r="D127" s="2"/>
      <c r="E127" s="115">
        <v>220</v>
      </c>
      <c r="G127" s="106" t="s">
        <v>106</v>
      </c>
      <c r="H127" s="2"/>
      <c r="I127" s="2"/>
      <c r="J127" s="115">
        <v>248</v>
      </c>
      <c r="L127" s="106" t="s">
        <v>106</v>
      </c>
      <c r="M127" s="2"/>
      <c r="N127" s="2"/>
      <c r="O127" s="115">
        <v>282</v>
      </c>
    </row>
    <row r="128" spans="2:15" x14ac:dyDescent="0.3">
      <c r="B128" s="106" t="s">
        <v>110</v>
      </c>
      <c r="C128" s="2"/>
      <c r="D128" s="2"/>
      <c r="E128" s="116">
        <v>32</v>
      </c>
      <c r="G128" s="106" t="s">
        <v>110</v>
      </c>
      <c r="H128" s="2"/>
      <c r="I128" s="2"/>
      <c r="J128" s="116">
        <v>28</v>
      </c>
      <c r="L128" s="106" t="s">
        <v>110</v>
      </c>
      <c r="M128" s="2"/>
      <c r="N128" s="2"/>
      <c r="O128" s="116">
        <v>34</v>
      </c>
    </row>
    <row r="129" spans="2:15" ht="15" thickBot="1" x14ac:dyDescent="0.35">
      <c r="B129" s="120" t="s">
        <v>102</v>
      </c>
      <c r="C129" s="110"/>
      <c r="D129" s="110"/>
      <c r="E129" s="118">
        <v>48</v>
      </c>
      <c r="G129" s="120" t="s">
        <v>102</v>
      </c>
      <c r="H129" s="110"/>
      <c r="I129" s="110"/>
      <c r="J129" s="118">
        <v>90</v>
      </c>
      <c r="L129" s="120" t="s">
        <v>102</v>
      </c>
      <c r="M129" s="110"/>
      <c r="N129" s="110"/>
      <c r="O129" s="118">
        <v>176</v>
      </c>
    </row>
    <row r="130" spans="2:15" ht="15.6" thickTop="1" thickBot="1" x14ac:dyDescent="0.35">
      <c r="B130" s="107" t="s">
        <v>250</v>
      </c>
      <c r="C130" s="211"/>
      <c r="D130" s="108"/>
      <c r="E130" s="215"/>
      <c r="G130" s="107" t="s">
        <v>250</v>
      </c>
      <c r="H130" s="211"/>
      <c r="I130" s="108"/>
      <c r="J130" s="215"/>
      <c r="L130" s="107" t="s">
        <v>250</v>
      </c>
      <c r="M130" s="211"/>
      <c r="N130" s="108"/>
      <c r="O130" s="215"/>
    </row>
    <row r="131" spans="2:15" ht="15" thickTop="1" x14ac:dyDescent="0.3">
      <c r="B131" s="106" t="s">
        <v>251</v>
      </c>
      <c r="C131" s="201"/>
      <c r="D131" s="2"/>
      <c r="E131" s="117">
        <v>10</v>
      </c>
      <c r="G131" s="106" t="s">
        <v>251</v>
      </c>
      <c r="H131" s="201"/>
      <c r="I131" s="2"/>
      <c r="J131" s="117">
        <v>10</v>
      </c>
      <c r="L131" s="106" t="s">
        <v>251</v>
      </c>
      <c r="M131" s="201"/>
      <c r="N131" s="2"/>
      <c r="O131" s="117">
        <v>10</v>
      </c>
    </row>
    <row r="132" spans="2:15" x14ac:dyDescent="0.3">
      <c r="B132" s="106" t="s">
        <v>273</v>
      </c>
      <c r="C132" s="212"/>
      <c r="D132" s="213"/>
      <c r="E132" s="115">
        <v>250</v>
      </c>
      <c r="G132" s="106" t="s">
        <v>273</v>
      </c>
      <c r="H132" s="212"/>
      <c r="I132" s="213"/>
      <c r="J132" s="115">
        <v>250</v>
      </c>
      <c r="L132" s="106" t="s">
        <v>273</v>
      </c>
      <c r="M132" s="212"/>
      <c r="N132" s="213"/>
      <c r="O132" s="115">
        <v>250</v>
      </c>
    </row>
    <row r="133" spans="2:15" x14ac:dyDescent="0.3">
      <c r="B133" s="106" t="s">
        <v>272</v>
      </c>
      <c r="C133" s="212"/>
      <c r="D133" s="213"/>
      <c r="E133" s="115">
        <v>0</v>
      </c>
      <c r="G133" s="106" t="s">
        <v>272</v>
      </c>
      <c r="H133" s="212"/>
      <c r="I133" s="213"/>
      <c r="J133" s="115">
        <v>0</v>
      </c>
      <c r="L133" s="106" t="s">
        <v>272</v>
      </c>
      <c r="M133" s="212"/>
      <c r="N133" s="213"/>
      <c r="O133" s="115">
        <v>0</v>
      </c>
    </row>
    <row r="134" spans="2:15" x14ac:dyDescent="0.3">
      <c r="B134" s="106" t="s">
        <v>97</v>
      </c>
      <c r="C134" s="2"/>
      <c r="D134" s="2"/>
      <c r="E134" s="114">
        <v>1590</v>
      </c>
      <c r="G134" s="106" t="s">
        <v>97</v>
      </c>
      <c r="H134" s="2"/>
      <c r="I134" s="2"/>
      <c r="J134" s="114">
        <v>1720</v>
      </c>
      <c r="L134" s="106" t="s">
        <v>97</v>
      </c>
      <c r="M134" s="2"/>
      <c r="N134" s="2"/>
      <c r="O134" s="114">
        <v>1850</v>
      </c>
    </row>
    <row r="135" spans="2:15" x14ac:dyDescent="0.3">
      <c r="B135" s="106" t="s">
        <v>104</v>
      </c>
      <c r="C135" s="2"/>
      <c r="D135" s="2"/>
      <c r="E135" s="113">
        <v>122.30769230769231</v>
      </c>
      <c r="G135" s="106" t="s">
        <v>104</v>
      </c>
      <c r="H135" s="2"/>
      <c r="I135" s="2"/>
      <c r="J135" s="113">
        <v>132.30769230769232</v>
      </c>
      <c r="L135" s="106" t="s">
        <v>104</v>
      </c>
      <c r="M135" s="2"/>
      <c r="N135" s="2"/>
      <c r="O135" s="113">
        <v>142.30769230769232</v>
      </c>
    </row>
    <row r="136" spans="2:15" x14ac:dyDescent="0.3">
      <c r="B136" s="106" t="s">
        <v>259</v>
      </c>
      <c r="C136" s="2"/>
      <c r="D136" s="2"/>
      <c r="E136" s="114">
        <v>28</v>
      </c>
      <c r="G136" s="106" t="s">
        <v>259</v>
      </c>
      <c r="H136" s="2"/>
      <c r="I136" s="2"/>
      <c r="J136" s="114">
        <v>98</v>
      </c>
      <c r="L136" s="106" t="s">
        <v>259</v>
      </c>
      <c r="M136" s="2"/>
      <c r="N136" s="2"/>
      <c r="O136" s="114">
        <v>218</v>
      </c>
    </row>
    <row r="137" spans="2:15" ht="15" thickBot="1" x14ac:dyDescent="0.35">
      <c r="B137" s="106" t="s">
        <v>100</v>
      </c>
      <c r="C137" s="2"/>
      <c r="D137" s="214"/>
      <c r="E137" s="221">
        <v>0</v>
      </c>
      <c r="G137" s="106" t="s">
        <v>100</v>
      </c>
      <c r="H137" s="2"/>
      <c r="I137" s="214"/>
      <c r="J137" s="221">
        <v>67</v>
      </c>
      <c r="L137" s="106" t="s">
        <v>100</v>
      </c>
      <c r="M137" s="2"/>
      <c r="N137" s="214"/>
      <c r="O137" s="221">
        <v>156</v>
      </c>
    </row>
    <row r="138" spans="2:15" ht="15.6" thickTop="1" thickBot="1" x14ac:dyDescent="0.35">
      <c r="B138" s="111" t="s">
        <v>98</v>
      </c>
      <c r="C138" s="112"/>
      <c r="D138" s="216"/>
      <c r="E138" s="217">
        <v>1618</v>
      </c>
      <c r="G138" s="111" t="s">
        <v>98</v>
      </c>
      <c r="H138" s="112"/>
      <c r="I138" s="216"/>
      <c r="J138" s="217">
        <v>1885</v>
      </c>
      <c r="L138" s="111" t="s">
        <v>98</v>
      </c>
      <c r="M138" s="112"/>
      <c r="N138" s="216"/>
      <c r="O138" s="217">
        <v>2224</v>
      </c>
    </row>
    <row r="139" spans="2:15" ht="15.6" thickTop="1" thickBot="1" x14ac:dyDescent="0.35">
      <c r="B139" s="111" t="s">
        <v>103</v>
      </c>
      <c r="C139" s="112"/>
      <c r="D139" s="216"/>
      <c r="E139" s="234">
        <v>1373.0100000000002</v>
      </c>
      <c r="G139" s="111" t="s">
        <v>103</v>
      </c>
      <c r="H139" s="112"/>
      <c r="I139" s="216"/>
      <c r="J139" s="234">
        <v>1857.0100000000002</v>
      </c>
      <c r="L139" s="111" t="s">
        <v>103</v>
      </c>
      <c r="M139" s="112"/>
      <c r="N139" s="216"/>
      <c r="O139" s="234">
        <v>2107.0100000000002</v>
      </c>
    </row>
    <row r="140" spans="2:15" ht="15.6" thickTop="1" thickBot="1" x14ac:dyDescent="0.35"/>
    <row r="141" spans="2:15" ht="15.6" thickTop="1" thickBot="1" x14ac:dyDescent="0.35">
      <c r="B141" s="352" t="s">
        <v>96</v>
      </c>
      <c r="C141" s="359"/>
      <c r="D141" s="353"/>
      <c r="E141" s="131">
        <v>44788</v>
      </c>
      <c r="G141" s="352" t="s">
        <v>96</v>
      </c>
      <c r="H141" s="359"/>
      <c r="I141" s="353"/>
      <c r="J141" s="131">
        <v>44788</v>
      </c>
      <c r="L141" s="352" t="s">
        <v>96</v>
      </c>
      <c r="M141" s="359"/>
      <c r="N141" s="353"/>
      <c r="O141" s="131">
        <v>44788</v>
      </c>
    </row>
    <row r="142" spans="2:15" ht="15.6" thickTop="1" thickBot="1" x14ac:dyDescent="0.35">
      <c r="B142" s="356"/>
      <c r="C142" s="360"/>
      <c r="D142" s="357"/>
      <c r="E142" s="131">
        <v>45245</v>
      </c>
      <c r="G142" s="356"/>
      <c r="H142" s="360"/>
      <c r="I142" s="357"/>
      <c r="J142" s="131">
        <v>45275</v>
      </c>
      <c r="L142" s="356"/>
      <c r="M142" s="360"/>
      <c r="N142" s="357"/>
      <c r="O142" s="131">
        <v>45306</v>
      </c>
    </row>
    <row r="143" spans="2:15" ht="15.6" thickTop="1" thickBot="1" x14ac:dyDescent="0.35">
      <c r="B143" s="106" t="s">
        <v>95</v>
      </c>
      <c r="C143" s="2"/>
      <c r="D143" s="2"/>
      <c r="E143" s="200">
        <v>2080</v>
      </c>
      <c r="G143" s="106" t="s">
        <v>95</v>
      </c>
      <c r="H143" s="2"/>
      <c r="I143" s="2"/>
      <c r="J143" s="200">
        <v>2210</v>
      </c>
      <c r="L143" s="106" t="s">
        <v>95</v>
      </c>
      <c r="M143" s="2"/>
      <c r="N143" s="2"/>
      <c r="O143" s="200">
        <v>2340</v>
      </c>
    </row>
    <row r="144" spans="2:15" ht="15.6" thickTop="1" thickBot="1" x14ac:dyDescent="0.35">
      <c r="B144" s="107" t="s">
        <v>183</v>
      </c>
      <c r="C144" s="108"/>
      <c r="D144" s="108"/>
      <c r="E144" s="208"/>
      <c r="G144" s="107" t="s">
        <v>183</v>
      </c>
      <c r="H144" s="108"/>
      <c r="I144" s="108"/>
      <c r="J144" s="208"/>
      <c r="L144" s="107" t="s">
        <v>183</v>
      </c>
      <c r="M144" s="108"/>
      <c r="N144" s="108"/>
      <c r="O144" s="208"/>
    </row>
    <row r="145" spans="2:15" ht="15" thickTop="1" x14ac:dyDescent="0.3">
      <c r="B145" s="206" t="s">
        <v>247</v>
      </c>
      <c r="C145" s="2"/>
      <c r="D145" s="2"/>
      <c r="E145" s="199">
        <v>6810</v>
      </c>
      <c r="G145" s="206" t="s">
        <v>247</v>
      </c>
      <c r="H145" s="2"/>
      <c r="I145" s="2"/>
      <c r="J145" s="199">
        <v>6810</v>
      </c>
      <c r="L145" s="206" t="s">
        <v>247</v>
      </c>
      <c r="M145" s="2"/>
      <c r="N145" s="2"/>
      <c r="O145" s="199">
        <v>7310</v>
      </c>
    </row>
    <row r="146" spans="2:15" x14ac:dyDescent="0.3">
      <c r="B146" s="207" t="s">
        <v>248</v>
      </c>
      <c r="C146" s="2"/>
      <c r="D146" s="2"/>
      <c r="E146" s="115">
        <v>100</v>
      </c>
      <c r="G146" s="207" t="s">
        <v>248</v>
      </c>
      <c r="H146" s="2"/>
      <c r="I146" s="2"/>
      <c r="J146" s="115">
        <v>100</v>
      </c>
      <c r="L146" s="207" t="s">
        <v>248</v>
      </c>
      <c r="M146" s="2"/>
      <c r="N146" s="2"/>
      <c r="O146" s="115">
        <v>100</v>
      </c>
    </row>
    <row r="147" spans="2:15" x14ac:dyDescent="0.3">
      <c r="B147" s="106" t="s">
        <v>107</v>
      </c>
      <c r="C147" s="2"/>
      <c r="D147" s="2"/>
      <c r="E147" s="116">
        <v>450</v>
      </c>
      <c r="G147" s="106" t="s">
        <v>107</v>
      </c>
      <c r="H147" s="2"/>
      <c r="I147" s="2"/>
      <c r="J147" s="116">
        <v>0</v>
      </c>
      <c r="L147" s="106" t="s">
        <v>107</v>
      </c>
      <c r="M147" s="2"/>
      <c r="N147" s="2"/>
      <c r="O147" s="116">
        <v>500</v>
      </c>
    </row>
    <row r="148" spans="2:15" x14ac:dyDescent="0.3">
      <c r="B148" s="207" t="s">
        <v>249</v>
      </c>
      <c r="C148" s="2"/>
      <c r="D148" s="2"/>
      <c r="E148" s="209">
        <v>494</v>
      </c>
      <c r="G148" s="207" t="s">
        <v>249</v>
      </c>
      <c r="H148" s="2"/>
      <c r="I148" s="2"/>
      <c r="J148" s="209">
        <v>494</v>
      </c>
      <c r="L148" s="207" t="s">
        <v>249</v>
      </c>
      <c r="M148" s="2"/>
      <c r="N148" s="2"/>
      <c r="O148" s="209">
        <v>514</v>
      </c>
    </row>
    <row r="149" spans="2:15" ht="15" thickBot="1" x14ac:dyDescent="0.35">
      <c r="B149" s="106" t="s">
        <v>109</v>
      </c>
      <c r="C149" s="2"/>
      <c r="D149" s="2"/>
      <c r="E149" s="116">
        <v>36</v>
      </c>
      <c r="G149" s="106" t="s">
        <v>109</v>
      </c>
      <c r="H149" s="2"/>
      <c r="I149" s="2"/>
      <c r="J149" s="116">
        <v>0</v>
      </c>
      <c r="L149" s="106" t="s">
        <v>109</v>
      </c>
      <c r="M149" s="2"/>
      <c r="N149" s="2"/>
      <c r="O149" s="116">
        <v>20</v>
      </c>
    </row>
    <row r="150" spans="2:15" ht="15.6" thickTop="1" thickBot="1" x14ac:dyDescent="0.35">
      <c r="B150" s="210" t="s">
        <v>41</v>
      </c>
      <c r="C150" s="108"/>
      <c r="D150" s="108"/>
      <c r="E150" s="208"/>
      <c r="G150" s="210" t="s">
        <v>41</v>
      </c>
      <c r="H150" s="108"/>
      <c r="I150" s="108"/>
      <c r="J150" s="208"/>
      <c r="L150" s="210" t="s">
        <v>41</v>
      </c>
      <c r="M150" s="108"/>
      <c r="N150" s="108"/>
      <c r="O150" s="208"/>
    </row>
    <row r="151" spans="2:15" ht="15" thickTop="1" x14ac:dyDescent="0.3">
      <c r="B151" s="106" t="s">
        <v>105</v>
      </c>
      <c r="C151" s="2"/>
      <c r="D151" s="2"/>
      <c r="E151" s="115">
        <v>4717.13</v>
      </c>
      <c r="G151" s="106" t="s">
        <v>105</v>
      </c>
      <c r="H151" s="2"/>
      <c r="I151" s="2"/>
      <c r="J151" s="115">
        <v>4849.2700000000004</v>
      </c>
      <c r="L151" s="106" t="s">
        <v>105</v>
      </c>
      <c r="M151" s="2"/>
      <c r="N151" s="2"/>
      <c r="O151" s="115">
        <v>5281.4100000000008</v>
      </c>
    </row>
    <row r="152" spans="2:15" x14ac:dyDescent="0.3">
      <c r="B152" s="106" t="s">
        <v>108</v>
      </c>
      <c r="C152" s="2"/>
      <c r="D152" s="2"/>
      <c r="E152" s="116">
        <v>132.13999999999999</v>
      </c>
      <c r="G152" s="106" t="s">
        <v>108</v>
      </c>
      <c r="H152" s="2"/>
      <c r="I152" s="2"/>
      <c r="J152" s="116">
        <v>132.13999999999999</v>
      </c>
      <c r="L152" s="106" t="s">
        <v>108</v>
      </c>
      <c r="M152" s="2"/>
      <c r="N152" s="2"/>
      <c r="O152" s="116">
        <v>432.14</v>
      </c>
    </row>
    <row r="153" spans="2:15" ht="15" thickBot="1" x14ac:dyDescent="0.35">
      <c r="B153" s="120" t="s">
        <v>99</v>
      </c>
      <c r="C153" s="119"/>
      <c r="D153" s="110"/>
      <c r="E153" s="118">
        <v>2092.87</v>
      </c>
      <c r="G153" s="120" t="s">
        <v>99</v>
      </c>
      <c r="H153" s="119"/>
      <c r="I153" s="110"/>
      <c r="J153" s="118">
        <v>1960.7299999999996</v>
      </c>
      <c r="L153" s="120" t="s">
        <v>99</v>
      </c>
      <c r="M153" s="119"/>
      <c r="N153" s="110"/>
      <c r="O153" s="118">
        <v>2028.5899999999992</v>
      </c>
    </row>
    <row r="154" spans="2:15" ht="15" thickTop="1" x14ac:dyDescent="0.3">
      <c r="B154" s="106" t="s">
        <v>106</v>
      </c>
      <c r="C154" s="2"/>
      <c r="D154" s="2"/>
      <c r="E154" s="115">
        <v>318</v>
      </c>
      <c r="G154" s="106" t="s">
        <v>106</v>
      </c>
      <c r="H154" s="2"/>
      <c r="I154" s="2"/>
      <c r="J154" s="115">
        <v>363</v>
      </c>
      <c r="L154" s="106" t="s">
        <v>106</v>
      </c>
      <c r="M154" s="2"/>
      <c r="N154" s="2"/>
      <c r="O154" s="115">
        <v>412</v>
      </c>
    </row>
    <row r="155" spans="2:15" x14ac:dyDescent="0.3">
      <c r="B155" s="106" t="s">
        <v>110</v>
      </c>
      <c r="C155" s="2"/>
      <c r="D155" s="2"/>
      <c r="E155" s="116">
        <v>36</v>
      </c>
      <c r="G155" s="106" t="s">
        <v>110</v>
      </c>
      <c r="H155" s="2"/>
      <c r="I155" s="2"/>
      <c r="J155" s="116">
        <v>45</v>
      </c>
      <c r="L155" s="106" t="s">
        <v>110</v>
      </c>
      <c r="M155" s="2"/>
      <c r="N155" s="2"/>
      <c r="O155" s="116">
        <v>49</v>
      </c>
    </row>
    <row r="156" spans="2:15" ht="15" thickBot="1" x14ac:dyDescent="0.35">
      <c r="B156" s="120" t="s">
        <v>102</v>
      </c>
      <c r="C156" s="110"/>
      <c r="D156" s="110"/>
      <c r="E156" s="118">
        <v>176</v>
      </c>
      <c r="G156" s="120" t="s">
        <v>102</v>
      </c>
      <c r="H156" s="110"/>
      <c r="I156" s="110"/>
      <c r="J156" s="118">
        <v>131</v>
      </c>
      <c r="L156" s="120" t="s">
        <v>102</v>
      </c>
      <c r="M156" s="110"/>
      <c r="N156" s="110"/>
      <c r="O156" s="118">
        <v>102</v>
      </c>
    </row>
    <row r="157" spans="2:15" ht="15.6" thickTop="1" thickBot="1" x14ac:dyDescent="0.35">
      <c r="B157" s="107" t="s">
        <v>250</v>
      </c>
      <c r="C157" s="211"/>
      <c r="D157" s="108"/>
      <c r="E157" s="215"/>
      <c r="G157" s="107" t="s">
        <v>250</v>
      </c>
      <c r="H157" s="211"/>
      <c r="I157" s="108"/>
      <c r="J157" s="215"/>
      <c r="L157" s="107" t="s">
        <v>250</v>
      </c>
      <c r="M157" s="211"/>
      <c r="N157" s="108"/>
      <c r="O157" s="215"/>
    </row>
    <row r="158" spans="2:15" ht="15" thickTop="1" x14ac:dyDescent="0.3">
      <c r="B158" s="106" t="s">
        <v>251</v>
      </c>
      <c r="C158" s="201"/>
      <c r="D158" s="2"/>
      <c r="E158" s="117">
        <v>11.5</v>
      </c>
      <c r="G158" s="106" t="s">
        <v>251</v>
      </c>
      <c r="H158" s="201"/>
      <c r="I158" s="2"/>
      <c r="J158" s="117">
        <v>11.5</v>
      </c>
      <c r="L158" s="106" t="s">
        <v>251</v>
      </c>
      <c r="M158" s="201"/>
      <c r="N158" s="2"/>
      <c r="O158" s="117">
        <v>11.5</v>
      </c>
    </row>
    <row r="159" spans="2:15" x14ac:dyDescent="0.3">
      <c r="B159" s="106" t="s">
        <v>273</v>
      </c>
      <c r="C159" s="212"/>
      <c r="D159" s="213"/>
      <c r="E159" s="115">
        <v>250</v>
      </c>
      <c r="G159" s="106" t="s">
        <v>273</v>
      </c>
      <c r="H159" s="212"/>
      <c r="I159" s="213"/>
      <c r="J159" s="115">
        <v>250</v>
      </c>
      <c r="L159" s="106" t="s">
        <v>273</v>
      </c>
      <c r="M159" s="212"/>
      <c r="N159" s="213"/>
      <c r="O159" s="115">
        <v>250</v>
      </c>
    </row>
    <row r="160" spans="2:15" x14ac:dyDescent="0.3">
      <c r="B160" s="106" t="s">
        <v>272</v>
      </c>
      <c r="C160" s="212"/>
      <c r="D160" s="213"/>
      <c r="E160" s="115">
        <v>0</v>
      </c>
      <c r="G160" s="106" t="s">
        <v>272</v>
      </c>
      <c r="H160" s="212"/>
      <c r="I160" s="213"/>
      <c r="J160" s="115">
        <v>0</v>
      </c>
      <c r="L160" s="106" t="s">
        <v>272</v>
      </c>
      <c r="M160" s="212"/>
      <c r="N160" s="213"/>
      <c r="O160" s="115">
        <v>10</v>
      </c>
    </row>
    <row r="161" spans="2:15" x14ac:dyDescent="0.3">
      <c r="B161" s="106" t="s">
        <v>97</v>
      </c>
      <c r="C161" s="2"/>
      <c r="D161" s="2"/>
      <c r="E161" s="114">
        <v>1980</v>
      </c>
      <c r="G161" s="106" t="s">
        <v>97</v>
      </c>
      <c r="H161" s="2"/>
      <c r="I161" s="2"/>
      <c r="J161" s="114">
        <v>2110</v>
      </c>
      <c r="L161" s="106" t="s">
        <v>97</v>
      </c>
      <c r="M161" s="2"/>
      <c r="N161" s="2"/>
      <c r="O161" s="114">
        <v>2240</v>
      </c>
    </row>
    <row r="162" spans="2:15" x14ac:dyDescent="0.3">
      <c r="B162" s="106" t="s">
        <v>104</v>
      </c>
      <c r="C162" s="2"/>
      <c r="D162" s="2"/>
      <c r="E162" s="113">
        <v>152.30769230769232</v>
      </c>
      <c r="G162" s="106" t="s">
        <v>104</v>
      </c>
      <c r="H162" s="2"/>
      <c r="I162" s="2"/>
      <c r="J162" s="113">
        <v>162.30769230769232</v>
      </c>
      <c r="L162" s="106" t="s">
        <v>104</v>
      </c>
      <c r="M162" s="2"/>
      <c r="N162" s="2"/>
      <c r="O162" s="113">
        <v>172.30769230769232</v>
      </c>
    </row>
    <row r="163" spans="2:15" x14ac:dyDescent="0.3">
      <c r="B163" s="106" t="s">
        <v>259</v>
      </c>
      <c r="C163" s="2"/>
      <c r="D163" s="2"/>
      <c r="E163" s="114">
        <v>255.5</v>
      </c>
      <c r="G163" s="106" t="s">
        <v>259</v>
      </c>
      <c r="H163" s="2"/>
      <c r="I163" s="2"/>
      <c r="J163" s="114">
        <v>255.5</v>
      </c>
      <c r="L163" s="106" t="s">
        <v>259</v>
      </c>
      <c r="M163" s="2"/>
      <c r="N163" s="2"/>
      <c r="O163" s="114">
        <v>265.5</v>
      </c>
    </row>
    <row r="164" spans="2:15" ht="15" thickBot="1" x14ac:dyDescent="0.35">
      <c r="B164" s="106" t="s">
        <v>100</v>
      </c>
      <c r="C164" s="2"/>
      <c r="D164" s="214"/>
      <c r="E164" s="221">
        <v>5.65</v>
      </c>
      <c r="G164" s="106" t="s">
        <v>100</v>
      </c>
      <c r="H164" s="2"/>
      <c r="I164" s="214"/>
      <c r="J164" s="221">
        <v>312.78999999999996</v>
      </c>
      <c r="L164" s="106" t="s">
        <v>100</v>
      </c>
      <c r="M164" s="2"/>
      <c r="N164" s="214"/>
      <c r="O164" s="221">
        <v>323.93</v>
      </c>
    </row>
    <row r="165" spans="2:15" ht="15.6" thickTop="1" thickBot="1" x14ac:dyDescent="0.35">
      <c r="B165" s="111" t="s">
        <v>98</v>
      </c>
      <c r="C165" s="112"/>
      <c r="D165" s="216"/>
      <c r="E165" s="217">
        <v>2241.15</v>
      </c>
      <c r="G165" s="111" t="s">
        <v>98</v>
      </c>
      <c r="H165" s="112"/>
      <c r="I165" s="216"/>
      <c r="J165" s="217">
        <v>2404.5199999999995</v>
      </c>
      <c r="L165" s="111" t="s">
        <v>98</v>
      </c>
      <c r="M165" s="112"/>
      <c r="N165" s="216"/>
      <c r="O165" s="217">
        <v>2829.43</v>
      </c>
    </row>
    <row r="166" spans="2:15" ht="15.6" thickTop="1" thickBot="1" x14ac:dyDescent="0.35">
      <c r="B166" s="111" t="s">
        <v>103</v>
      </c>
      <c r="C166" s="112"/>
      <c r="D166" s="216"/>
      <c r="E166" s="234">
        <v>2274.52</v>
      </c>
      <c r="G166" s="111" t="s">
        <v>103</v>
      </c>
      <c r="H166" s="112"/>
      <c r="I166" s="216"/>
      <c r="J166" s="234">
        <v>2365.5</v>
      </c>
      <c r="L166" s="111" t="s">
        <v>103</v>
      </c>
      <c r="M166" s="112"/>
      <c r="N166" s="216"/>
      <c r="O166" s="234">
        <v>2720.0199999999991</v>
      </c>
    </row>
    <row r="167" spans="2:15" ht="15.6" thickTop="1" thickBot="1" x14ac:dyDescent="0.35"/>
    <row r="168" spans="2:15" ht="15.6" thickTop="1" thickBot="1" x14ac:dyDescent="0.35">
      <c r="B168" s="352" t="s">
        <v>96</v>
      </c>
      <c r="C168" s="359"/>
      <c r="D168" s="353"/>
      <c r="E168" s="131">
        <v>44788</v>
      </c>
      <c r="G168" s="352" t="s">
        <v>96</v>
      </c>
      <c r="H168" s="359"/>
      <c r="I168" s="353"/>
      <c r="J168" s="131">
        <v>44788</v>
      </c>
      <c r="L168" s="352" t="s">
        <v>96</v>
      </c>
      <c r="M168" s="359"/>
      <c r="N168" s="353"/>
      <c r="O168" s="131">
        <v>44788</v>
      </c>
    </row>
    <row r="169" spans="2:15" ht="15.6" thickTop="1" thickBot="1" x14ac:dyDescent="0.35">
      <c r="B169" s="356"/>
      <c r="C169" s="360"/>
      <c r="D169" s="357"/>
      <c r="E169" s="131">
        <v>45337</v>
      </c>
      <c r="G169" s="356"/>
      <c r="H169" s="360"/>
      <c r="I169" s="357"/>
      <c r="J169" s="131">
        <v>45366</v>
      </c>
      <c r="L169" s="356"/>
      <c r="M169" s="360"/>
      <c r="N169" s="357"/>
      <c r="O169" s="131">
        <v>45397</v>
      </c>
    </row>
    <row r="170" spans="2:15" ht="15.6" thickTop="1" thickBot="1" x14ac:dyDescent="0.35">
      <c r="B170" s="106" t="s">
        <v>95</v>
      </c>
      <c r="C170" s="2"/>
      <c r="D170" s="2"/>
      <c r="E170" s="200">
        <v>2470</v>
      </c>
      <c r="G170" s="106" t="s">
        <v>95</v>
      </c>
      <c r="H170" s="2"/>
      <c r="I170" s="2"/>
      <c r="J170" s="200">
        <v>2600</v>
      </c>
      <c r="L170" s="106" t="s">
        <v>95</v>
      </c>
      <c r="M170" s="2"/>
      <c r="N170" s="2"/>
      <c r="O170" s="200">
        <v>2730</v>
      </c>
    </row>
    <row r="171" spans="2:15" ht="15.6" thickTop="1" thickBot="1" x14ac:dyDescent="0.35">
      <c r="B171" s="107" t="s">
        <v>183</v>
      </c>
      <c r="C171" s="108"/>
      <c r="D171" s="108"/>
      <c r="E171" s="208"/>
      <c r="G171" s="107" t="s">
        <v>183</v>
      </c>
      <c r="H171" s="108"/>
      <c r="I171" s="108"/>
      <c r="J171" s="208"/>
      <c r="L171" s="107" t="s">
        <v>183</v>
      </c>
      <c r="M171" s="108"/>
      <c r="N171" s="108"/>
      <c r="O171" s="208"/>
    </row>
    <row r="172" spans="2:15" ht="15" thickTop="1" x14ac:dyDescent="0.3">
      <c r="B172" s="206" t="s">
        <v>247</v>
      </c>
      <c r="C172" s="2"/>
      <c r="D172" s="2"/>
      <c r="E172" s="199">
        <v>8010</v>
      </c>
      <c r="G172" s="206" t="s">
        <v>247</v>
      </c>
      <c r="H172" s="2"/>
      <c r="I172" s="2"/>
      <c r="J172" s="199">
        <v>10210</v>
      </c>
      <c r="L172" s="206" t="s">
        <v>247</v>
      </c>
      <c r="M172" s="2"/>
      <c r="N172" s="2"/>
      <c r="O172" s="199">
        <v>10360</v>
      </c>
    </row>
    <row r="173" spans="2:15" x14ac:dyDescent="0.3">
      <c r="B173" s="207" t="s">
        <v>248</v>
      </c>
      <c r="C173" s="2"/>
      <c r="D173" s="2"/>
      <c r="E173" s="115">
        <v>100</v>
      </c>
      <c r="G173" s="207" t="s">
        <v>248</v>
      </c>
      <c r="H173" s="2"/>
      <c r="I173" s="2"/>
      <c r="J173" s="115">
        <v>100</v>
      </c>
      <c r="L173" s="207" t="s">
        <v>248</v>
      </c>
      <c r="M173" s="2"/>
      <c r="N173" s="2"/>
      <c r="O173" s="115">
        <v>200</v>
      </c>
    </row>
    <row r="174" spans="2:15" x14ac:dyDescent="0.3">
      <c r="B174" s="106" t="s">
        <v>107</v>
      </c>
      <c r="C174" s="2"/>
      <c r="D174" s="2"/>
      <c r="E174" s="116">
        <v>600</v>
      </c>
      <c r="G174" s="106" t="s">
        <v>107</v>
      </c>
      <c r="H174" s="2"/>
      <c r="I174" s="2"/>
      <c r="J174" s="116">
        <v>2100</v>
      </c>
      <c r="L174" s="106" t="s">
        <v>107</v>
      </c>
      <c r="M174" s="2"/>
      <c r="N174" s="2"/>
      <c r="O174" s="116">
        <v>150</v>
      </c>
    </row>
    <row r="175" spans="2:15" x14ac:dyDescent="0.3">
      <c r="B175" s="207" t="s">
        <v>249</v>
      </c>
      <c r="C175" s="2"/>
      <c r="D175" s="2"/>
      <c r="E175" s="209">
        <v>584</v>
      </c>
      <c r="G175" s="207" t="s">
        <v>249</v>
      </c>
      <c r="H175" s="2"/>
      <c r="I175" s="2"/>
      <c r="J175" s="209">
        <v>978</v>
      </c>
      <c r="L175" s="207" t="s">
        <v>249</v>
      </c>
      <c r="M175" s="2"/>
      <c r="N175" s="2"/>
      <c r="O175" s="209">
        <v>987</v>
      </c>
    </row>
    <row r="176" spans="2:15" ht="15" thickBot="1" x14ac:dyDescent="0.35">
      <c r="B176" s="106" t="s">
        <v>109</v>
      </c>
      <c r="C176" s="2"/>
      <c r="D176" s="2"/>
      <c r="E176" s="116">
        <v>60</v>
      </c>
      <c r="G176" s="106" t="s">
        <v>109</v>
      </c>
      <c r="H176" s="2"/>
      <c r="I176" s="2"/>
      <c r="J176" s="116">
        <v>386</v>
      </c>
      <c r="L176" s="106" t="s">
        <v>109</v>
      </c>
      <c r="M176" s="2"/>
      <c r="N176" s="2"/>
      <c r="O176" s="116">
        <v>9</v>
      </c>
    </row>
    <row r="177" spans="2:15" ht="15.6" thickTop="1" thickBot="1" x14ac:dyDescent="0.35">
      <c r="B177" s="210" t="s">
        <v>41</v>
      </c>
      <c r="C177" s="108"/>
      <c r="D177" s="108"/>
      <c r="E177" s="208"/>
      <c r="G177" s="210" t="s">
        <v>41</v>
      </c>
      <c r="H177" s="108"/>
      <c r="I177" s="108"/>
      <c r="J177" s="208"/>
      <c r="L177" s="210" t="s">
        <v>41</v>
      </c>
      <c r="M177" s="108"/>
      <c r="N177" s="108"/>
      <c r="O177" s="208"/>
    </row>
    <row r="178" spans="2:15" ht="15" thickTop="1" x14ac:dyDescent="0.3">
      <c r="B178" s="106" t="s">
        <v>105</v>
      </c>
      <c r="C178" s="2"/>
      <c r="D178" s="2"/>
      <c r="E178" s="115">
        <v>5938.5500000000011</v>
      </c>
      <c r="G178" s="106" t="s">
        <v>105</v>
      </c>
      <c r="H178" s="2"/>
      <c r="I178" s="2"/>
      <c r="J178" s="115">
        <v>7440.6900000000014</v>
      </c>
      <c r="L178" s="106" t="s">
        <v>105</v>
      </c>
      <c r="M178" s="2"/>
      <c r="N178" s="2"/>
      <c r="O178" s="115">
        <v>7912.8300000000017</v>
      </c>
    </row>
    <row r="179" spans="2:15" x14ac:dyDescent="0.3">
      <c r="B179" s="106" t="s">
        <v>108</v>
      </c>
      <c r="C179" s="2"/>
      <c r="D179" s="2"/>
      <c r="E179" s="116">
        <v>657.14</v>
      </c>
      <c r="G179" s="106" t="s">
        <v>108</v>
      </c>
      <c r="H179" s="2"/>
      <c r="I179" s="2"/>
      <c r="J179" s="116">
        <v>1502.1399999999999</v>
      </c>
      <c r="L179" s="106" t="s">
        <v>108</v>
      </c>
      <c r="M179" s="2"/>
      <c r="N179" s="2"/>
      <c r="O179" s="116">
        <v>472.14</v>
      </c>
    </row>
    <row r="180" spans="2:15" ht="15" thickBot="1" x14ac:dyDescent="0.35">
      <c r="B180" s="120" t="s">
        <v>99</v>
      </c>
      <c r="C180" s="119"/>
      <c r="D180" s="110"/>
      <c r="E180" s="118">
        <v>2071.4499999999989</v>
      </c>
      <c r="G180" s="120" t="s">
        <v>99</v>
      </c>
      <c r="H180" s="119"/>
      <c r="I180" s="110"/>
      <c r="J180" s="118">
        <v>2769.3099999999986</v>
      </c>
      <c r="L180" s="120" t="s">
        <v>99</v>
      </c>
      <c r="M180" s="119"/>
      <c r="N180" s="110"/>
      <c r="O180" s="118">
        <v>2447.1699999999983</v>
      </c>
    </row>
    <row r="181" spans="2:15" ht="15" thickTop="1" x14ac:dyDescent="0.3">
      <c r="B181" s="106" t="s">
        <v>106</v>
      </c>
      <c r="C181" s="2"/>
      <c r="D181" s="2"/>
      <c r="E181" s="115">
        <v>458</v>
      </c>
      <c r="G181" s="106" t="s">
        <v>106</v>
      </c>
      <c r="H181" s="2"/>
      <c r="I181" s="2"/>
      <c r="J181" s="115">
        <v>506</v>
      </c>
      <c r="L181" s="106" t="s">
        <v>106</v>
      </c>
      <c r="M181" s="2"/>
      <c r="N181" s="2"/>
      <c r="O181" s="115">
        <v>570</v>
      </c>
    </row>
    <row r="182" spans="2:15" x14ac:dyDescent="0.3">
      <c r="B182" s="106" t="s">
        <v>110</v>
      </c>
      <c r="C182" s="2"/>
      <c r="D182" s="2"/>
      <c r="E182" s="116">
        <v>46</v>
      </c>
      <c r="G182" s="106" t="s">
        <v>110</v>
      </c>
      <c r="H182" s="2"/>
      <c r="I182" s="2"/>
      <c r="J182" s="116">
        <v>48</v>
      </c>
      <c r="L182" s="106" t="s">
        <v>110</v>
      </c>
      <c r="M182" s="2"/>
      <c r="N182" s="2"/>
      <c r="O182" s="116">
        <v>64</v>
      </c>
    </row>
    <row r="183" spans="2:15" ht="15" thickBot="1" x14ac:dyDescent="0.35">
      <c r="B183" s="120" t="s">
        <v>102</v>
      </c>
      <c r="C183" s="110"/>
      <c r="D183" s="110"/>
      <c r="E183" s="118">
        <v>126</v>
      </c>
      <c r="G183" s="120" t="s">
        <v>102</v>
      </c>
      <c r="H183" s="110"/>
      <c r="I183" s="110"/>
      <c r="J183" s="118">
        <v>472</v>
      </c>
      <c r="L183" s="120" t="s">
        <v>102</v>
      </c>
      <c r="M183" s="110"/>
      <c r="N183" s="110"/>
      <c r="O183" s="118">
        <v>417</v>
      </c>
    </row>
    <row r="184" spans="2:15" ht="15.6" thickTop="1" thickBot="1" x14ac:dyDescent="0.35">
      <c r="B184" s="107" t="s">
        <v>250</v>
      </c>
      <c r="C184" s="211"/>
      <c r="D184" s="108"/>
      <c r="E184" s="215"/>
      <c r="G184" s="107" t="s">
        <v>250</v>
      </c>
      <c r="H184" s="211"/>
      <c r="I184" s="108"/>
      <c r="J184" s="215"/>
      <c r="L184" s="107" t="s">
        <v>250</v>
      </c>
      <c r="M184" s="211"/>
      <c r="N184" s="108"/>
      <c r="O184" s="215"/>
    </row>
    <row r="185" spans="2:15" ht="15" thickTop="1" x14ac:dyDescent="0.3">
      <c r="B185" s="106" t="s">
        <v>251</v>
      </c>
      <c r="C185" s="201"/>
      <c r="D185" s="2"/>
      <c r="E185" s="117">
        <v>19.5</v>
      </c>
      <c r="G185" s="106" t="s">
        <v>251</v>
      </c>
      <c r="H185" s="201"/>
      <c r="I185" s="2"/>
      <c r="J185" s="117">
        <v>19.5</v>
      </c>
      <c r="L185" s="106" t="s">
        <v>251</v>
      </c>
      <c r="M185" s="201"/>
      <c r="N185" s="2"/>
      <c r="O185" s="117">
        <v>19.5</v>
      </c>
    </row>
    <row r="186" spans="2:15" x14ac:dyDescent="0.3">
      <c r="B186" s="106" t="s">
        <v>273</v>
      </c>
      <c r="C186" s="212"/>
      <c r="D186" s="213"/>
      <c r="E186" s="115">
        <v>250</v>
      </c>
      <c r="G186" s="106" t="s">
        <v>273</v>
      </c>
      <c r="H186" s="212"/>
      <c r="I186" s="213"/>
      <c r="J186" s="115">
        <v>250</v>
      </c>
      <c r="L186" s="106" t="s">
        <v>273</v>
      </c>
      <c r="M186" s="212"/>
      <c r="N186" s="213"/>
      <c r="O186" s="115">
        <v>250</v>
      </c>
    </row>
    <row r="187" spans="2:15" x14ac:dyDescent="0.3">
      <c r="B187" s="106" t="s">
        <v>272</v>
      </c>
      <c r="C187" s="212"/>
      <c r="D187" s="213"/>
      <c r="E187" s="115">
        <v>10</v>
      </c>
      <c r="G187" s="106" t="s">
        <v>272</v>
      </c>
      <c r="H187" s="212"/>
      <c r="I187" s="213"/>
      <c r="J187" s="115">
        <v>16</v>
      </c>
      <c r="L187" s="106" t="s">
        <v>272</v>
      </c>
      <c r="M187" s="212"/>
      <c r="N187" s="213"/>
      <c r="O187" s="115">
        <v>16</v>
      </c>
    </row>
    <row r="188" spans="2:15" x14ac:dyDescent="0.3">
      <c r="B188" s="106" t="s">
        <v>97</v>
      </c>
      <c r="C188" s="2"/>
      <c r="D188" s="2"/>
      <c r="E188" s="114">
        <v>2370</v>
      </c>
      <c r="G188" s="106" t="s">
        <v>97</v>
      </c>
      <c r="H188" s="2"/>
      <c r="I188" s="2"/>
      <c r="J188" s="114">
        <v>2500</v>
      </c>
      <c r="L188" s="106" t="s">
        <v>97</v>
      </c>
      <c r="M188" s="2"/>
      <c r="N188" s="2"/>
      <c r="O188" s="114">
        <v>2530</v>
      </c>
    </row>
    <row r="189" spans="2:15" x14ac:dyDescent="0.3">
      <c r="B189" s="106" t="s">
        <v>104</v>
      </c>
      <c r="C189" s="2"/>
      <c r="D189" s="2"/>
      <c r="E189" s="113">
        <v>182.30769230769232</v>
      </c>
      <c r="G189" s="106" t="s">
        <v>104</v>
      </c>
      <c r="H189" s="2"/>
      <c r="I189" s="2"/>
      <c r="J189" s="113">
        <v>192.30769230769232</v>
      </c>
      <c r="L189" s="106" t="s">
        <v>104</v>
      </c>
      <c r="M189" s="2"/>
      <c r="N189" s="2"/>
      <c r="O189" s="113">
        <v>194.61538461538461</v>
      </c>
    </row>
    <row r="190" spans="2:15" x14ac:dyDescent="0.3">
      <c r="B190" s="106" t="s">
        <v>259</v>
      </c>
      <c r="C190" s="2"/>
      <c r="D190" s="2"/>
      <c r="E190" s="114">
        <v>343.5</v>
      </c>
      <c r="G190" s="106" t="s">
        <v>259</v>
      </c>
      <c r="H190" s="2"/>
      <c r="I190" s="2"/>
      <c r="J190" s="114">
        <v>731.5</v>
      </c>
      <c r="L190" s="106" t="s">
        <v>259</v>
      </c>
      <c r="M190" s="2"/>
      <c r="N190" s="2"/>
      <c r="O190" s="114">
        <v>740.5</v>
      </c>
    </row>
    <row r="191" spans="2:15" ht="15" thickBot="1" x14ac:dyDescent="0.35">
      <c r="B191" s="106" t="s">
        <v>100</v>
      </c>
      <c r="C191" s="2"/>
      <c r="D191" s="214"/>
      <c r="E191" s="221">
        <v>465.07</v>
      </c>
      <c r="G191" s="106" t="s">
        <v>100</v>
      </c>
      <c r="H191" s="2"/>
      <c r="I191" s="214"/>
      <c r="J191" s="221">
        <v>45.21</v>
      </c>
      <c r="L191" s="106" t="s">
        <v>100</v>
      </c>
      <c r="M191" s="2"/>
      <c r="N191" s="214"/>
      <c r="O191" s="221">
        <v>461.35</v>
      </c>
    </row>
    <row r="192" spans="2:15" ht="15.6" thickTop="1" thickBot="1" x14ac:dyDescent="0.35">
      <c r="B192" s="111" t="s">
        <v>98</v>
      </c>
      <c r="C192" s="112"/>
      <c r="D192" s="216"/>
      <c r="E192" s="217">
        <v>3178.57</v>
      </c>
      <c r="G192" s="111" t="s">
        <v>98</v>
      </c>
      <c r="H192" s="112"/>
      <c r="I192" s="216"/>
      <c r="J192" s="217">
        <v>3276.71</v>
      </c>
      <c r="L192" s="111" t="s">
        <v>98</v>
      </c>
      <c r="M192" s="112"/>
      <c r="N192" s="216"/>
      <c r="O192" s="217">
        <v>3731.85</v>
      </c>
    </row>
    <row r="193" spans="2:15" ht="15.6" thickTop="1" thickBot="1" x14ac:dyDescent="0.35">
      <c r="B193" s="111" t="s">
        <v>103</v>
      </c>
      <c r="C193" s="112"/>
      <c r="D193" s="216"/>
      <c r="E193" s="234">
        <v>3006.0199999999991</v>
      </c>
      <c r="G193" s="111" t="s">
        <v>103</v>
      </c>
      <c r="H193" s="112"/>
      <c r="I193" s="216"/>
      <c r="J193" s="234">
        <v>4018.0199999999986</v>
      </c>
      <c r="L193" s="111" t="s">
        <v>103</v>
      </c>
      <c r="M193" s="112"/>
      <c r="N193" s="216"/>
      <c r="O193" s="234">
        <v>3604.6699999999983</v>
      </c>
    </row>
    <row r="194" spans="2:15" ht="15.6" thickTop="1" thickBot="1" x14ac:dyDescent="0.35"/>
    <row r="195" spans="2:15" ht="15.6" thickTop="1" thickBot="1" x14ac:dyDescent="0.35">
      <c r="B195" s="352" t="s">
        <v>96</v>
      </c>
      <c r="C195" s="359"/>
      <c r="D195" s="353"/>
      <c r="E195" s="131">
        <v>44788</v>
      </c>
      <c r="G195" s="352" t="s">
        <v>96</v>
      </c>
      <c r="H195" s="359"/>
      <c r="I195" s="353"/>
      <c r="J195" s="131">
        <v>44788</v>
      </c>
      <c r="L195" s="352" t="s">
        <v>96</v>
      </c>
      <c r="M195" s="359"/>
      <c r="N195" s="353"/>
      <c r="O195" s="131">
        <v>44788</v>
      </c>
    </row>
    <row r="196" spans="2:15" ht="15.6" thickTop="1" thickBot="1" x14ac:dyDescent="0.35">
      <c r="B196" s="356"/>
      <c r="C196" s="360"/>
      <c r="D196" s="357"/>
      <c r="E196" s="131">
        <v>45427</v>
      </c>
      <c r="G196" s="356"/>
      <c r="H196" s="360"/>
      <c r="I196" s="357"/>
      <c r="J196" s="131">
        <v>45458</v>
      </c>
      <c r="L196" s="356"/>
      <c r="M196" s="360"/>
      <c r="N196" s="357"/>
      <c r="O196" s="131">
        <v>45488</v>
      </c>
    </row>
    <row r="197" spans="2:15" ht="15.6" thickTop="1" thickBot="1" x14ac:dyDescent="0.35">
      <c r="B197" s="106" t="s">
        <v>95</v>
      </c>
      <c r="C197" s="2"/>
      <c r="D197" s="2"/>
      <c r="E197" s="200">
        <v>2860</v>
      </c>
      <c r="G197" s="106" t="s">
        <v>95</v>
      </c>
      <c r="H197" s="2"/>
      <c r="I197" s="2"/>
      <c r="J197" s="200">
        <v>2990</v>
      </c>
      <c r="L197" s="106" t="s">
        <v>95</v>
      </c>
      <c r="M197" s="2"/>
      <c r="N197" s="2"/>
      <c r="O197" s="200">
        <v>3120</v>
      </c>
    </row>
    <row r="198" spans="2:15" ht="15.6" thickTop="1" thickBot="1" x14ac:dyDescent="0.35">
      <c r="B198" s="107" t="s">
        <v>183</v>
      </c>
      <c r="C198" s="108"/>
      <c r="D198" s="108"/>
      <c r="E198" s="208"/>
      <c r="G198" s="107" t="s">
        <v>183</v>
      </c>
      <c r="H198" s="108"/>
      <c r="I198" s="108"/>
      <c r="J198" s="208"/>
      <c r="L198" s="107" t="s">
        <v>183</v>
      </c>
      <c r="M198" s="108"/>
      <c r="N198" s="108"/>
      <c r="O198" s="208"/>
    </row>
    <row r="199" spans="2:15" ht="15" thickTop="1" x14ac:dyDescent="0.3">
      <c r="B199" s="206" t="s">
        <v>247</v>
      </c>
      <c r="C199" s="2"/>
      <c r="D199" s="2"/>
      <c r="E199" s="199">
        <v>11360</v>
      </c>
      <c r="G199" s="206" t="s">
        <v>247</v>
      </c>
      <c r="H199" s="2"/>
      <c r="I199" s="2"/>
      <c r="J199" s="199">
        <v>12360</v>
      </c>
      <c r="L199" s="206" t="s">
        <v>247</v>
      </c>
      <c r="M199" s="2"/>
      <c r="N199" s="2"/>
      <c r="O199" s="199">
        <v>13360</v>
      </c>
    </row>
    <row r="200" spans="2:15" x14ac:dyDescent="0.3">
      <c r="B200" s="207" t="s">
        <v>248</v>
      </c>
      <c r="C200" s="2"/>
      <c r="D200" s="2"/>
      <c r="E200" s="115">
        <v>200</v>
      </c>
      <c r="G200" s="207" t="s">
        <v>248</v>
      </c>
      <c r="H200" s="2"/>
      <c r="I200" s="2"/>
      <c r="J200" s="115">
        <v>200</v>
      </c>
      <c r="L200" s="207" t="s">
        <v>248</v>
      </c>
      <c r="M200" s="2"/>
      <c r="N200" s="2"/>
      <c r="O200" s="115">
        <v>200</v>
      </c>
    </row>
    <row r="201" spans="2:15" x14ac:dyDescent="0.3">
      <c r="B201" s="106" t="s">
        <v>107</v>
      </c>
      <c r="C201" s="2"/>
      <c r="D201" s="2"/>
      <c r="E201" s="116">
        <v>1000</v>
      </c>
      <c r="G201" s="106" t="s">
        <v>107</v>
      </c>
      <c r="H201" s="2"/>
      <c r="I201" s="2"/>
      <c r="J201" s="116">
        <v>1000</v>
      </c>
      <c r="L201" s="106" t="s">
        <v>107</v>
      </c>
      <c r="M201" s="2"/>
      <c r="N201" s="2"/>
      <c r="O201" s="116">
        <v>1000</v>
      </c>
    </row>
    <row r="202" spans="2:15" x14ac:dyDescent="0.3">
      <c r="B202" s="207" t="s">
        <v>249</v>
      </c>
      <c r="C202" s="2"/>
      <c r="D202" s="2"/>
      <c r="E202" s="209">
        <v>1103</v>
      </c>
      <c r="G202" s="207" t="s">
        <v>249</v>
      </c>
      <c r="H202" s="2"/>
      <c r="I202" s="2"/>
      <c r="J202" s="209">
        <v>1191</v>
      </c>
      <c r="L202" s="207" t="s">
        <v>249</v>
      </c>
      <c r="M202" s="2"/>
      <c r="N202" s="2"/>
      <c r="O202" s="209">
        <v>1361</v>
      </c>
    </row>
    <row r="203" spans="2:15" ht="15" thickBot="1" x14ac:dyDescent="0.35">
      <c r="B203" s="106" t="s">
        <v>109</v>
      </c>
      <c r="C203" s="2"/>
      <c r="D203" s="2"/>
      <c r="E203" s="116">
        <v>116</v>
      </c>
      <c r="G203" s="106" t="s">
        <v>109</v>
      </c>
      <c r="H203" s="2"/>
      <c r="I203" s="2"/>
      <c r="J203" s="116">
        <v>88</v>
      </c>
      <c r="L203" s="106" t="s">
        <v>109</v>
      </c>
      <c r="M203" s="2"/>
      <c r="N203" s="2"/>
      <c r="O203" s="116">
        <v>170</v>
      </c>
    </row>
    <row r="204" spans="2:15" ht="15.6" thickTop="1" thickBot="1" x14ac:dyDescent="0.35">
      <c r="B204" s="210" t="s">
        <v>41</v>
      </c>
      <c r="C204" s="108"/>
      <c r="D204" s="108"/>
      <c r="E204" s="208"/>
      <c r="G204" s="210" t="s">
        <v>41</v>
      </c>
      <c r="H204" s="108"/>
      <c r="I204" s="108"/>
      <c r="J204" s="208"/>
      <c r="L204" s="210" t="s">
        <v>41</v>
      </c>
      <c r="M204" s="108"/>
      <c r="N204" s="108"/>
      <c r="O204" s="208"/>
    </row>
    <row r="205" spans="2:15" ht="15" thickTop="1" x14ac:dyDescent="0.3">
      <c r="B205" s="106" t="s">
        <v>105</v>
      </c>
      <c r="C205" s="2"/>
      <c r="D205" s="2"/>
      <c r="E205" s="115">
        <v>8384.9700000000012</v>
      </c>
      <c r="G205" s="106" t="s">
        <v>105</v>
      </c>
      <c r="H205" s="2"/>
      <c r="I205" s="2"/>
      <c r="J205" s="115">
        <v>9085.6700000000019</v>
      </c>
      <c r="L205" s="106" t="s">
        <v>105</v>
      </c>
      <c r="M205" s="2"/>
      <c r="N205" s="2"/>
      <c r="O205" s="115">
        <v>9951.3700000000026</v>
      </c>
    </row>
    <row r="206" spans="2:15" x14ac:dyDescent="0.3">
      <c r="B206" s="106" t="s">
        <v>108</v>
      </c>
      <c r="C206" s="2"/>
      <c r="D206" s="2"/>
      <c r="E206" s="116">
        <v>472.14</v>
      </c>
      <c r="G206" s="106" t="s">
        <v>108</v>
      </c>
      <c r="H206" s="2"/>
      <c r="I206" s="2"/>
      <c r="J206" s="116">
        <v>700.7</v>
      </c>
      <c r="L206" s="106" t="s">
        <v>108</v>
      </c>
      <c r="M206" s="2"/>
      <c r="N206" s="2"/>
      <c r="O206" s="116">
        <v>865.7</v>
      </c>
    </row>
    <row r="207" spans="2:15" ht="15" thickBot="1" x14ac:dyDescent="0.35">
      <c r="B207" s="120" t="s">
        <v>99</v>
      </c>
      <c r="C207" s="119"/>
      <c r="D207" s="110"/>
      <c r="E207" s="118">
        <v>2975.0299999999988</v>
      </c>
      <c r="G207" s="120" t="s">
        <v>99</v>
      </c>
      <c r="H207" s="119"/>
      <c r="I207" s="110"/>
      <c r="J207" s="118">
        <v>3274.3299999999981</v>
      </c>
      <c r="L207" s="120" t="s">
        <v>99</v>
      </c>
      <c r="M207" s="119"/>
      <c r="N207" s="110"/>
      <c r="O207" s="118">
        <v>3408.6299999999974</v>
      </c>
    </row>
    <row r="208" spans="2:15" ht="15" thickTop="1" x14ac:dyDescent="0.3">
      <c r="B208" s="106" t="s">
        <v>106</v>
      </c>
      <c r="C208" s="2"/>
      <c r="D208" s="2"/>
      <c r="E208" s="115">
        <v>634</v>
      </c>
      <c r="G208" s="106" t="s">
        <v>106</v>
      </c>
      <c r="H208" s="2"/>
      <c r="I208" s="2"/>
      <c r="J208" s="115">
        <v>710</v>
      </c>
      <c r="L208" s="106" t="s">
        <v>106</v>
      </c>
      <c r="M208" s="2"/>
      <c r="N208" s="2"/>
      <c r="O208" s="115">
        <v>805</v>
      </c>
    </row>
    <row r="209" spans="2:15" x14ac:dyDescent="0.3">
      <c r="B209" s="106" t="s">
        <v>110</v>
      </c>
      <c r="C209" s="2"/>
      <c r="D209" s="2"/>
      <c r="E209" s="116">
        <v>64</v>
      </c>
      <c r="G209" s="106" t="s">
        <v>110</v>
      </c>
      <c r="H209" s="2"/>
      <c r="I209" s="2"/>
      <c r="J209" s="116">
        <v>76</v>
      </c>
      <c r="L209" s="106" t="s">
        <v>110</v>
      </c>
      <c r="M209" s="2"/>
      <c r="N209" s="2"/>
      <c r="O209" s="116">
        <v>95</v>
      </c>
    </row>
    <row r="210" spans="2:15" ht="15" thickBot="1" x14ac:dyDescent="0.35">
      <c r="B210" s="120" t="s">
        <v>102</v>
      </c>
      <c r="C210" s="110"/>
      <c r="D210" s="110"/>
      <c r="E210" s="118">
        <v>469</v>
      </c>
      <c r="G210" s="120" t="s">
        <v>102</v>
      </c>
      <c r="H210" s="110"/>
      <c r="I210" s="110"/>
      <c r="J210" s="118">
        <v>481</v>
      </c>
      <c r="L210" s="120" t="s">
        <v>102</v>
      </c>
      <c r="M210" s="110"/>
      <c r="N210" s="110"/>
      <c r="O210" s="118">
        <v>556</v>
      </c>
    </row>
    <row r="211" spans="2:15" ht="15.6" thickTop="1" thickBot="1" x14ac:dyDescent="0.35">
      <c r="B211" s="107" t="s">
        <v>250</v>
      </c>
      <c r="C211" s="211"/>
      <c r="D211" s="108"/>
      <c r="E211" s="215"/>
      <c r="G211" s="107" t="s">
        <v>250</v>
      </c>
      <c r="H211" s="211"/>
      <c r="I211" s="108"/>
      <c r="J211" s="215"/>
      <c r="L211" s="107" t="s">
        <v>250</v>
      </c>
      <c r="M211" s="211"/>
      <c r="N211" s="108"/>
      <c r="O211" s="215"/>
    </row>
    <row r="212" spans="2:15" ht="15" thickTop="1" x14ac:dyDescent="0.3">
      <c r="B212" s="106" t="s">
        <v>251</v>
      </c>
      <c r="C212" s="201"/>
      <c r="D212" s="2"/>
      <c r="E212" s="117">
        <v>23.5</v>
      </c>
      <c r="G212" s="106" t="s">
        <v>251</v>
      </c>
      <c r="H212" s="201"/>
      <c r="I212" s="2"/>
      <c r="J212" s="117">
        <v>23.5</v>
      </c>
      <c r="L212" s="106" t="s">
        <v>251</v>
      </c>
      <c r="M212" s="201"/>
      <c r="N212" s="2"/>
      <c r="O212" s="117">
        <v>23.5</v>
      </c>
    </row>
    <row r="213" spans="2:15" x14ac:dyDescent="0.3">
      <c r="B213" s="106" t="s">
        <v>273</v>
      </c>
      <c r="C213" s="212"/>
      <c r="D213" s="213"/>
      <c r="E213" s="115">
        <v>250</v>
      </c>
      <c r="G213" s="106" t="s">
        <v>273</v>
      </c>
      <c r="H213" s="212"/>
      <c r="I213" s="213"/>
      <c r="J213" s="115">
        <v>250</v>
      </c>
      <c r="L213" s="106" t="s">
        <v>273</v>
      </c>
      <c r="M213" s="212"/>
      <c r="N213" s="213"/>
      <c r="O213" s="115">
        <v>250</v>
      </c>
    </row>
    <row r="214" spans="2:15" x14ac:dyDescent="0.3">
      <c r="B214" s="106" t="s">
        <v>272</v>
      </c>
      <c r="C214" s="212"/>
      <c r="D214" s="213"/>
      <c r="E214" s="115">
        <v>16</v>
      </c>
      <c r="G214" s="106" t="s">
        <v>272</v>
      </c>
      <c r="H214" s="212"/>
      <c r="I214" s="213"/>
      <c r="J214" s="115">
        <v>24</v>
      </c>
      <c r="L214" s="106" t="s">
        <v>272</v>
      </c>
      <c r="M214" s="212"/>
      <c r="N214" s="213"/>
      <c r="O214" s="115">
        <v>24</v>
      </c>
    </row>
    <row r="215" spans="2:15" x14ac:dyDescent="0.3">
      <c r="B215" s="106" t="s">
        <v>97</v>
      </c>
      <c r="C215" s="2"/>
      <c r="D215" s="2"/>
      <c r="E215" s="114">
        <v>2660</v>
      </c>
      <c r="G215" s="106" t="s">
        <v>97</v>
      </c>
      <c r="H215" s="2"/>
      <c r="I215" s="2"/>
      <c r="J215" s="114">
        <v>2790</v>
      </c>
      <c r="L215" s="106" t="s">
        <v>97</v>
      </c>
      <c r="M215" s="2"/>
      <c r="N215" s="2"/>
      <c r="O215" s="114">
        <v>2920</v>
      </c>
    </row>
    <row r="216" spans="2:15" x14ac:dyDescent="0.3">
      <c r="B216" s="106" t="s">
        <v>104</v>
      </c>
      <c r="C216" s="2"/>
      <c r="D216" s="2"/>
      <c r="E216" s="113">
        <v>204.61538461538461</v>
      </c>
      <c r="G216" s="106" t="s">
        <v>104</v>
      </c>
      <c r="H216" s="2"/>
      <c r="I216" s="2"/>
      <c r="J216" s="113">
        <v>214.61538461538461</v>
      </c>
      <c r="L216" s="106" t="s">
        <v>104</v>
      </c>
      <c r="M216" s="2"/>
      <c r="N216" s="2"/>
      <c r="O216" s="113">
        <v>224.61538461538461</v>
      </c>
    </row>
    <row r="217" spans="2:15" x14ac:dyDescent="0.3">
      <c r="B217" s="106" t="s">
        <v>259</v>
      </c>
      <c r="C217" s="2"/>
      <c r="D217" s="2"/>
      <c r="E217" s="114">
        <v>860.5</v>
      </c>
      <c r="G217" s="106" t="s">
        <v>259</v>
      </c>
      <c r="H217" s="2"/>
      <c r="I217" s="2"/>
      <c r="J217" s="114">
        <v>940.5</v>
      </c>
      <c r="L217" s="106" t="s">
        <v>259</v>
      </c>
      <c r="M217" s="2"/>
      <c r="N217" s="2"/>
      <c r="O217" s="114">
        <v>1110.5</v>
      </c>
    </row>
    <row r="218" spans="2:15" ht="15" thickBot="1" x14ac:dyDescent="0.35">
      <c r="B218" s="106" t="s">
        <v>100</v>
      </c>
      <c r="C218" s="2"/>
      <c r="D218" s="214"/>
      <c r="E218" s="221">
        <v>131.49</v>
      </c>
      <c r="G218" s="106" t="s">
        <v>100</v>
      </c>
      <c r="H218" s="2"/>
      <c r="I218" s="214"/>
      <c r="J218" s="221">
        <v>38.19</v>
      </c>
      <c r="L218" s="106" t="s">
        <v>100</v>
      </c>
      <c r="M218" s="2"/>
      <c r="N218" s="214"/>
      <c r="O218" s="221">
        <v>128.9</v>
      </c>
    </row>
    <row r="219" spans="2:15" ht="15.6" thickTop="1" thickBot="1" x14ac:dyDescent="0.35">
      <c r="B219" s="111" t="s">
        <v>98</v>
      </c>
      <c r="C219" s="112"/>
      <c r="D219" s="216"/>
      <c r="E219" s="217">
        <v>3520.5</v>
      </c>
      <c r="G219" s="111" t="s">
        <v>98</v>
      </c>
      <c r="H219" s="112"/>
      <c r="I219" s="216"/>
      <c r="J219" s="217">
        <v>3793.5199999999982</v>
      </c>
      <c r="L219" s="111" t="s">
        <v>98</v>
      </c>
      <c r="M219" s="112"/>
      <c r="N219" s="216"/>
      <c r="O219" s="217">
        <v>4093.5299999999975</v>
      </c>
    </row>
    <row r="220" spans="2:15" ht="15.6" thickTop="1" thickBot="1" x14ac:dyDescent="0.35">
      <c r="B220" s="111" t="s">
        <v>103</v>
      </c>
      <c r="C220" s="112"/>
      <c r="D220" s="216"/>
      <c r="E220" s="234">
        <v>3575.5199999999986</v>
      </c>
      <c r="G220" s="111" t="s">
        <v>103</v>
      </c>
      <c r="H220" s="112"/>
      <c r="I220" s="216"/>
      <c r="J220" s="234">
        <v>3730.5</v>
      </c>
      <c r="L220" s="111" t="s">
        <v>103</v>
      </c>
      <c r="M220" s="112"/>
      <c r="N220" s="216"/>
      <c r="O220" s="234">
        <v>4030.5</v>
      </c>
    </row>
    <row r="221" spans="2:15" ht="15.6" thickTop="1" thickBot="1" x14ac:dyDescent="0.35"/>
    <row r="222" spans="2:15" ht="15.6" thickTop="1" thickBot="1" x14ac:dyDescent="0.35">
      <c r="B222" s="352" t="s">
        <v>96</v>
      </c>
      <c r="C222" s="359"/>
      <c r="D222" s="353"/>
      <c r="E222" s="131">
        <v>44788</v>
      </c>
      <c r="G222" s="352" t="s">
        <v>96</v>
      </c>
      <c r="H222" s="359"/>
      <c r="I222" s="353"/>
      <c r="J222" s="131">
        <v>44788</v>
      </c>
      <c r="L222" s="352" t="s">
        <v>96</v>
      </c>
      <c r="M222" s="359"/>
      <c r="N222" s="353"/>
      <c r="O222" s="131">
        <v>44788</v>
      </c>
    </row>
    <row r="223" spans="2:15" ht="15.6" thickTop="1" thickBot="1" x14ac:dyDescent="0.35">
      <c r="B223" s="356"/>
      <c r="C223" s="360"/>
      <c r="D223" s="357"/>
      <c r="E223" s="131">
        <v>45519</v>
      </c>
      <c r="G223" s="356"/>
      <c r="H223" s="360"/>
      <c r="I223" s="357"/>
      <c r="J223" s="131">
        <v>45550</v>
      </c>
      <c r="L223" s="356"/>
      <c r="M223" s="360"/>
      <c r="N223" s="357"/>
      <c r="O223" s="131">
        <v>45580</v>
      </c>
    </row>
    <row r="224" spans="2:15" ht="15.6" thickTop="1" thickBot="1" x14ac:dyDescent="0.35">
      <c r="B224" s="106" t="s">
        <v>95</v>
      </c>
      <c r="C224" s="2"/>
      <c r="D224" s="2"/>
      <c r="E224" s="200">
        <v>3250</v>
      </c>
      <c r="G224" s="106" t="s">
        <v>95</v>
      </c>
      <c r="H224" s="2"/>
      <c r="I224" s="2"/>
      <c r="J224" s="200">
        <v>3380</v>
      </c>
      <c r="L224" s="106" t="s">
        <v>95</v>
      </c>
      <c r="M224" s="2"/>
      <c r="N224" s="2"/>
      <c r="O224" s="200">
        <v>3510</v>
      </c>
    </row>
    <row r="225" spans="2:15" ht="15.6" thickTop="1" thickBot="1" x14ac:dyDescent="0.35">
      <c r="B225" s="107" t="s">
        <v>183</v>
      </c>
      <c r="C225" s="108"/>
      <c r="D225" s="108"/>
      <c r="E225" s="208"/>
      <c r="G225" s="107" t="s">
        <v>183</v>
      </c>
      <c r="H225" s="108"/>
      <c r="I225" s="108"/>
      <c r="J225" s="208"/>
      <c r="L225" s="107" t="s">
        <v>183</v>
      </c>
      <c r="M225" s="108"/>
      <c r="N225" s="108"/>
      <c r="O225" s="208"/>
    </row>
    <row r="226" spans="2:15" ht="15" thickTop="1" x14ac:dyDescent="0.3">
      <c r="B226" s="206" t="s">
        <v>247</v>
      </c>
      <c r="C226" s="2"/>
      <c r="D226" s="2"/>
      <c r="E226" s="199">
        <v>14260</v>
      </c>
      <c r="G226" s="206" t="s">
        <v>247</v>
      </c>
      <c r="H226" s="2"/>
      <c r="I226" s="2"/>
      <c r="J226" s="199">
        <v>14660</v>
      </c>
      <c r="L226" s="206" t="s">
        <v>247</v>
      </c>
      <c r="M226" s="2"/>
      <c r="N226" s="2"/>
      <c r="O226" s="199">
        <v>15660</v>
      </c>
    </row>
    <row r="227" spans="2:15" x14ac:dyDescent="0.3">
      <c r="B227" s="207" t="s">
        <v>248</v>
      </c>
      <c r="C227" s="2"/>
      <c r="D227" s="2"/>
      <c r="E227" s="115">
        <v>200</v>
      </c>
      <c r="G227" s="207" t="s">
        <v>248</v>
      </c>
      <c r="H227" s="2"/>
      <c r="I227" s="2"/>
      <c r="J227" s="115">
        <v>460</v>
      </c>
      <c r="L227" s="207" t="s">
        <v>248</v>
      </c>
      <c r="M227" s="2"/>
      <c r="N227" s="2"/>
      <c r="O227" s="115">
        <v>460</v>
      </c>
    </row>
    <row r="228" spans="2:15" x14ac:dyDescent="0.3">
      <c r="B228" s="106" t="s">
        <v>107</v>
      </c>
      <c r="C228" s="2"/>
      <c r="D228" s="2"/>
      <c r="E228" s="116">
        <v>900</v>
      </c>
      <c r="G228" s="106" t="s">
        <v>107</v>
      </c>
      <c r="H228" s="2"/>
      <c r="I228" s="2"/>
      <c r="J228" s="116">
        <v>400</v>
      </c>
      <c r="L228" s="106" t="s">
        <v>107</v>
      </c>
      <c r="M228" s="2"/>
      <c r="N228" s="2"/>
      <c r="O228" s="116">
        <v>1000</v>
      </c>
    </row>
    <row r="229" spans="2:15" x14ac:dyDescent="0.3">
      <c r="B229" s="207" t="s">
        <v>249</v>
      </c>
      <c r="C229" s="2"/>
      <c r="D229" s="2"/>
      <c r="E229" s="209">
        <v>1469</v>
      </c>
      <c r="G229" s="207" t="s">
        <v>249</v>
      </c>
      <c r="H229" s="2"/>
      <c r="I229" s="2"/>
      <c r="J229" s="209">
        <v>1501</v>
      </c>
      <c r="L229" s="207" t="s">
        <v>249</v>
      </c>
      <c r="M229" s="2"/>
      <c r="N229" s="2"/>
      <c r="O229" s="209">
        <v>1581</v>
      </c>
    </row>
    <row r="230" spans="2:15" ht="15" thickBot="1" x14ac:dyDescent="0.35">
      <c r="B230" s="106" t="s">
        <v>109</v>
      </c>
      <c r="C230" s="2"/>
      <c r="D230" s="2"/>
      <c r="E230" s="116">
        <v>108</v>
      </c>
      <c r="G230" s="106" t="s">
        <v>109</v>
      </c>
      <c r="H230" s="2"/>
      <c r="I230" s="2"/>
      <c r="J230" s="116">
        <v>32</v>
      </c>
      <c r="L230" s="106" t="s">
        <v>109</v>
      </c>
      <c r="M230" s="2"/>
      <c r="N230" s="2"/>
      <c r="O230" s="116">
        <v>80</v>
      </c>
    </row>
    <row r="231" spans="2:15" ht="15.6" thickTop="1" thickBot="1" x14ac:dyDescent="0.35">
      <c r="B231" s="210" t="s">
        <v>41</v>
      </c>
      <c r="C231" s="108"/>
      <c r="D231" s="108"/>
      <c r="E231" s="208"/>
      <c r="G231" s="210" t="s">
        <v>41</v>
      </c>
      <c r="H231" s="108"/>
      <c r="I231" s="108"/>
      <c r="J231" s="208"/>
      <c r="L231" s="210" t="s">
        <v>41</v>
      </c>
      <c r="M231" s="108"/>
      <c r="N231" s="108"/>
      <c r="O231" s="208"/>
    </row>
    <row r="232" spans="2:15" ht="15" thickTop="1" x14ac:dyDescent="0.3">
      <c r="B232" s="106" t="s">
        <v>105</v>
      </c>
      <c r="C232" s="2"/>
      <c r="D232" s="2"/>
      <c r="E232" s="115">
        <v>10688.740000000003</v>
      </c>
      <c r="G232" s="106" t="s">
        <v>105</v>
      </c>
      <c r="H232" s="2"/>
      <c r="I232" s="2"/>
      <c r="J232" s="115">
        <v>11556.110000000004</v>
      </c>
      <c r="L232" s="106" t="s">
        <v>105</v>
      </c>
      <c r="M232" s="2"/>
      <c r="N232" s="2"/>
      <c r="O232" s="115">
        <v>12463.480000000005</v>
      </c>
    </row>
    <row r="233" spans="2:15" x14ac:dyDescent="0.3">
      <c r="B233" s="106" t="s">
        <v>108</v>
      </c>
      <c r="C233" s="2"/>
      <c r="D233" s="2"/>
      <c r="E233" s="116">
        <v>737.37</v>
      </c>
      <c r="G233" s="106" t="s">
        <v>108</v>
      </c>
      <c r="H233" s="2"/>
      <c r="I233" s="2"/>
      <c r="J233" s="116">
        <v>867.37</v>
      </c>
      <c r="L233" s="106" t="s">
        <v>108</v>
      </c>
      <c r="M233" s="2"/>
      <c r="N233" s="2"/>
      <c r="O233" s="116">
        <v>907.37</v>
      </c>
    </row>
    <row r="234" spans="2:15" ht="15" thickBot="1" x14ac:dyDescent="0.35">
      <c r="B234" s="120" t="s">
        <v>99</v>
      </c>
      <c r="C234" s="119"/>
      <c r="D234" s="110"/>
      <c r="E234" s="118">
        <v>3571.2599999999966</v>
      </c>
      <c r="G234" s="120" t="s">
        <v>99</v>
      </c>
      <c r="H234" s="119"/>
      <c r="I234" s="110"/>
      <c r="J234" s="118">
        <v>3103.8899999999958</v>
      </c>
      <c r="L234" s="120" t="s">
        <v>99</v>
      </c>
      <c r="M234" s="119"/>
      <c r="N234" s="110"/>
      <c r="O234" s="118">
        <v>3196.519999999995</v>
      </c>
    </row>
    <row r="235" spans="2:15" ht="15" thickTop="1" x14ac:dyDescent="0.3">
      <c r="B235" s="106" t="s">
        <v>106</v>
      </c>
      <c r="C235" s="2"/>
      <c r="D235" s="2"/>
      <c r="E235" s="115">
        <v>899</v>
      </c>
      <c r="G235" s="106" t="s">
        <v>106</v>
      </c>
      <c r="H235" s="2"/>
      <c r="I235" s="2"/>
      <c r="J235" s="115">
        <v>1009</v>
      </c>
      <c r="L235" s="106" t="s">
        <v>106</v>
      </c>
      <c r="M235" s="2"/>
      <c r="N235" s="2"/>
      <c r="O235" s="115">
        <v>1113</v>
      </c>
    </row>
    <row r="236" spans="2:15" x14ac:dyDescent="0.3">
      <c r="B236" s="106" t="s">
        <v>110</v>
      </c>
      <c r="C236" s="2"/>
      <c r="D236" s="2"/>
      <c r="E236" s="116">
        <v>94</v>
      </c>
      <c r="G236" s="106" t="s">
        <v>110</v>
      </c>
      <c r="H236" s="2"/>
      <c r="I236" s="2"/>
      <c r="J236" s="116">
        <v>110</v>
      </c>
      <c r="L236" s="106" t="s">
        <v>110</v>
      </c>
      <c r="M236" s="2"/>
      <c r="N236" s="2"/>
      <c r="O236" s="116">
        <v>104</v>
      </c>
    </row>
    <row r="237" spans="2:15" ht="15" thickBot="1" x14ac:dyDescent="0.35">
      <c r="B237" s="120" t="s">
        <v>102</v>
      </c>
      <c r="C237" s="110"/>
      <c r="D237" s="110"/>
      <c r="E237" s="118">
        <v>570</v>
      </c>
      <c r="G237" s="120" t="s">
        <v>102</v>
      </c>
      <c r="H237" s="110"/>
      <c r="I237" s="110"/>
      <c r="J237" s="118">
        <v>492</v>
      </c>
      <c r="L237" s="120" t="s">
        <v>102</v>
      </c>
      <c r="M237" s="110"/>
      <c r="N237" s="110"/>
      <c r="O237" s="118">
        <v>468</v>
      </c>
    </row>
    <row r="238" spans="2:15" ht="15.6" thickTop="1" thickBot="1" x14ac:dyDescent="0.35">
      <c r="B238" s="107" t="s">
        <v>250</v>
      </c>
      <c r="C238" s="211"/>
      <c r="D238" s="108"/>
      <c r="E238" s="215"/>
      <c r="G238" s="107" t="s">
        <v>250</v>
      </c>
      <c r="H238" s="211"/>
      <c r="I238" s="108"/>
      <c r="J238" s="215"/>
      <c r="L238" s="107" t="s">
        <v>250</v>
      </c>
      <c r="M238" s="211"/>
      <c r="N238" s="108"/>
      <c r="O238" s="215"/>
    </row>
    <row r="239" spans="2:15" ht="15" thickTop="1" x14ac:dyDescent="0.3">
      <c r="B239" s="106" t="s">
        <v>251</v>
      </c>
      <c r="C239" s="201"/>
      <c r="D239" s="2"/>
      <c r="E239" s="117">
        <v>23.5</v>
      </c>
      <c r="G239" s="106" t="s">
        <v>251</v>
      </c>
      <c r="H239" s="201"/>
      <c r="I239" s="2"/>
      <c r="J239" s="117">
        <v>23.5</v>
      </c>
      <c r="L239" s="106" t="s">
        <v>251</v>
      </c>
      <c r="M239" s="201"/>
      <c r="N239" s="2"/>
      <c r="O239" s="117">
        <v>23.5</v>
      </c>
    </row>
    <row r="240" spans="2:15" x14ac:dyDescent="0.3">
      <c r="B240" s="106" t="s">
        <v>273</v>
      </c>
      <c r="C240" s="212"/>
      <c r="D240" s="213"/>
      <c r="E240" s="115">
        <v>250</v>
      </c>
      <c r="G240" s="106" t="s">
        <v>273</v>
      </c>
      <c r="H240" s="212"/>
      <c r="I240" s="213"/>
      <c r="J240" s="115">
        <v>250</v>
      </c>
      <c r="L240" s="106" t="s">
        <v>273</v>
      </c>
      <c r="M240" s="212"/>
      <c r="N240" s="213"/>
      <c r="O240" s="115">
        <v>450</v>
      </c>
    </row>
    <row r="241" spans="2:15" x14ac:dyDescent="0.3">
      <c r="B241" s="106" t="s">
        <v>272</v>
      </c>
      <c r="C241" s="212"/>
      <c r="D241" s="213"/>
      <c r="E241" s="115">
        <v>24</v>
      </c>
      <c r="G241" s="106" t="s">
        <v>272</v>
      </c>
      <c r="H241" s="212"/>
      <c r="I241" s="213"/>
      <c r="J241" s="115">
        <v>24</v>
      </c>
      <c r="L241" s="106" t="s">
        <v>272</v>
      </c>
      <c r="M241" s="212"/>
      <c r="N241" s="213"/>
      <c r="O241" s="115">
        <v>38</v>
      </c>
    </row>
    <row r="242" spans="2:15" x14ac:dyDescent="0.3">
      <c r="B242" s="106" t="s">
        <v>97</v>
      </c>
      <c r="C242" s="2"/>
      <c r="D242" s="2"/>
      <c r="E242" s="114">
        <v>3050</v>
      </c>
      <c r="G242" s="106" t="s">
        <v>97</v>
      </c>
      <c r="H242" s="2"/>
      <c r="I242" s="2"/>
      <c r="J242" s="114">
        <v>2920</v>
      </c>
      <c r="L242" s="106" t="s">
        <v>97</v>
      </c>
      <c r="M242" s="2"/>
      <c r="N242" s="2"/>
      <c r="O242" s="114">
        <v>3050</v>
      </c>
    </row>
    <row r="243" spans="2:15" x14ac:dyDescent="0.3">
      <c r="B243" s="106" t="s">
        <v>104</v>
      </c>
      <c r="C243" s="2"/>
      <c r="D243" s="2"/>
      <c r="E243" s="113">
        <v>234.61538461538461</v>
      </c>
      <c r="G243" s="106" t="s">
        <v>104</v>
      </c>
      <c r="H243" s="2"/>
      <c r="I243" s="2"/>
      <c r="J243" s="113">
        <v>224.61538461538461</v>
      </c>
      <c r="L243" s="106" t="s">
        <v>104</v>
      </c>
      <c r="M243" s="2"/>
      <c r="N243" s="2"/>
      <c r="O243" s="113">
        <v>234.61538461538461</v>
      </c>
    </row>
    <row r="244" spans="2:15" x14ac:dyDescent="0.3">
      <c r="B244" s="106" t="s">
        <v>259</v>
      </c>
      <c r="C244" s="2"/>
      <c r="D244" s="2"/>
      <c r="E244" s="114">
        <v>1218.5</v>
      </c>
      <c r="G244" s="106" t="s">
        <v>259</v>
      </c>
      <c r="H244" s="2"/>
      <c r="I244" s="2"/>
      <c r="J244" s="114">
        <v>1250.5</v>
      </c>
      <c r="L244" s="106" t="s">
        <v>259</v>
      </c>
      <c r="M244" s="2"/>
      <c r="N244" s="2"/>
      <c r="O244" s="114">
        <v>1116.5</v>
      </c>
    </row>
    <row r="245" spans="2:15" ht="15" thickBot="1" x14ac:dyDescent="0.35">
      <c r="B245" s="106" t="s">
        <v>100</v>
      </c>
      <c r="C245" s="2"/>
      <c r="D245" s="214"/>
      <c r="E245" s="221">
        <v>190.27</v>
      </c>
      <c r="G245" s="106" t="s">
        <v>100</v>
      </c>
      <c r="H245" s="2"/>
      <c r="I245" s="214"/>
      <c r="J245" s="221">
        <v>637.64</v>
      </c>
      <c r="L245" s="106" t="s">
        <v>100</v>
      </c>
      <c r="M245" s="2"/>
      <c r="N245" s="214"/>
      <c r="O245" s="221">
        <v>605.71</v>
      </c>
    </row>
    <row r="246" spans="2:15" ht="15.6" thickTop="1" thickBot="1" x14ac:dyDescent="0.35">
      <c r="B246" s="111" t="s">
        <v>98</v>
      </c>
      <c r="C246" s="112"/>
      <c r="D246" s="216"/>
      <c r="E246" s="217">
        <v>4331.529999999997</v>
      </c>
      <c r="G246" s="111" t="s">
        <v>98</v>
      </c>
      <c r="H246" s="112"/>
      <c r="I246" s="216"/>
      <c r="J246" s="217">
        <v>4233.5299999999961</v>
      </c>
      <c r="L246" s="111" t="s">
        <v>98</v>
      </c>
      <c r="M246" s="112"/>
      <c r="N246" s="216"/>
      <c r="O246" s="217">
        <v>4270.229999999995</v>
      </c>
    </row>
    <row r="247" spans="2:15" ht="15.6" thickTop="1" thickBot="1" x14ac:dyDescent="0.35">
      <c r="B247" s="111" t="s">
        <v>103</v>
      </c>
      <c r="C247" s="112"/>
      <c r="D247" s="216"/>
      <c r="E247" s="234">
        <v>4268.5</v>
      </c>
      <c r="G247" s="111" t="s">
        <v>103</v>
      </c>
      <c r="H247" s="112"/>
      <c r="I247" s="216"/>
      <c r="J247" s="234">
        <v>4170.5</v>
      </c>
      <c r="L247" s="111" t="s">
        <v>103</v>
      </c>
      <c r="M247" s="112"/>
      <c r="N247" s="216"/>
      <c r="O247" s="234">
        <v>4166.5</v>
      </c>
    </row>
    <row r="248" spans="2:15" ht="15.6" thickTop="1" thickBot="1" x14ac:dyDescent="0.35"/>
    <row r="249" spans="2:15" ht="15.6" thickTop="1" thickBot="1" x14ac:dyDescent="0.35">
      <c r="B249" s="352" t="s">
        <v>96</v>
      </c>
      <c r="C249" s="359"/>
      <c r="D249" s="353"/>
      <c r="E249" s="131">
        <v>44788</v>
      </c>
      <c r="G249" s="352" t="s">
        <v>96</v>
      </c>
      <c r="H249" s="359"/>
      <c r="I249" s="353"/>
      <c r="J249" s="131">
        <v>44788</v>
      </c>
      <c r="L249" s="352" t="s">
        <v>96</v>
      </c>
      <c r="M249" s="359"/>
      <c r="N249" s="353"/>
      <c r="O249" s="131">
        <v>44788</v>
      </c>
    </row>
    <row r="250" spans="2:15" ht="15.6" thickTop="1" thickBot="1" x14ac:dyDescent="0.35">
      <c r="B250" s="356"/>
      <c r="C250" s="360"/>
      <c r="D250" s="357"/>
      <c r="E250" s="131">
        <v>45611</v>
      </c>
      <c r="G250" s="356"/>
      <c r="H250" s="360"/>
      <c r="I250" s="357"/>
      <c r="J250" s="131">
        <v>45656</v>
      </c>
      <c r="L250" s="356"/>
      <c r="M250" s="360"/>
      <c r="N250" s="357"/>
      <c r="O250" s="131">
        <v>45672</v>
      </c>
    </row>
    <row r="251" spans="2:15" ht="15.6" thickTop="1" thickBot="1" x14ac:dyDescent="0.35">
      <c r="B251" s="106" t="s">
        <v>95</v>
      </c>
      <c r="C251" s="2"/>
      <c r="D251" s="2"/>
      <c r="E251" s="200">
        <v>3640</v>
      </c>
      <c r="G251" s="106" t="s">
        <v>95</v>
      </c>
      <c r="H251" s="2"/>
      <c r="I251" s="2"/>
      <c r="J251" s="200">
        <v>3770</v>
      </c>
      <c r="L251" s="106" t="s">
        <v>95</v>
      </c>
      <c r="M251" s="2"/>
      <c r="N251" s="2"/>
      <c r="O251" s="200">
        <v>3900</v>
      </c>
    </row>
    <row r="252" spans="2:15" ht="15.6" thickTop="1" thickBot="1" x14ac:dyDescent="0.35">
      <c r="B252" s="107" t="s">
        <v>183</v>
      </c>
      <c r="C252" s="108"/>
      <c r="D252" s="108"/>
      <c r="E252" s="208"/>
      <c r="G252" s="107" t="s">
        <v>183</v>
      </c>
      <c r="H252" s="108"/>
      <c r="I252" s="108"/>
      <c r="J252" s="208"/>
      <c r="L252" s="107" t="s">
        <v>183</v>
      </c>
      <c r="M252" s="108"/>
      <c r="N252" s="108"/>
      <c r="O252" s="208"/>
    </row>
    <row r="253" spans="2:15" ht="15" thickTop="1" x14ac:dyDescent="0.3">
      <c r="B253" s="206" t="s">
        <v>247</v>
      </c>
      <c r="C253" s="2"/>
      <c r="D253" s="2"/>
      <c r="E253" s="199">
        <v>17360</v>
      </c>
      <c r="G253" s="206" t="s">
        <v>247</v>
      </c>
      <c r="H253" s="2"/>
      <c r="I253" s="2"/>
      <c r="J253" s="199">
        <v>18940</v>
      </c>
      <c r="L253" s="206" t="s">
        <v>247</v>
      </c>
      <c r="M253" s="2"/>
      <c r="N253" s="2"/>
      <c r="O253" s="199">
        <v>20490</v>
      </c>
    </row>
    <row r="254" spans="2:15" x14ac:dyDescent="0.3">
      <c r="B254" s="207" t="s">
        <v>248</v>
      </c>
      <c r="C254" s="2"/>
      <c r="D254" s="2"/>
      <c r="E254" s="115">
        <v>460</v>
      </c>
      <c r="G254" s="207" t="s">
        <v>248</v>
      </c>
      <c r="H254" s="2"/>
      <c r="I254" s="2"/>
      <c r="J254" s="115">
        <v>460</v>
      </c>
      <c r="L254" s="207" t="s">
        <v>248</v>
      </c>
      <c r="M254" s="2"/>
      <c r="N254" s="2"/>
      <c r="O254" s="115">
        <v>460</v>
      </c>
    </row>
    <row r="255" spans="2:15" x14ac:dyDescent="0.3">
      <c r="B255" s="106" t="s">
        <v>107</v>
      </c>
      <c r="C255" s="2"/>
      <c r="D255" s="2"/>
      <c r="E255" s="116">
        <v>1700</v>
      </c>
      <c r="G255" s="106" t="s">
        <v>107</v>
      </c>
      <c r="H255" s="2"/>
      <c r="I255" s="2"/>
      <c r="J255" s="116">
        <v>1580</v>
      </c>
      <c r="L255" s="106" t="s">
        <v>107</v>
      </c>
      <c r="M255" s="2"/>
      <c r="N255" s="2"/>
      <c r="O255" s="116">
        <v>1550</v>
      </c>
    </row>
    <row r="256" spans="2:15" x14ac:dyDescent="0.3">
      <c r="B256" s="207" t="s">
        <v>249</v>
      </c>
      <c r="C256" s="2"/>
      <c r="D256" s="2"/>
      <c r="E256" s="209">
        <v>1831</v>
      </c>
      <c r="G256" s="207" t="s">
        <v>249</v>
      </c>
      <c r="H256" s="2"/>
      <c r="I256" s="2"/>
      <c r="J256" s="209">
        <v>2082.6</v>
      </c>
      <c r="L256" s="207" t="s">
        <v>249</v>
      </c>
      <c r="M256" s="2"/>
      <c r="N256" s="2"/>
      <c r="O256" s="209">
        <v>2284.6</v>
      </c>
    </row>
    <row r="257" spans="2:17" ht="15" thickBot="1" x14ac:dyDescent="0.35">
      <c r="B257" s="106" t="s">
        <v>109</v>
      </c>
      <c r="C257" s="2"/>
      <c r="D257" s="2"/>
      <c r="E257" s="116">
        <v>250</v>
      </c>
      <c r="G257" s="106" t="s">
        <v>109</v>
      </c>
      <c r="H257" s="2"/>
      <c r="I257" s="2"/>
      <c r="J257" s="116">
        <v>251.6</v>
      </c>
      <c r="L257" s="106" t="s">
        <v>109</v>
      </c>
      <c r="M257" s="2"/>
      <c r="N257" s="2"/>
      <c r="O257" s="116">
        <v>202</v>
      </c>
    </row>
    <row r="258" spans="2:17" ht="15.6" thickTop="1" thickBot="1" x14ac:dyDescent="0.35">
      <c r="B258" s="210" t="s">
        <v>41</v>
      </c>
      <c r="C258" s="108"/>
      <c r="D258" s="108"/>
      <c r="E258" s="208"/>
      <c r="G258" s="210" t="s">
        <v>41</v>
      </c>
      <c r="H258" s="108"/>
      <c r="I258" s="108"/>
      <c r="J258" s="208"/>
      <c r="L258" s="210" t="s">
        <v>41</v>
      </c>
      <c r="M258" s="108"/>
      <c r="N258" s="108"/>
      <c r="O258" s="208"/>
    </row>
    <row r="259" spans="2:17" ht="15" thickTop="1" x14ac:dyDescent="0.3">
      <c r="B259" s="106" t="s">
        <v>105</v>
      </c>
      <c r="C259" s="2"/>
      <c r="D259" s="2"/>
      <c r="E259" s="115">
        <v>13426.550000000007</v>
      </c>
      <c r="G259" s="106" t="s">
        <v>105</v>
      </c>
      <c r="H259" s="2"/>
      <c r="I259" s="2"/>
      <c r="J259" s="115">
        <v>14624.890000000007</v>
      </c>
      <c r="L259" s="106" t="s">
        <v>105</v>
      </c>
      <c r="M259" s="2"/>
      <c r="N259" s="2"/>
      <c r="O259" s="115">
        <v>16028.230000000007</v>
      </c>
    </row>
    <row r="260" spans="2:17" x14ac:dyDescent="0.3">
      <c r="B260" s="106" t="s">
        <v>108</v>
      </c>
      <c r="C260" s="2"/>
      <c r="D260" s="2"/>
      <c r="E260" s="116">
        <v>963.07</v>
      </c>
      <c r="G260" s="106" t="s">
        <v>108</v>
      </c>
      <c r="H260" s="2"/>
      <c r="I260" s="2"/>
      <c r="J260" s="116">
        <v>1198.3400000000001</v>
      </c>
      <c r="L260" s="106" t="s">
        <v>108</v>
      </c>
      <c r="M260" s="2"/>
      <c r="N260" s="2"/>
      <c r="O260" s="116">
        <v>1403.3400000000001</v>
      </c>
    </row>
    <row r="261" spans="2:17" ht="15" thickBot="1" x14ac:dyDescent="0.35">
      <c r="B261" s="120" t="s">
        <v>99</v>
      </c>
      <c r="C261" s="119"/>
      <c r="D261" s="110"/>
      <c r="E261" s="118">
        <v>3933.4499999999935</v>
      </c>
      <c r="G261" s="120" t="s">
        <v>99</v>
      </c>
      <c r="H261" s="119"/>
      <c r="I261" s="110"/>
      <c r="J261" s="118">
        <v>4315.1099999999933</v>
      </c>
      <c r="L261" s="120" t="s">
        <v>99</v>
      </c>
      <c r="M261" s="119"/>
      <c r="N261" s="110"/>
      <c r="O261" s="118">
        <v>4461.7699999999932</v>
      </c>
    </row>
    <row r="262" spans="2:17" ht="15" thickTop="1" x14ac:dyDescent="0.3">
      <c r="B262" s="106" t="s">
        <v>106</v>
      </c>
      <c r="C262" s="2"/>
      <c r="D262" s="2"/>
      <c r="E262" s="115">
        <v>1223</v>
      </c>
      <c r="G262" s="106" t="s">
        <v>106</v>
      </c>
      <c r="H262" s="2"/>
      <c r="I262" s="2"/>
      <c r="J262" s="115">
        <v>1345</v>
      </c>
      <c r="L262" s="106" t="s">
        <v>106</v>
      </c>
      <c r="M262" s="2"/>
      <c r="N262" s="2"/>
      <c r="O262" s="115">
        <v>1490.6</v>
      </c>
    </row>
    <row r="263" spans="2:17" x14ac:dyDescent="0.3">
      <c r="B263" s="106" t="s">
        <v>110</v>
      </c>
      <c r="C263" s="2"/>
      <c r="D263" s="2"/>
      <c r="E263" s="116">
        <v>110</v>
      </c>
      <c r="G263" s="106" t="s">
        <v>110</v>
      </c>
      <c r="H263" s="2"/>
      <c r="I263" s="2"/>
      <c r="J263" s="116">
        <v>122</v>
      </c>
      <c r="L263" s="106" t="s">
        <v>110</v>
      </c>
      <c r="M263" s="2"/>
      <c r="N263" s="2"/>
      <c r="O263" s="116">
        <v>145.6</v>
      </c>
    </row>
    <row r="264" spans="2:17" ht="15" thickBot="1" x14ac:dyDescent="0.35">
      <c r="B264" s="120" t="s">
        <v>102</v>
      </c>
      <c r="C264" s="110"/>
      <c r="D264" s="110"/>
      <c r="E264" s="118">
        <v>608</v>
      </c>
      <c r="G264" s="120" t="s">
        <v>102</v>
      </c>
      <c r="H264" s="110"/>
      <c r="I264" s="110"/>
      <c r="J264" s="118">
        <v>737.59999999999991</v>
      </c>
      <c r="L264" s="120" t="s">
        <v>102</v>
      </c>
      <c r="M264" s="110"/>
      <c r="N264" s="110"/>
      <c r="O264" s="118">
        <v>794</v>
      </c>
    </row>
    <row r="265" spans="2:17" ht="15.6" thickTop="1" thickBot="1" x14ac:dyDescent="0.35">
      <c r="B265" s="107" t="s">
        <v>250</v>
      </c>
      <c r="C265" s="211"/>
      <c r="D265" s="108"/>
      <c r="E265" s="215"/>
      <c r="G265" s="107" t="s">
        <v>250</v>
      </c>
      <c r="H265" s="211"/>
      <c r="I265" s="108"/>
      <c r="J265" s="215"/>
      <c r="L265" s="107" t="s">
        <v>250</v>
      </c>
      <c r="M265" s="211"/>
      <c r="N265" s="108"/>
      <c r="O265" s="215"/>
    </row>
    <row r="266" spans="2:17" ht="15" thickTop="1" x14ac:dyDescent="0.3">
      <c r="B266" s="106" t="s">
        <v>251</v>
      </c>
      <c r="C266" s="201"/>
      <c r="D266" s="2"/>
      <c r="E266" s="117">
        <v>156.99999999999997</v>
      </c>
      <c r="G266" s="106" t="s">
        <v>251</v>
      </c>
      <c r="H266" s="201"/>
      <c r="I266" s="2"/>
      <c r="J266" s="117">
        <v>183.69999999999996</v>
      </c>
      <c r="L266" s="106" t="s">
        <v>251</v>
      </c>
      <c r="M266" s="201"/>
      <c r="N266" s="2"/>
      <c r="O266" s="117">
        <v>183.69999999999996</v>
      </c>
    </row>
    <row r="267" spans="2:17" x14ac:dyDescent="0.3">
      <c r="B267" s="106" t="s">
        <v>273</v>
      </c>
      <c r="C267" s="212"/>
      <c r="D267" s="213"/>
      <c r="E267" s="115">
        <v>450</v>
      </c>
      <c r="G267" s="106" t="s">
        <v>273</v>
      </c>
      <c r="H267" s="212"/>
      <c r="I267" s="213"/>
      <c r="J267" s="115">
        <v>450</v>
      </c>
      <c r="L267" s="106" t="s">
        <v>273</v>
      </c>
      <c r="M267" s="212"/>
      <c r="N267" s="213"/>
      <c r="O267" s="115">
        <v>450</v>
      </c>
    </row>
    <row r="268" spans="2:17" x14ac:dyDescent="0.3">
      <c r="B268" s="106" t="s">
        <v>272</v>
      </c>
      <c r="C268" s="212"/>
      <c r="D268" s="213"/>
      <c r="E268" s="115">
        <v>50</v>
      </c>
      <c r="G268" s="106" t="s">
        <v>272</v>
      </c>
      <c r="H268" s="212"/>
      <c r="I268" s="213"/>
      <c r="J268" s="115">
        <v>66</v>
      </c>
      <c r="L268" s="106" t="s">
        <v>272</v>
      </c>
      <c r="M268" s="212"/>
      <c r="N268" s="213"/>
      <c r="O268" s="115">
        <v>88</v>
      </c>
      <c r="Q268" s="21"/>
    </row>
    <row r="269" spans="2:17" x14ac:dyDescent="0.3">
      <c r="B269" s="106" t="s">
        <v>97</v>
      </c>
      <c r="C269" s="2"/>
      <c r="D269" s="2"/>
      <c r="E269" s="114">
        <v>3180</v>
      </c>
      <c r="G269" s="106" t="s">
        <v>97</v>
      </c>
      <c r="H269" s="2"/>
      <c r="I269" s="2"/>
      <c r="J269" s="114">
        <v>3310</v>
      </c>
      <c r="L269" s="106" t="s">
        <v>97</v>
      </c>
      <c r="M269" s="2"/>
      <c r="N269" s="2"/>
      <c r="O269" s="114">
        <v>3440</v>
      </c>
    </row>
    <row r="270" spans="2:17" x14ac:dyDescent="0.3">
      <c r="B270" s="106" t="s">
        <v>104</v>
      </c>
      <c r="C270" s="2"/>
      <c r="D270" s="2"/>
      <c r="E270" s="113">
        <v>244.61538461538461</v>
      </c>
      <c r="G270" s="106" t="s">
        <v>104</v>
      </c>
      <c r="H270" s="2"/>
      <c r="I270" s="2"/>
      <c r="J270" s="113">
        <v>254.61538461538461</v>
      </c>
      <c r="L270" s="106" t="s">
        <v>104</v>
      </c>
      <c r="M270" s="2"/>
      <c r="N270" s="2"/>
      <c r="O270" s="113">
        <v>264.61538461538464</v>
      </c>
    </row>
    <row r="271" spans="2:17" x14ac:dyDescent="0.3">
      <c r="B271" s="106" t="s">
        <v>259</v>
      </c>
      <c r="C271" s="2"/>
      <c r="D271" s="2"/>
      <c r="E271" s="114">
        <v>1488</v>
      </c>
      <c r="G271" s="106" t="s">
        <v>259</v>
      </c>
      <c r="H271" s="2"/>
      <c r="I271" s="2"/>
      <c r="J271" s="114">
        <v>1750.3</v>
      </c>
      <c r="L271" s="106" t="s">
        <v>259</v>
      </c>
      <c r="M271" s="2"/>
      <c r="N271" s="2"/>
      <c r="O271" s="114">
        <v>1930.3</v>
      </c>
    </row>
    <row r="272" spans="2:17" ht="15" thickBot="1" x14ac:dyDescent="0.35">
      <c r="B272" s="106" t="s">
        <v>100</v>
      </c>
      <c r="C272" s="2"/>
      <c r="D272" s="214"/>
      <c r="E272" s="221">
        <v>215.58</v>
      </c>
      <c r="G272" s="106" t="s">
        <v>100</v>
      </c>
      <c r="H272" s="2"/>
      <c r="I272" s="214"/>
      <c r="J272" s="221">
        <v>112.61</v>
      </c>
      <c r="L272" s="106" t="s">
        <v>100</v>
      </c>
      <c r="M272" s="2"/>
      <c r="N272" s="214"/>
      <c r="O272" s="221">
        <v>241.55</v>
      </c>
    </row>
    <row r="273" spans="2:15" ht="15.6" thickTop="1" thickBot="1" x14ac:dyDescent="0.35">
      <c r="B273" s="111" t="s">
        <v>98</v>
      </c>
      <c r="C273" s="112"/>
      <c r="D273" s="216"/>
      <c r="E273" s="217">
        <v>4757.0299999999934</v>
      </c>
      <c r="G273" s="111" t="s">
        <v>98</v>
      </c>
      <c r="H273" s="112"/>
      <c r="I273" s="216"/>
      <c r="J273" s="217">
        <v>5165.3199999999933</v>
      </c>
      <c r="L273" s="111" t="s">
        <v>98</v>
      </c>
      <c r="M273" s="112"/>
      <c r="N273" s="216"/>
      <c r="O273" s="217">
        <v>5497.3199999999933</v>
      </c>
    </row>
    <row r="274" spans="2:15" ht="15.6" thickTop="1" thickBot="1" x14ac:dyDescent="0.35">
      <c r="B274" s="111" t="s">
        <v>103</v>
      </c>
      <c r="C274" s="112"/>
      <c r="D274" s="216"/>
      <c r="E274" s="234">
        <v>4668</v>
      </c>
      <c r="G274" s="111" t="s">
        <v>103</v>
      </c>
      <c r="H274" s="112"/>
      <c r="I274" s="216"/>
      <c r="J274" s="234">
        <v>5060.3</v>
      </c>
      <c r="L274" s="111" t="s">
        <v>103</v>
      </c>
      <c r="M274" s="112"/>
      <c r="N274" s="216"/>
      <c r="O274" s="234">
        <v>5370.3</v>
      </c>
    </row>
    <row r="275" spans="2:15" ht="15.6" thickTop="1" thickBot="1" x14ac:dyDescent="0.35"/>
    <row r="276" spans="2:15" ht="15.6" thickTop="1" thickBot="1" x14ac:dyDescent="0.35">
      <c r="B276" s="352" t="s">
        <v>96</v>
      </c>
      <c r="C276" s="359"/>
      <c r="D276" s="353"/>
      <c r="E276" s="131">
        <v>44788</v>
      </c>
      <c r="G276" s="352" t="s">
        <v>96</v>
      </c>
      <c r="H276" s="359"/>
      <c r="I276" s="353"/>
      <c r="J276" s="131">
        <v>44788</v>
      </c>
      <c r="L276" s="352" t="s">
        <v>96</v>
      </c>
      <c r="M276" s="359"/>
      <c r="N276" s="353"/>
      <c r="O276" s="131">
        <v>44788</v>
      </c>
    </row>
    <row r="277" spans="2:15" ht="15.6" thickTop="1" thickBot="1" x14ac:dyDescent="0.35">
      <c r="B277" s="356"/>
      <c r="C277" s="360"/>
      <c r="D277" s="357"/>
      <c r="E277" s="131">
        <v>45703</v>
      </c>
      <c r="G277" s="356"/>
      <c r="H277" s="360"/>
      <c r="I277" s="357"/>
      <c r="J277" s="131">
        <v>45732</v>
      </c>
      <c r="L277" s="356"/>
      <c r="M277" s="360"/>
      <c r="N277" s="357"/>
      <c r="O277" s="131">
        <v>45761</v>
      </c>
    </row>
    <row r="278" spans="2:15" ht="15.6" thickTop="1" thickBot="1" x14ac:dyDescent="0.35">
      <c r="B278" s="106" t="s">
        <v>95</v>
      </c>
      <c r="C278" s="2"/>
      <c r="D278" s="2"/>
      <c r="E278" s="200">
        <v>4030</v>
      </c>
      <c r="G278" s="106" t="s">
        <v>95</v>
      </c>
      <c r="H278" s="2"/>
      <c r="I278" s="2"/>
      <c r="J278" s="200">
        <v>4030</v>
      </c>
      <c r="L278" s="106" t="s">
        <v>95</v>
      </c>
      <c r="M278" s="2"/>
      <c r="N278" s="2"/>
      <c r="O278" s="200">
        <v>4160</v>
      </c>
    </row>
    <row r="279" spans="2:15" ht="15.6" thickTop="1" thickBot="1" x14ac:dyDescent="0.35">
      <c r="B279" s="107" t="s">
        <v>183</v>
      </c>
      <c r="C279" s="108"/>
      <c r="D279" s="108"/>
      <c r="E279" s="208"/>
      <c r="G279" s="107" t="s">
        <v>183</v>
      </c>
      <c r="H279" s="108"/>
      <c r="I279" s="108"/>
      <c r="J279" s="208"/>
      <c r="L279" s="107" t="s">
        <v>183</v>
      </c>
      <c r="M279" s="108"/>
      <c r="N279" s="108"/>
      <c r="O279" s="208"/>
    </row>
    <row r="280" spans="2:15" ht="15" thickTop="1" x14ac:dyDescent="0.3">
      <c r="B280" s="206" t="s">
        <v>247</v>
      </c>
      <c r="C280" s="2"/>
      <c r="D280" s="2"/>
      <c r="E280" s="199">
        <v>21290</v>
      </c>
      <c r="G280" s="206" t="s">
        <v>247</v>
      </c>
      <c r="H280" s="2"/>
      <c r="I280" s="2"/>
      <c r="J280" s="199">
        <v>22390</v>
      </c>
      <c r="L280" s="206" t="s">
        <v>247</v>
      </c>
      <c r="M280" s="2"/>
      <c r="N280" s="2"/>
      <c r="O280" s="199">
        <v>23590</v>
      </c>
    </row>
    <row r="281" spans="2:15" x14ac:dyDescent="0.3">
      <c r="B281" s="207" t="s">
        <v>248</v>
      </c>
      <c r="C281" s="2"/>
      <c r="D281" s="2"/>
      <c r="E281" s="115">
        <v>460</v>
      </c>
      <c r="G281" s="207" t="s">
        <v>248</v>
      </c>
      <c r="H281" s="2"/>
      <c r="I281" s="2"/>
      <c r="J281" s="115">
        <v>460</v>
      </c>
      <c r="L281" s="207" t="s">
        <v>248</v>
      </c>
      <c r="M281" s="2"/>
      <c r="N281" s="2"/>
      <c r="O281" s="115">
        <v>460</v>
      </c>
    </row>
    <row r="282" spans="2:15" x14ac:dyDescent="0.3">
      <c r="B282" s="106" t="s">
        <v>107</v>
      </c>
      <c r="C282" s="2"/>
      <c r="D282" s="2"/>
      <c r="E282" s="116">
        <v>800</v>
      </c>
      <c r="G282" s="106" t="s">
        <v>107</v>
      </c>
      <c r="H282" s="2"/>
      <c r="I282" s="2"/>
      <c r="J282" s="116">
        <v>700</v>
      </c>
      <c r="L282" s="106" t="s">
        <v>107</v>
      </c>
      <c r="M282" s="2"/>
      <c r="N282" s="2"/>
      <c r="O282" s="116">
        <v>1900</v>
      </c>
    </row>
    <row r="283" spans="2:15" x14ac:dyDescent="0.3">
      <c r="B283" s="207" t="s">
        <v>249</v>
      </c>
      <c r="C283" s="2"/>
      <c r="D283" s="2"/>
      <c r="E283" s="209">
        <v>2352.6</v>
      </c>
      <c r="G283" s="207" t="s">
        <v>249</v>
      </c>
      <c r="H283" s="2"/>
      <c r="I283" s="2"/>
      <c r="J283" s="209">
        <v>2402.6</v>
      </c>
      <c r="L283" s="207" t="s">
        <v>249</v>
      </c>
      <c r="M283" s="2"/>
      <c r="N283" s="2"/>
      <c r="O283" s="209">
        <v>2426.6</v>
      </c>
    </row>
    <row r="284" spans="2:15" ht="15" thickBot="1" x14ac:dyDescent="0.35">
      <c r="B284" s="106" t="s">
        <v>109</v>
      </c>
      <c r="C284" s="2"/>
      <c r="D284" s="2"/>
      <c r="E284" s="116">
        <v>68</v>
      </c>
      <c r="G284" s="106" t="s">
        <v>109</v>
      </c>
      <c r="H284" s="2"/>
      <c r="I284" s="2"/>
      <c r="J284" s="116">
        <v>42</v>
      </c>
      <c r="L284" s="106" t="s">
        <v>109</v>
      </c>
      <c r="M284" s="2"/>
      <c r="N284" s="2"/>
      <c r="O284" s="116">
        <v>66</v>
      </c>
    </row>
    <row r="285" spans="2:15" ht="15.6" thickTop="1" thickBot="1" x14ac:dyDescent="0.35">
      <c r="B285" s="210" t="s">
        <v>41</v>
      </c>
      <c r="C285" s="108"/>
      <c r="D285" s="108"/>
      <c r="E285" s="208"/>
      <c r="G285" s="210" t="s">
        <v>41</v>
      </c>
      <c r="H285" s="108"/>
      <c r="I285" s="108"/>
      <c r="J285" s="208"/>
      <c r="L285" s="210" t="s">
        <v>41</v>
      </c>
      <c r="M285" s="108"/>
      <c r="N285" s="108"/>
      <c r="O285" s="208"/>
    </row>
    <row r="286" spans="2:15" ht="15" thickTop="1" x14ac:dyDescent="0.3">
      <c r="B286" s="106" t="s">
        <v>105</v>
      </c>
      <c r="C286" s="2"/>
      <c r="D286" s="2"/>
      <c r="E286" s="115">
        <v>17001.570000000007</v>
      </c>
      <c r="G286" s="106" t="s">
        <v>105</v>
      </c>
      <c r="H286" s="2"/>
      <c r="I286" s="2"/>
      <c r="J286" s="115">
        <v>17768.240000000005</v>
      </c>
      <c r="L286" s="106" t="s">
        <v>105</v>
      </c>
      <c r="M286" s="2"/>
      <c r="N286" s="2"/>
      <c r="O286" s="115">
        <v>18383.240000000005</v>
      </c>
    </row>
    <row r="287" spans="2:15" x14ac:dyDescent="0.3">
      <c r="B287" s="106" t="s">
        <v>108</v>
      </c>
      <c r="C287" s="2"/>
      <c r="D287" s="2"/>
      <c r="E287" s="116">
        <v>973.34</v>
      </c>
      <c r="G287" s="106" t="s">
        <v>108</v>
      </c>
      <c r="H287" s="2"/>
      <c r="I287" s="2"/>
      <c r="J287" s="116">
        <v>691.67000000000007</v>
      </c>
      <c r="L287" s="106" t="s">
        <v>108</v>
      </c>
      <c r="M287" s="2"/>
      <c r="N287" s="2"/>
      <c r="O287" s="116">
        <v>1306.67</v>
      </c>
    </row>
    <row r="288" spans="2:15" ht="15" thickBot="1" x14ac:dyDescent="0.35">
      <c r="B288" s="120" t="s">
        <v>99</v>
      </c>
      <c r="C288" s="119"/>
      <c r="D288" s="110"/>
      <c r="E288" s="118">
        <v>4288.429999999993</v>
      </c>
      <c r="G288" s="120" t="s">
        <v>99</v>
      </c>
      <c r="H288" s="119"/>
      <c r="I288" s="110"/>
      <c r="J288" s="118">
        <v>4621.7599999999948</v>
      </c>
      <c r="L288" s="120" t="s">
        <v>99</v>
      </c>
      <c r="M288" s="119"/>
      <c r="N288" s="110"/>
      <c r="O288" s="118">
        <v>5206.7599999999948</v>
      </c>
    </row>
    <row r="289" spans="2:15" ht="15" thickTop="1" x14ac:dyDescent="0.3">
      <c r="B289" s="106" t="s">
        <v>106</v>
      </c>
      <c r="C289" s="2"/>
      <c r="D289" s="2"/>
      <c r="E289" s="115">
        <v>1620.6</v>
      </c>
      <c r="G289" s="106" t="s">
        <v>106</v>
      </c>
      <c r="H289" s="2"/>
      <c r="I289" s="2"/>
      <c r="J289" s="115">
        <v>1721.6</v>
      </c>
      <c r="L289" s="106" t="s">
        <v>106</v>
      </c>
      <c r="M289" s="2"/>
      <c r="N289" s="2"/>
      <c r="O289" s="115">
        <v>1750.6</v>
      </c>
    </row>
    <row r="290" spans="2:15" x14ac:dyDescent="0.3">
      <c r="B290" s="106" t="s">
        <v>110</v>
      </c>
      <c r="C290" s="2"/>
      <c r="D290" s="2"/>
      <c r="E290" s="116">
        <v>130</v>
      </c>
      <c r="G290" s="106" t="s">
        <v>110</v>
      </c>
      <c r="H290" s="2"/>
      <c r="I290" s="2"/>
      <c r="J290" s="116">
        <v>98</v>
      </c>
      <c r="L290" s="106" t="s">
        <v>110</v>
      </c>
      <c r="M290" s="2"/>
      <c r="N290" s="2"/>
      <c r="O290" s="116">
        <v>127</v>
      </c>
    </row>
    <row r="291" spans="2:15" ht="15" thickBot="1" x14ac:dyDescent="0.35">
      <c r="B291" s="120" t="s">
        <v>102</v>
      </c>
      <c r="C291" s="110"/>
      <c r="D291" s="110"/>
      <c r="E291" s="118">
        <v>732</v>
      </c>
      <c r="G291" s="120" t="s">
        <v>102</v>
      </c>
      <c r="H291" s="110"/>
      <c r="I291" s="110"/>
      <c r="J291" s="118">
        <v>681</v>
      </c>
      <c r="L291" s="120" t="s">
        <v>102</v>
      </c>
      <c r="M291" s="110"/>
      <c r="N291" s="110"/>
      <c r="O291" s="118">
        <v>676</v>
      </c>
    </row>
    <row r="292" spans="2:15" ht="15.6" thickTop="1" thickBot="1" x14ac:dyDescent="0.35">
      <c r="B292" s="107" t="s">
        <v>250</v>
      </c>
      <c r="C292" s="211"/>
      <c r="D292" s="108"/>
      <c r="E292" s="215"/>
      <c r="G292" s="107" t="s">
        <v>250</v>
      </c>
      <c r="H292" s="211"/>
      <c r="I292" s="108"/>
      <c r="J292" s="215"/>
      <c r="L292" s="107" t="s">
        <v>250</v>
      </c>
      <c r="M292" s="211"/>
      <c r="N292" s="108"/>
      <c r="O292" s="215"/>
    </row>
    <row r="293" spans="2:15" ht="15" thickTop="1" x14ac:dyDescent="0.3">
      <c r="B293" s="106" t="s">
        <v>251</v>
      </c>
      <c r="C293" s="201"/>
      <c r="D293" s="2"/>
      <c r="E293" s="117">
        <v>184.69999999999996</v>
      </c>
      <c r="G293" s="106" t="s">
        <v>251</v>
      </c>
      <c r="H293" s="201"/>
      <c r="I293" s="2"/>
      <c r="J293" s="117">
        <v>184.69999999999996</v>
      </c>
      <c r="L293" s="106" t="s">
        <v>251</v>
      </c>
      <c r="M293" s="201"/>
      <c r="N293" s="2"/>
      <c r="O293" s="117">
        <v>184.69999999999996</v>
      </c>
    </row>
    <row r="294" spans="2:15" x14ac:dyDescent="0.3">
      <c r="B294" s="106" t="s">
        <v>273</v>
      </c>
      <c r="C294" s="212"/>
      <c r="D294" s="213"/>
      <c r="E294" s="115">
        <v>450</v>
      </c>
      <c r="G294" s="106" t="s">
        <v>273</v>
      </c>
      <c r="H294" s="212"/>
      <c r="I294" s="213"/>
      <c r="J294" s="115">
        <v>450</v>
      </c>
      <c r="L294" s="106" t="s">
        <v>273</v>
      </c>
      <c r="M294" s="212"/>
      <c r="N294" s="213"/>
      <c r="O294" s="115">
        <v>450</v>
      </c>
    </row>
    <row r="295" spans="2:15" x14ac:dyDescent="0.3">
      <c r="B295" s="106" t="s">
        <v>272</v>
      </c>
      <c r="C295" s="212"/>
      <c r="D295" s="213"/>
      <c r="E295" s="115">
        <v>88</v>
      </c>
      <c r="G295" s="106" t="s">
        <v>272</v>
      </c>
      <c r="H295" s="212"/>
      <c r="I295" s="213"/>
      <c r="J295" s="115">
        <v>88</v>
      </c>
      <c r="L295" s="106" t="s">
        <v>272</v>
      </c>
      <c r="M295" s="212"/>
      <c r="N295" s="213"/>
      <c r="O295" s="115">
        <v>88</v>
      </c>
    </row>
    <row r="296" spans="2:15" x14ac:dyDescent="0.3">
      <c r="B296" s="106" t="s">
        <v>97</v>
      </c>
      <c r="C296" s="2"/>
      <c r="D296" s="2"/>
      <c r="E296" s="114">
        <v>3570</v>
      </c>
      <c r="G296" s="106" t="s">
        <v>97</v>
      </c>
      <c r="H296" s="2"/>
      <c r="I296" s="2"/>
      <c r="J296" s="114">
        <v>3570</v>
      </c>
      <c r="L296" s="106" t="s">
        <v>97</v>
      </c>
      <c r="M296" s="2"/>
      <c r="N296" s="2"/>
      <c r="O296" s="114">
        <v>3700</v>
      </c>
    </row>
    <row r="297" spans="2:15" x14ac:dyDescent="0.3">
      <c r="B297" s="106" t="s">
        <v>104</v>
      </c>
      <c r="C297" s="2"/>
      <c r="D297" s="2"/>
      <c r="E297" s="113">
        <v>274.61538461538464</v>
      </c>
      <c r="G297" s="106" t="s">
        <v>104</v>
      </c>
      <c r="H297" s="2"/>
      <c r="I297" s="2"/>
      <c r="J297" s="113">
        <v>274.61538461538464</v>
      </c>
      <c r="L297" s="106" t="s">
        <v>104</v>
      </c>
      <c r="M297" s="2"/>
      <c r="N297" s="2"/>
      <c r="O297" s="113">
        <v>284.61538461538464</v>
      </c>
    </row>
    <row r="298" spans="2:15" x14ac:dyDescent="0.3">
      <c r="B298" s="106" t="s">
        <v>259</v>
      </c>
      <c r="C298" s="2"/>
      <c r="D298" s="2"/>
      <c r="E298" s="114">
        <v>1999.3</v>
      </c>
      <c r="G298" s="106" t="s">
        <v>259</v>
      </c>
      <c r="H298" s="2"/>
      <c r="I298" s="2"/>
      <c r="J298" s="114">
        <v>2049.2999999999997</v>
      </c>
      <c r="L298" s="106" t="s">
        <v>259</v>
      </c>
      <c r="M298" s="2"/>
      <c r="N298" s="2"/>
      <c r="O298" s="114">
        <v>2073.2999999999997</v>
      </c>
    </row>
    <row r="299" spans="2:15" ht="15" thickBot="1" x14ac:dyDescent="0.35">
      <c r="B299" s="106" t="s">
        <v>100</v>
      </c>
      <c r="C299" s="2"/>
      <c r="D299" s="214"/>
      <c r="E299" s="221">
        <v>353.8900000000001</v>
      </c>
      <c r="G299" s="106" t="s">
        <v>100</v>
      </c>
      <c r="H299" s="2"/>
      <c r="I299" s="214"/>
      <c r="J299" s="221">
        <v>523.55999999999995</v>
      </c>
      <c r="L299" s="106" t="s">
        <v>100</v>
      </c>
      <c r="M299" s="2"/>
      <c r="N299" s="214"/>
      <c r="O299" s="221">
        <v>17.559999999999945</v>
      </c>
    </row>
    <row r="300" spans="2:15" ht="15.6" thickTop="1" thickBot="1" x14ac:dyDescent="0.35">
      <c r="B300" s="111" t="s">
        <v>98</v>
      </c>
      <c r="C300" s="112"/>
      <c r="D300" s="216"/>
      <c r="E300" s="217">
        <v>5696.3199999999933</v>
      </c>
      <c r="G300" s="111" t="s">
        <v>98</v>
      </c>
      <c r="H300" s="112"/>
      <c r="I300" s="216"/>
      <c r="J300" s="217">
        <v>5826.3199999999943</v>
      </c>
      <c r="L300" s="111" t="s">
        <v>98</v>
      </c>
      <c r="M300" s="112"/>
      <c r="N300" s="216"/>
      <c r="O300" s="217">
        <v>5900.3199999999943</v>
      </c>
    </row>
    <row r="301" spans="2:15" ht="15.6" thickTop="1" thickBot="1" x14ac:dyDescent="0.35">
      <c r="B301" s="111" t="s">
        <v>103</v>
      </c>
      <c r="C301" s="112"/>
      <c r="D301" s="216"/>
      <c r="E301" s="234">
        <v>5569.3</v>
      </c>
      <c r="G301" s="111" t="s">
        <v>103</v>
      </c>
      <c r="H301" s="112"/>
      <c r="I301" s="216"/>
      <c r="J301" s="234">
        <v>5619.2999999999993</v>
      </c>
      <c r="L301" s="111" t="s">
        <v>103</v>
      </c>
      <c r="M301" s="112"/>
      <c r="N301" s="216"/>
      <c r="O301" s="234">
        <v>5773.2999999999993</v>
      </c>
    </row>
    <row r="302" spans="2:15" ht="15.6" thickTop="1" thickBot="1" x14ac:dyDescent="0.35"/>
    <row r="303" spans="2:15" ht="15.6" thickTop="1" thickBot="1" x14ac:dyDescent="0.35">
      <c r="B303" s="352" t="s">
        <v>96</v>
      </c>
      <c r="C303" s="359"/>
      <c r="D303" s="353"/>
      <c r="E303" s="131">
        <v>44788</v>
      </c>
      <c r="G303" s="352" t="s">
        <v>96</v>
      </c>
      <c r="H303" s="359"/>
      <c r="I303" s="353"/>
      <c r="J303" s="131">
        <v>44788</v>
      </c>
    </row>
    <row r="304" spans="2:15" ht="15.6" thickTop="1" thickBot="1" x14ac:dyDescent="0.35">
      <c r="B304" s="356"/>
      <c r="C304" s="360"/>
      <c r="D304" s="357"/>
      <c r="E304" s="131">
        <v>45791</v>
      </c>
      <c r="G304" s="356"/>
      <c r="H304" s="360"/>
      <c r="I304" s="357"/>
      <c r="J304" s="131">
        <v>45822</v>
      </c>
    </row>
    <row r="305" spans="2:10" ht="15.6" thickTop="1" thickBot="1" x14ac:dyDescent="0.35">
      <c r="B305" s="106" t="s">
        <v>95</v>
      </c>
      <c r="C305" s="2"/>
      <c r="D305" s="2"/>
      <c r="E305" s="200">
        <v>4810</v>
      </c>
      <c r="G305" s="106" t="s">
        <v>95</v>
      </c>
      <c r="H305" s="2"/>
      <c r="I305" s="2"/>
      <c r="J305" s="200">
        <v>5220</v>
      </c>
    </row>
    <row r="306" spans="2:10" ht="15.6" thickTop="1" thickBot="1" x14ac:dyDescent="0.35">
      <c r="B306" s="107" t="s">
        <v>183</v>
      </c>
      <c r="C306" s="108"/>
      <c r="D306" s="108"/>
      <c r="E306" s="208"/>
      <c r="G306" s="107" t="s">
        <v>183</v>
      </c>
      <c r="H306" s="108"/>
      <c r="I306" s="108"/>
      <c r="J306" s="208"/>
    </row>
    <row r="307" spans="2:10" ht="15" thickTop="1" x14ac:dyDescent="0.3">
      <c r="B307" s="206" t="s">
        <v>247</v>
      </c>
      <c r="C307" s="2"/>
      <c r="D307" s="2"/>
      <c r="E307" s="199">
        <v>24890</v>
      </c>
      <c r="G307" s="206" t="s">
        <v>247</v>
      </c>
      <c r="H307" s="2"/>
      <c r="I307" s="2"/>
      <c r="J307" s="199">
        <v>28430</v>
      </c>
    </row>
    <row r="308" spans="2:10" x14ac:dyDescent="0.3">
      <c r="B308" s="207" t="s">
        <v>248</v>
      </c>
      <c r="C308" s="2"/>
      <c r="D308" s="2"/>
      <c r="E308" s="115">
        <v>460</v>
      </c>
      <c r="G308" s="207" t="s">
        <v>248</v>
      </c>
      <c r="H308" s="2"/>
      <c r="I308" s="2"/>
      <c r="J308" s="115">
        <v>460</v>
      </c>
    </row>
    <row r="309" spans="2:10" x14ac:dyDescent="0.3">
      <c r="B309" s="106" t="s">
        <v>107</v>
      </c>
      <c r="C309" s="2"/>
      <c r="D309" s="2"/>
      <c r="E309" s="116">
        <v>1300</v>
      </c>
      <c r="G309" s="106" t="s">
        <v>107</v>
      </c>
      <c r="H309" s="2"/>
      <c r="I309" s="2"/>
      <c r="J309" s="116">
        <v>3540</v>
      </c>
    </row>
    <row r="310" spans="2:10" x14ac:dyDescent="0.3">
      <c r="B310" s="207" t="s">
        <v>249</v>
      </c>
      <c r="C310" s="2"/>
      <c r="D310" s="2"/>
      <c r="E310" s="209">
        <v>2532.6</v>
      </c>
      <c r="G310" s="207" t="s">
        <v>249</v>
      </c>
      <c r="H310" s="2"/>
      <c r="I310" s="2"/>
      <c r="J310" s="209">
        <v>3319.4</v>
      </c>
    </row>
    <row r="311" spans="2:10" ht="15" thickBot="1" x14ac:dyDescent="0.35">
      <c r="B311" s="106" t="s">
        <v>109</v>
      </c>
      <c r="C311" s="2"/>
      <c r="D311" s="2"/>
      <c r="E311" s="116">
        <v>106</v>
      </c>
      <c r="G311" s="106" t="s">
        <v>109</v>
      </c>
      <c r="H311" s="2"/>
      <c r="I311" s="2"/>
      <c r="J311" s="116">
        <v>786.8</v>
      </c>
    </row>
    <row r="312" spans="2:10" ht="15.6" thickTop="1" thickBot="1" x14ac:dyDescent="0.35">
      <c r="B312" s="210" t="s">
        <v>41</v>
      </c>
      <c r="C312" s="108"/>
      <c r="D312" s="108"/>
      <c r="E312" s="208"/>
      <c r="G312" s="210" t="s">
        <v>41</v>
      </c>
      <c r="H312" s="108"/>
      <c r="I312" s="108"/>
      <c r="J312" s="208"/>
    </row>
    <row r="313" spans="2:10" ht="15" thickTop="1" x14ac:dyDescent="0.3">
      <c r="B313" s="106" t="s">
        <v>105</v>
      </c>
      <c r="C313" s="2"/>
      <c r="D313" s="2"/>
      <c r="E313" s="115">
        <v>20464.910000000003</v>
      </c>
      <c r="G313" s="106" t="s">
        <v>105</v>
      </c>
      <c r="H313" s="2"/>
      <c r="I313" s="2"/>
      <c r="J313" s="115">
        <v>21879.910000000003</v>
      </c>
    </row>
    <row r="314" spans="2:10" x14ac:dyDescent="0.3">
      <c r="B314" s="106" t="s">
        <v>108</v>
      </c>
      <c r="C314" s="2"/>
      <c r="D314" s="2"/>
      <c r="E314" s="116">
        <v>2081.67</v>
      </c>
      <c r="G314" s="106" t="s">
        <v>108</v>
      </c>
      <c r="H314" s="2"/>
      <c r="I314" s="2"/>
      <c r="J314" s="116">
        <v>1415</v>
      </c>
    </row>
    <row r="315" spans="2:10" ht="15" thickBot="1" x14ac:dyDescent="0.35">
      <c r="B315" s="120" t="s">
        <v>99</v>
      </c>
      <c r="C315" s="119"/>
      <c r="D315" s="110"/>
      <c r="E315" s="118">
        <v>4425.0899999999965</v>
      </c>
      <c r="G315" s="120" t="s">
        <v>99</v>
      </c>
      <c r="H315" s="119"/>
      <c r="I315" s="110"/>
      <c r="J315" s="118">
        <v>6550.0899999999965</v>
      </c>
    </row>
    <row r="316" spans="2:10" ht="15" thickTop="1" x14ac:dyDescent="0.3">
      <c r="B316" s="106" t="s">
        <v>106</v>
      </c>
      <c r="C316" s="2"/>
      <c r="D316" s="2"/>
      <c r="E316" s="115">
        <v>1968.6</v>
      </c>
      <c r="G316" s="106" t="s">
        <v>106</v>
      </c>
      <c r="H316" s="2"/>
      <c r="I316" s="2"/>
      <c r="J316" s="115">
        <v>2126.6</v>
      </c>
    </row>
    <row r="317" spans="2:10" x14ac:dyDescent="0.3">
      <c r="B317" s="106" t="s">
        <v>110</v>
      </c>
      <c r="C317" s="2"/>
      <c r="D317" s="2"/>
      <c r="E317" s="116">
        <v>128</v>
      </c>
      <c r="G317" s="106" t="s">
        <v>110</v>
      </c>
      <c r="H317" s="2"/>
      <c r="I317" s="2"/>
      <c r="J317" s="116">
        <v>138</v>
      </c>
    </row>
    <row r="318" spans="2:10" ht="15" thickBot="1" x14ac:dyDescent="0.35">
      <c r="B318" s="120" t="s">
        <v>102</v>
      </c>
      <c r="C318" s="110"/>
      <c r="D318" s="110"/>
      <c r="E318" s="118">
        <v>564</v>
      </c>
      <c r="G318" s="120" t="s">
        <v>102</v>
      </c>
      <c r="H318" s="110"/>
      <c r="I318" s="110"/>
      <c r="J318" s="118">
        <v>1192.8000000000002</v>
      </c>
    </row>
    <row r="319" spans="2:10" ht="15.6" thickTop="1" thickBot="1" x14ac:dyDescent="0.35">
      <c r="B319" s="107" t="s">
        <v>250</v>
      </c>
      <c r="C319" s="211"/>
      <c r="D319" s="108"/>
      <c r="E319" s="215"/>
      <c r="G319" s="107" t="s">
        <v>250</v>
      </c>
      <c r="H319" s="211"/>
      <c r="I319" s="108"/>
      <c r="J319" s="215"/>
    </row>
    <row r="320" spans="2:10" ht="15" thickTop="1" x14ac:dyDescent="0.3">
      <c r="B320" s="106" t="s">
        <v>251</v>
      </c>
      <c r="C320" s="201"/>
      <c r="D320" s="2"/>
      <c r="E320" s="117">
        <v>184.69999999999996</v>
      </c>
      <c r="G320" s="106" t="s">
        <v>251</v>
      </c>
      <c r="H320" s="201"/>
      <c r="I320" s="2"/>
      <c r="J320" s="117">
        <v>184.69999999999996</v>
      </c>
    </row>
    <row r="321" spans="2:10" x14ac:dyDescent="0.3">
      <c r="B321" s="106" t="s">
        <v>273</v>
      </c>
      <c r="C321" s="212"/>
      <c r="D321" s="213"/>
      <c r="E321" s="115">
        <v>450</v>
      </c>
      <c r="G321" s="106" t="s">
        <v>273</v>
      </c>
      <c r="H321" s="212"/>
      <c r="I321" s="213"/>
      <c r="J321" s="115">
        <v>450</v>
      </c>
    </row>
    <row r="322" spans="2:10" x14ac:dyDescent="0.3">
      <c r="B322" s="106" t="s">
        <v>272</v>
      </c>
      <c r="C322" s="212"/>
      <c r="D322" s="213"/>
      <c r="E322" s="115">
        <v>98</v>
      </c>
      <c r="G322" s="106" t="s">
        <v>272</v>
      </c>
      <c r="H322" s="212"/>
      <c r="I322" s="213"/>
      <c r="J322" s="115">
        <v>118</v>
      </c>
    </row>
    <row r="323" spans="2:10" x14ac:dyDescent="0.3">
      <c r="B323" s="106" t="s">
        <v>97</v>
      </c>
      <c r="C323" s="2"/>
      <c r="D323" s="2"/>
      <c r="E323" s="114">
        <v>4350</v>
      </c>
      <c r="G323" s="106" t="s">
        <v>97</v>
      </c>
      <c r="H323" s="2"/>
      <c r="I323" s="2"/>
      <c r="J323" s="114">
        <v>4760</v>
      </c>
    </row>
    <row r="324" spans="2:10" x14ac:dyDescent="0.3">
      <c r="B324" s="106" t="s">
        <v>104</v>
      </c>
      <c r="C324" s="2"/>
      <c r="D324" s="2"/>
      <c r="E324" s="113">
        <v>255.88235294117646</v>
      </c>
      <c r="G324" s="106" t="s">
        <v>104</v>
      </c>
      <c r="H324" s="2"/>
      <c r="I324" s="2"/>
      <c r="J324" s="113">
        <v>280</v>
      </c>
    </row>
    <row r="325" spans="2:10" x14ac:dyDescent="0.3">
      <c r="B325" s="106" t="s">
        <v>259</v>
      </c>
      <c r="C325" s="2"/>
      <c r="D325" s="2"/>
      <c r="E325" s="114">
        <v>2169.2999999999997</v>
      </c>
      <c r="G325" s="106" t="s">
        <v>259</v>
      </c>
      <c r="H325" s="2"/>
      <c r="I325" s="2"/>
      <c r="J325" s="114">
        <v>2936.1</v>
      </c>
    </row>
    <row r="326" spans="2:10" ht="15" thickBot="1" x14ac:dyDescent="0.35">
      <c r="B326" s="106" t="s">
        <v>100</v>
      </c>
      <c r="C326" s="2"/>
      <c r="D326" s="214"/>
      <c r="E326" s="221">
        <v>1577.23</v>
      </c>
      <c r="G326" s="106" t="s">
        <v>100</v>
      </c>
      <c r="H326" s="2"/>
      <c r="I326" s="214"/>
      <c r="J326" s="221">
        <v>70.23</v>
      </c>
    </row>
    <row r="327" spans="2:10" ht="15.6" thickTop="1" thickBot="1" x14ac:dyDescent="0.35">
      <c r="B327" s="111" t="s">
        <v>98</v>
      </c>
      <c r="C327" s="112"/>
      <c r="D327" s="216"/>
      <c r="E327" s="217">
        <v>6519.2999999999993</v>
      </c>
      <c r="G327" s="111" t="s">
        <v>98</v>
      </c>
      <c r="H327" s="112"/>
      <c r="I327" s="216"/>
      <c r="J327" s="217">
        <v>7696.1</v>
      </c>
    </row>
    <row r="328" spans="2:10" ht="15.6" thickTop="1" thickBot="1" x14ac:dyDescent="0.35">
      <c r="B328" s="111" t="s">
        <v>103</v>
      </c>
      <c r="C328" s="112"/>
      <c r="D328" s="216"/>
      <c r="E328" s="234">
        <v>6566.3199999999961</v>
      </c>
      <c r="G328" s="111" t="s">
        <v>103</v>
      </c>
      <c r="H328" s="112"/>
      <c r="I328" s="216"/>
      <c r="J328" s="234">
        <v>7743.1199999999972</v>
      </c>
    </row>
    <row r="329" spans="2:10" ht="15" thickTop="1" x14ac:dyDescent="0.3"/>
  </sheetData>
  <mergeCells count="36">
    <mergeCell ref="B276:D277"/>
    <mergeCell ref="G276:I277"/>
    <mergeCell ref="L276:N277"/>
    <mergeCell ref="B303:D304"/>
    <mergeCell ref="G303:I304"/>
    <mergeCell ref="B222:D223"/>
    <mergeCell ref="G222:I223"/>
    <mergeCell ref="L222:N223"/>
    <mergeCell ref="B249:D250"/>
    <mergeCell ref="G249:I250"/>
    <mergeCell ref="L249:N250"/>
    <mergeCell ref="B168:D169"/>
    <mergeCell ref="G168:I169"/>
    <mergeCell ref="L168:N169"/>
    <mergeCell ref="B195:D196"/>
    <mergeCell ref="G195:I196"/>
    <mergeCell ref="L195:N196"/>
    <mergeCell ref="B114:D115"/>
    <mergeCell ref="G114:I115"/>
    <mergeCell ref="L114:N115"/>
    <mergeCell ref="B141:D142"/>
    <mergeCell ref="G141:I142"/>
    <mergeCell ref="L141:N142"/>
    <mergeCell ref="B60:D61"/>
    <mergeCell ref="G60:I61"/>
    <mergeCell ref="L60:N61"/>
    <mergeCell ref="B87:D88"/>
    <mergeCell ref="G87:I88"/>
    <mergeCell ref="L87:N88"/>
    <mergeCell ref="B2:O4"/>
    <mergeCell ref="B6:D7"/>
    <mergeCell ref="G6:I7"/>
    <mergeCell ref="L6:N7"/>
    <mergeCell ref="B33:D34"/>
    <mergeCell ref="G33:I34"/>
    <mergeCell ref="L33:N3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F20" sqref="F20"/>
    </sheetView>
  </sheetViews>
  <sheetFormatPr baseColWidth="10" defaultRowHeight="14.4" x14ac:dyDescent="0.3"/>
  <cols>
    <col min="2" max="2" width="14.109375" bestFit="1" customWidth="1"/>
    <col min="3" max="3" width="34.33203125" bestFit="1" customWidth="1"/>
    <col min="4" max="4" width="9.5546875" bestFit="1" customWidth="1"/>
    <col min="5" max="5" width="9" style="276" bestFit="1" customWidth="1"/>
    <col min="6" max="6" width="8.33203125" bestFit="1" customWidth="1"/>
    <col min="7" max="7" width="9" style="276" bestFit="1" customWidth="1"/>
    <col min="8" max="8" width="8" style="276" bestFit="1" customWidth="1"/>
    <col min="9" max="9" width="8.33203125" style="276" bestFit="1" customWidth="1"/>
    <col min="10" max="10" width="9.88671875" style="276" bestFit="1" customWidth="1"/>
    <col min="11" max="11" width="10" style="276" bestFit="1" customWidth="1"/>
    <col min="12" max="12" width="10.6640625" style="276" bestFit="1" customWidth="1"/>
    <col min="14" max="17" width="11.6640625" bestFit="1" customWidth="1"/>
  </cols>
  <sheetData>
    <row r="1" spans="1:17" x14ac:dyDescent="0.3">
      <c r="B1" s="19"/>
      <c r="E1"/>
      <c r="G1"/>
      <c r="H1"/>
      <c r="I1"/>
      <c r="J1"/>
      <c r="K1"/>
      <c r="L1"/>
    </row>
    <row r="2" spans="1:17" x14ac:dyDescent="0.3">
      <c r="A2" t="s">
        <v>188</v>
      </c>
      <c r="B2" s="19"/>
      <c r="D2" s="167" t="s">
        <v>194</v>
      </c>
      <c r="E2" s="168"/>
      <c r="F2" s="168"/>
      <c r="G2" s="168"/>
      <c r="H2" s="168"/>
      <c r="I2" s="168"/>
      <c r="J2" s="168"/>
      <c r="K2" s="169"/>
      <c r="L2"/>
    </row>
    <row r="3" spans="1:17" x14ac:dyDescent="0.3">
      <c r="B3" s="19"/>
      <c r="D3" s="152" t="s">
        <v>189</v>
      </c>
      <c r="E3" s="172"/>
      <c r="F3" s="152" t="s">
        <v>190</v>
      </c>
      <c r="G3" s="170">
        <f>SUM(E7:E1048576)</f>
        <v>2000</v>
      </c>
      <c r="H3" s="152" t="s">
        <v>191</v>
      </c>
      <c r="I3" s="170">
        <f>SUM($P$7:$P$1048576)</f>
        <v>0</v>
      </c>
      <c r="J3" s="152" t="s">
        <v>192</v>
      </c>
      <c r="K3" s="171">
        <f>G3+I3</f>
        <v>2000</v>
      </c>
      <c r="L3"/>
    </row>
    <row r="4" spans="1:17" x14ac:dyDescent="0.3">
      <c r="B4" s="19"/>
      <c r="E4"/>
      <c r="G4"/>
      <c r="H4"/>
      <c r="I4"/>
      <c r="J4"/>
      <c r="K4"/>
      <c r="L4"/>
    </row>
    <row r="5" spans="1:17" x14ac:dyDescent="0.3">
      <c r="B5" s="19"/>
      <c r="C5" s="14" t="s">
        <v>47</v>
      </c>
      <c r="E5"/>
      <c r="G5" s="14" t="s">
        <v>49</v>
      </c>
      <c r="H5" s="15" t="s">
        <v>176</v>
      </c>
      <c r="I5"/>
      <c r="J5"/>
      <c r="K5"/>
      <c r="L5"/>
      <c r="N5" s="96" t="s">
        <v>283</v>
      </c>
      <c r="O5" s="97"/>
      <c r="P5" s="97"/>
      <c r="Q5" s="97"/>
    </row>
    <row r="6" spans="1:17" x14ac:dyDescent="0.3">
      <c r="A6" s="16" t="s">
        <v>48</v>
      </c>
      <c r="B6" s="173" t="s">
        <v>193</v>
      </c>
      <c r="C6" s="17" t="s">
        <v>13</v>
      </c>
      <c r="D6" s="17" t="s">
        <v>50</v>
      </c>
      <c r="E6" s="17" t="s">
        <v>59</v>
      </c>
      <c r="F6" s="17" t="s">
        <v>60</v>
      </c>
      <c r="G6" s="17" t="s">
        <v>51</v>
      </c>
      <c r="H6" s="17" t="s">
        <v>34</v>
      </c>
      <c r="I6" s="31" t="s">
        <v>61</v>
      </c>
      <c r="J6" s="17" t="s">
        <v>62</v>
      </c>
      <c r="K6" s="18" t="s">
        <v>54</v>
      </c>
      <c r="L6" s="32" t="s">
        <v>46</v>
      </c>
      <c r="N6" s="32" t="s">
        <v>280</v>
      </c>
      <c r="O6" s="32" t="s">
        <v>281</v>
      </c>
      <c r="P6" s="32" t="s">
        <v>282</v>
      </c>
      <c r="Q6" s="32" t="s">
        <v>281</v>
      </c>
    </row>
    <row r="7" spans="1:17" x14ac:dyDescent="0.3">
      <c r="A7" s="59" t="str" cm="1">
        <f t="array" ref="A7:A8">"000"&amp;_xlfn.SEQUENCE(COUNTA(C7:C1048576))</f>
        <v>0001</v>
      </c>
      <c r="B7" s="59" t="s">
        <v>395</v>
      </c>
      <c r="C7" s="59" t="s">
        <v>389</v>
      </c>
      <c r="D7" s="55">
        <v>45762</v>
      </c>
      <c r="E7" s="20">
        <v>0</v>
      </c>
      <c r="F7" s="59">
        <v>1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N7" s="130">
        <f>SUMIFS(PAGOS!$E$3:$E$1048576,PAGOS!$A$3:$A$1048576,"&lt;&gt;INGRESO*",PAGOS!$A$3:$A$1048576,"&lt;&gt;EGRESO*",PAGOS!$D$3:$D$1048576,B7)</f>
        <v>0</v>
      </c>
      <c r="O7" s="130">
        <f>E7-N7</f>
        <v>0</v>
      </c>
      <c r="P7" s="130">
        <f>SUMIFS(PAGOS!$H$3:$H$1048576,PAGOS!$A$3:$A$1048576,"&lt;&gt;INGRESO*",PAGOS!$A$3:$A$1048576,"&lt;&gt;EGRESO*",PAGOS!$D$3:$D$1048576,B7)</f>
        <v>0</v>
      </c>
      <c r="Q7" s="130">
        <f>K7-P7</f>
        <v>0</v>
      </c>
    </row>
    <row r="8" spans="1:17" x14ac:dyDescent="0.3">
      <c r="A8" s="59" t="str">
        <v>0002</v>
      </c>
      <c r="B8" s="59" t="s">
        <v>421</v>
      </c>
      <c r="C8" s="59" t="s">
        <v>389</v>
      </c>
      <c r="D8" s="55">
        <v>45792</v>
      </c>
      <c r="E8" s="270">
        <v>2000</v>
      </c>
      <c r="F8" s="59">
        <v>12</v>
      </c>
      <c r="G8" s="20">
        <v>166.66666666666666</v>
      </c>
      <c r="H8" s="20">
        <v>40</v>
      </c>
      <c r="I8" s="20">
        <v>206.66666666666666</v>
      </c>
      <c r="J8" s="20">
        <v>2000</v>
      </c>
      <c r="K8" s="20">
        <v>480</v>
      </c>
      <c r="L8" s="270">
        <v>2480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H15" sqref="H15"/>
    </sheetView>
  </sheetViews>
  <sheetFormatPr baseColWidth="10" defaultRowHeight="14.4" x14ac:dyDescent="0.3"/>
  <cols>
    <col min="2" max="2" width="14.109375" bestFit="1" customWidth="1"/>
    <col min="3" max="3" width="34.33203125" bestFit="1" customWidth="1"/>
    <col min="4" max="4" width="9.6640625" bestFit="1" customWidth="1"/>
    <col min="5" max="5" width="9.5546875" bestFit="1" customWidth="1"/>
    <col min="6" max="6" width="8.44140625" style="276" bestFit="1" customWidth="1"/>
    <col min="7" max="7" width="8" style="278" bestFit="1" customWidth="1"/>
    <col min="8" max="8" width="8.33203125" style="276" bestFit="1" customWidth="1"/>
    <col min="9" max="9" width="7.44140625" style="276" bestFit="1" customWidth="1"/>
    <col min="10" max="10" width="8.6640625" style="276" bestFit="1" customWidth="1"/>
    <col min="11" max="11" width="10.33203125" style="276" bestFit="1" customWidth="1"/>
    <col min="12" max="12" width="10.6640625" style="276" bestFit="1" customWidth="1"/>
    <col min="14" max="17" width="11.6640625" bestFit="1" customWidth="1"/>
  </cols>
  <sheetData>
    <row r="1" spans="1:17" x14ac:dyDescent="0.3">
      <c r="B1" s="19"/>
      <c r="F1"/>
      <c r="G1"/>
      <c r="H1"/>
      <c r="I1"/>
      <c r="J1"/>
      <c r="K1"/>
      <c r="L1"/>
    </row>
    <row r="2" spans="1:17" x14ac:dyDescent="0.3">
      <c r="A2" t="s">
        <v>188</v>
      </c>
      <c r="B2" s="19"/>
      <c r="D2" s="167" t="s">
        <v>194</v>
      </c>
      <c r="E2" s="168"/>
      <c r="F2" s="168"/>
      <c r="G2" s="168"/>
      <c r="H2" s="168"/>
      <c r="I2" s="168"/>
      <c r="J2" s="168"/>
      <c r="K2" s="169"/>
      <c r="L2"/>
    </row>
    <row r="3" spans="1:17" x14ac:dyDescent="0.3">
      <c r="B3" s="19"/>
      <c r="D3" s="152" t="s">
        <v>189</v>
      </c>
      <c r="E3" s="172"/>
      <c r="F3" s="152" t="s">
        <v>190</v>
      </c>
      <c r="G3" s="170">
        <f>SUM(E7:E1048576)</f>
        <v>0</v>
      </c>
      <c r="H3" s="152" t="s">
        <v>191</v>
      </c>
      <c r="I3" s="170">
        <f>SUM($P$7:$P$1048576)</f>
        <v>0</v>
      </c>
      <c r="J3" s="152" t="s">
        <v>192</v>
      </c>
      <c r="K3" s="171">
        <f>G3+I3</f>
        <v>0</v>
      </c>
      <c r="L3"/>
    </row>
    <row r="4" spans="1:17" x14ac:dyDescent="0.3">
      <c r="B4" s="19"/>
      <c r="F4"/>
      <c r="G4"/>
      <c r="H4"/>
      <c r="I4"/>
      <c r="J4"/>
      <c r="K4"/>
      <c r="L4"/>
    </row>
    <row r="5" spans="1:17" x14ac:dyDescent="0.3">
      <c r="B5" s="19"/>
      <c r="C5" s="14" t="s">
        <v>47</v>
      </c>
      <c r="F5"/>
      <c r="G5" s="14" t="s">
        <v>49</v>
      </c>
      <c r="H5" s="15" t="s">
        <v>178</v>
      </c>
      <c r="I5"/>
      <c r="J5"/>
      <c r="K5"/>
      <c r="L5"/>
      <c r="N5" s="96" t="s">
        <v>283</v>
      </c>
      <c r="O5" s="97"/>
      <c r="P5" s="97"/>
      <c r="Q5" s="97"/>
    </row>
    <row r="6" spans="1:17" x14ac:dyDescent="0.3">
      <c r="A6" s="16" t="s">
        <v>48</v>
      </c>
      <c r="B6" s="173" t="s">
        <v>193</v>
      </c>
      <c r="C6" s="17" t="s">
        <v>13</v>
      </c>
      <c r="D6" s="17" t="s">
        <v>50</v>
      </c>
      <c r="E6" s="17" t="s">
        <v>59</v>
      </c>
      <c r="F6" s="17" t="s">
        <v>60</v>
      </c>
      <c r="G6" s="17" t="s">
        <v>51</v>
      </c>
      <c r="H6" s="17" t="s">
        <v>34</v>
      </c>
      <c r="I6" s="31" t="s">
        <v>61</v>
      </c>
      <c r="J6" s="17" t="s">
        <v>62</v>
      </c>
      <c r="K6" s="18" t="s">
        <v>54</v>
      </c>
      <c r="L6" s="32" t="s">
        <v>46</v>
      </c>
      <c r="N6" s="32" t="s">
        <v>280</v>
      </c>
      <c r="O6" s="32" t="s">
        <v>281</v>
      </c>
      <c r="P6" s="32" t="s">
        <v>282</v>
      </c>
      <c r="Q6" s="32" t="s">
        <v>281</v>
      </c>
    </row>
    <row r="7" spans="1:17" x14ac:dyDescent="0.3">
      <c r="A7" s="275" t="str" cm="1">
        <f t="array" ref="A7">"000"&amp;_xlfn.SEQUENCE(COUNTA(C7:C1048576))</f>
        <v>0001</v>
      </c>
      <c r="B7" s="275" t="s">
        <v>397</v>
      </c>
      <c r="C7" s="275" t="s">
        <v>390</v>
      </c>
      <c r="D7" s="280">
        <v>45762</v>
      </c>
      <c r="E7" s="281">
        <v>0</v>
      </c>
      <c r="F7" s="277">
        <v>1</v>
      </c>
      <c r="G7" s="282">
        <v>0</v>
      </c>
      <c r="H7" s="277">
        <v>0</v>
      </c>
      <c r="I7" s="277">
        <v>0</v>
      </c>
      <c r="J7" s="277">
        <v>0</v>
      </c>
      <c r="K7" s="277">
        <v>0</v>
      </c>
      <c r="L7" s="277">
        <v>0</v>
      </c>
      <c r="N7" s="130">
        <f>SUMIFS(PAGOS!$E$3:$E$1048576,PAGOS!$A$3:$A$1048576,"&lt;&gt;INGRESO*",PAGOS!$A$3:$A$1048576,"&lt;&gt;EGRESO*",PAGOS!$D$3:$D$1048576,B7)</f>
        <v>0</v>
      </c>
      <c r="O7" s="130">
        <f>E7-N7</f>
        <v>0</v>
      </c>
      <c r="P7" s="130">
        <f>SUMIFS(PAGOS!$H$3:$H$1048576,PAGOS!$A$3:$A$1048576,"&lt;&gt;INGRESO*",PAGOS!$A$3:$A$1048576,"&lt;&gt;EGRESO*",PAGOS!$D$3:$D$1048576,B7)</f>
        <v>0</v>
      </c>
      <c r="Q7" s="130">
        <f>K7-P7</f>
        <v>0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4"/>
  <sheetViews>
    <sheetView zoomScaleNormal="100" workbookViewId="0">
      <selection activeCell="C16" sqref="C16"/>
    </sheetView>
  </sheetViews>
  <sheetFormatPr baseColWidth="10" defaultRowHeight="14.4" x14ac:dyDescent="0.3"/>
  <cols>
    <col min="2" max="2" width="14.109375" bestFit="1" customWidth="1"/>
    <col min="3" max="3" width="34.33203125" bestFit="1" customWidth="1"/>
    <col min="4" max="4" width="9.6640625" bestFit="1" customWidth="1"/>
    <col min="5" max="5" width="9.5546875" style="276" bestFit="1" customWidth="1"/>
    <col min="6" max="6" width="8.33203125" bestFit="1" customWidth="1"/>
    <col min="7" max="7" width="7.88671875" style="276" bestFit="1" customWidth="1"/>
    <col min="8" max="8" width="8.109375" style="276" bestFit="1" customWidth="1"/>
    <col min="9" max="9" width="7.44140625" style="276" bestFit="1" customWidth="1"/>
    <col min="10" max="10" width="8.5546875" style="276" bestFit="1" customWidth="1"/>
    <col min="11" max="11" width="10.109375" style="276" bestFit="1" customWidth="1"/>
    <col min="12" max="12" width="10.6640625" style="276" bestFit="1" customWidth="1"/>
    <col min="14" max="17" width="11.6640625" bestFit="1" customWidth="1"/>
  </cols>
  <sheetData>
    <row r="1" spans="1:17" x14ac:dyDescent="0.3">
      <c r="B1" s="19"/>
      <c r="E1"/>
      <c r="G1"/>
      <c r="H1"/>
      <c r="I1"/>
      <c r="J1"/>
      <c r="K1"/>
      <c r="L1"/>
    </row>
    <row r="2" spans="1:17" x14ac:dyDescent="0.3">
      <c r="A2" t="s">
        <v>188</v>
      </c>
      <c r="B2" s="19"/>
      <c r="D2" s="167" t="s">
        <v>194</v>
      </c>
      <c r="E2" s="168"/>
      <c r="F2" s="168"/>
      <c r="G2" s="168"/>
      <c r="H2" s="168"/>
      <c r="I2" s="168"/>
      <c r="J2" s="168"/>
      <c r="K2" s="169"/>
      <c r="L2"/>
    </row>
    <row r="3" spans="1:17" x14ac:dyDescent="0.3">
      <c r="B3" s="19"/>
      <c r="D3" s="152" t="s">
        <v>189</v>
      </c>
      <c r="E3" s="172"/>
      <c r="F3" s="152" t="s">
        <v>190</v>
      </c>
      <c r="G3" s="170">
        <f>SUM(E7:E1048576)</f>
        <v>0</v>
      </c>
      <c r="H3" s="152" t="s">
        <v>191</v>
      </c>
      <c r="I3" s="170">
        <f>SUM($P$7:$P$1048576)</f>
        <v>0</v>
      </c>
      <c r="J3" s="152" t="s">
        <v>192</v>
      </c>
      <c r="K3" s="171">
        <f>G3+I3</f>
        <v>0</v>
      </c>
      <c r="L3"/>
    </row>
    <row r="4" spans="1:17" x14ac:dyDescent="0.3">
      <c r="B4" s="19"/>
      <c r="E4"/>
      <c r="G4"/>
      <c r="H4"/>
      <c r="I4"/>
      <c r="J4"/>
      <c r="K4"/>
      <c r="L4"/>
    </row>
    <row r="5" spans="1:17" x14ac:dyDescent="0.3">
      <c r="B5" s="19"/>
      <c r="C5" s="14" t="s">
        <v>47</v>
      </c>
      <c r="E5"/>
      <c r="G5" s="14" t="s">
        <v>49</v>
      </c>
      <c r="H5" s="15" t="s">
        <v>177</v>
      </c>
      <c r="I5"/>
      <c r="J5"/>
      <c r="K5"/>
      <c r="L5"/>
      <c r="N5" s="96" t="s">
        <v>283</v>
      </c>
      <c r="O5" s="97"/>
      <c r="P5" s="97"/>
      <c r="Q5" s="97"/>
    </row>
    <row r="6" spans="1:17" x14ac:dyDescent="0.3">
      <c r="A6" s="16" t="s">
        <v>48</v>
      </c>
      <c r="B6" s="173" t="s">
        <v>193</v>
      </c>
      <c r="C6" s="17" t="s">
        <v>13</v>
      </c>
      <c r="D6" s="17" t="s">
        <v>50</v>
      </c>
      <c r="E6" s="17" t="s">
        <v>59</v>
      </c>
      <c r="F6" s="17" t="s">
        <v>60</v>
      </c>
      <c r="G6" s="17" t="s">
        <v>51</v>
      </c>
      <c r="H6" s="17" t="s">
        <v>34</v>
      </c>
      <c r="I6" s="31" t="s">
        <v>61</v>
      </c>
      <c r="J6" s="17" t="s">
        <v>62</v>
      </c>
      <c r="K6" s="18" t="s">
        <v>54</v>
      </c>
      <c r="L6" s="32" t="s">
        <v>46</v>
      </c>
      <c r="N6" s="32" t="s">
        <v>280</v>
      </c>
      <c r="O6" s="32" t="s">
        <v>281</v>
      </c>
      <c r="P6" s="32" t="s">
        <v>282</v>
      </c>
      <c r="Q6" s="32" t="s">
        <v>281</v>
      </c>
    </row>
    <row r="7" spans="1:17" x14ac:dyDescent="0.3">
      <c r="A7" s="275" t="str" cm="1">
        <f t="array" ref="A7">"000"&amp;_xlfn.SEQUENCE(COUNTA(C7:C1048576))</f>
        <v>0001</v>
      </c>
      <c r="B7" s="275" t="s">
        <v>399</v>
      </c>
      <c r="C7" s="275" t="s">
        <v>391</v>
      </c>
      <c r="D7" s="280">
        <v>45762</v>
      </c>
      <c r="E7" s="277">
        <v>0</v>
      </c>
      <c r="F7" s="275">
        <v>1</v>
      </c>
      <c r="G7" s="277">
        <v>0</v>
      </c>
      <c r="H7" s="277">
        <v>0</v>
      </c>
      <c r="I7" s="277">
        <v>0</v>
      </c>
      <c r="J7" s="277">
        <v>0</v>
      </c>
      <c r="K7" s="277">
        <v>0</v>
      </c>
      <c r="L7" s="277">
        <v>0</v>
      </c>
      <c r="N7" s="130">
        <f>SUMIFS(PAGOS!$E$3:$E$1048576,PAGOS!$A$3:$A$1048576,"&lt;&gt;INGRESO*",PAGOS!$A$3:$A$1048576,"&lt;&gt;EGRESO*",PAGOS!$D$3:$D$1048576,B7)</f>
        <v>0</v>
      </c>
      <c r="O7" s="130">
        <f>E7-N7</f>
        <v>0</v>
      </c>
      <c r="P7" s="130">
        <f>SUMIFS(PAGOS!$H$3:$H$1048576,PAGOS!$A$3:$A$1048576,"&lt;&gt;INGRESO*",PAGOS!$A$3:$A$1048576,"&lt;&gt;EGRESO*",PAGOS!$D$3:$D$1048576,B7)</f>
        <v>0</v>
      </c>
      <c r="Q7" s="130">
        <f>K7-P7</f>
        <v>0</v>
      </c>
    </row>
    <row r="13" spans="1:17" x14ac:dyDescent="0.3">
      <c r="E13"/>
      <c r="I13"/>
    </row>
    <row r="14" spans="1:17" x14ac:dyDescent="0.3">
      <c r="E14"/>
      <c r="I14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F12" sqref="F12"/>
    </sheetView>
  </sheetViews>
  <sheetFormatPr baseColWidth="10" defaultRowHeight="14.4" x14ac:dyDescent="0.3"/>
  <sheetData>
    <row r="1" spans="1:17" x14ac:dyDescent="0.3">
      <c r="B1" s="19"/>
    </row>
    <row r="2" spans="1:17" x14ac:dyDescent="0.3">
      <c r="A2" t="s">
        <v>188</v>
      </c>
      <c r="B2" s="19"/>
      <c r="D2" s="167" t="s">
        <v>194</v>
      </c>
      <c r="E2" s="168"/>
      <c r="F2" s="168"/>
      <c r="G2" s="168"/>
      <c r="H2" s="168"/>
      <c r="I2" s="168"/>
      <c r="J2" s="168"/>
      <c r="K2" s="169"/>
    </row>
    <row r="3" spans="1:17" x14ac:dyDescent="0.3">
      <c r="B3" s="19"/>
      <c r="D3" s="152" t="s">
        <v>189</v>
      </c>
      <c r="E3" s="172"/>
      <c r="F3" s="152" t="s">
        <v>190</v>
      </c>
      <c r="G3" s="170">
        <f>SUM(E7:E1048576)</f>
        <v>0</v>
      </c>
      <c r="H3" s="152" t="s">
        <v>191</v>
      </c>
      <c r="I3" s="170">
        <f>SUM($P$7:$P$1048576)</f>
        <v>0</v>
      </c>
      <c r="J3" s="152" t="s">
        <v>192</v>
      </c>
      <c r="K3" s="171">
        <f>G3+I3</f>
        <v>0</v>
      </c>
    </row>
    <row r="4" spans="1:17" x14ac:dyDescent="0.3">
      <c r="B4" s="19"/>
    </row>
    <row r="5" spans="1:17" x14ac:dyDescent="0.3">
      <c r="B5" s="19"/>
      <c r="C5" s="14" t="s">
        <v>47</v>
      </c>
      <c r="G5" s="14" t="s">
        <v>49</v>
      </c>
      <c r="H5" s="15" t="s">
        <v>179</v>
      </c>
      <c r="N5" s="96" t="s">
        <v>283</v>
      </c>
      <c r="O5" s="97"/>
      <c r="P5" s="97"/>
      <c r="Q5" s="97"/>
    </row>
    <row r="6" spans="1:17" x14ac:dyDescent="0.3">
      <c r="A6" s="16" t="s">
        <v>48</v>
      </c>
      <c r="B6" s="173" t="s">
        <v>193</v>
      </c>
      <c r="C6" s="17" t="s">
        <v>13</v>
      </c>
      <c r="D6" s="17" t="s">
        <v>50</v>
      </c>
      <c r="E6" s="17" t="s">
        <v>59</v>
      </c>
      <c r="F6" s="17" t="s">
        <v>60</v>
      </c>
      <c r="G6" s="17" t="s">
        <v>51</v>
      </c>
      <c r="H6" s="17" t="s">
        <v>34</v>
      </c>
      <c r="I6" s="31" t="s">
        <v>61</v>
      </c>
      <c r="J6" s="17" t="s">
        <v>62</v>
      </c>
      <c r="K6" s="18" t="s">
        <v>54</v>
      </c>
      <c r="L6" s="32" t="s">
        <v>46</v>
      </c>
      <c r="N6" s="32" t="s">
        <v>280</v>
      </c>
      <c r="O6" s="32" t="s">
        <v>281</v>
      </c>
      <c r="P6" s="32" t="s">
        <v>282</v>
      </c>
      <c r="Q6" s="32" t="s">
        <v>281</v>
      </c>
    </row>
    <row r="7" spans="1:17" x14ac:dyDescent="0.3">
      <c r="A7" s="275" t="e" cm="1" vm="1">
        <f t="array" ref="A7">"000"&amp;_xlfn.SEQUENCE(COUNTA(C7:C1048576))</f>
        <v>#VALUE!</v>
      </c>
      <c r="B7" s="283"/>
      <c r="C7" s="275"/>
      <c r="D7" s="280"/>
      <c r="E7" s="279"/>
      <c r="F7" s="275"/>
      <c r="G7" s="279"/>
      <c r="H7" s="279"/>
      <c r="I7" s="284"/>
      <c r="J7" s="279"/>
      <c r="K7" s="279"/>
      <c r="L7" s="287"/>
      <c r="N7" s="130">
        <f>SUMIFS(PAGOS!$E$3:$E$1048576,PAGOS!$A$3:$A$1048576,"&lt;&gt;INGRESO*",PAGOS!$A$3:$A$1048576,"&lt;&gt;EGRESO*",PAGOS!$D$3:$D$1048576,B7)</f>
        <v>0</v>
      </c>
      <c r="O7" s="130">
        <f>E7-N7</f>
        <v>0</v>
      </c>
      <c r="P7" s="130">
        <f>SUMIFS(PAGOS!$H$3:$H$1048576,PAGOS!$A$3:$A$1048576,"&lt;&gt;INGRESO*",PAGOS!$A$3:$A$1048576,"&lt;&gt;EGRESO*",PAGOS!$D$3:$D$1048576,B7)</f>
        <v>0</v>
      </c>
      <c r="Q7" s="130">
        <f>K7-P7</f>
        <v>0</v>
      </c>
    </row>
    <row r="8" spans="1:17" x14ac:dyDescent="0.3">
      <c r="A8" s="272"/>
      <c r="B8" s="272"/>
      <c r="C8" s="272"/>
      <c r="D8" s="285"/>
      <c r="E8" s="286"/>
      <c r="F8" s="272"/>
      <c r="G8" s="272"/>
      <c r="H8" s="272"/>
      <c r="I8" s="272"/>
      <c r="J8" s="272"/>
      <c r="K8" s="272"/>
      <c r="L8" s="286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1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51" t="s">
        <v>146</v>
      </c>
    </row>
    <row r="3" spans="2:6" x14ac:dyDescent="0.3">
      <c r="B3" s="152" t="s">
        <v>147</v>
      </c>
      <c r="C3" s="153">
        <v>45860</v>
      </c>
      <c r="D3" s="152" t="s">
        <v>148</v>
      </c>
      <c r="E3" s="154">
        <v>0.02</v>
      </c>
    </row>
    <row r="4" spans="2:6" x14ac:dyDescent="0.3">
      <c r="B4" s="152" t="s">
        <v>149</v>
      </c>
      <c r="C4" s="155" t="s">
        <v>18</v>
      </c>
      <c r="D4" s="152" t="s">
        <v>150</v>
      </c>
      <c r="E4" s="156">
        <f>C6*E3</f>
        <v>6</v>
      </c>
      <c r="F4" s="157"/>
    </row>
    <row r="5" spans="2:6" x14ac:dyDescent="0.3">
      <c r="B5" s="152" t="s">
        <v>184</v>
      </c>
      <c r="C5" s="164">
        <v>76</v>
      </c>
      <c r="D5" s="152" t="s">
        <v>152</v>
      </c>
      <c r="E5" s="158">
        <f>C6/C7</f>
        <v>150</v>
      </c>
      <c r="F5" s="159"/>
    </row>
    <row r="6" spans="2:6" x14ac:dyDescent="0.3">
      <c r="B6" s="152" t="s">
        <v>151</v>
      </c>
      <c r="C6" s="165">
        <v>300</v>
      </c>
      <c r="D6" s="152" t="s">
        <v>154</v>
      </c>
      <c r="E6" s="161">
        <f>E4+E5</f>
        <v>156</v>
      </c>
      <c r="F6" s="162"/>
    </row>
    <row r="7" spans="2:6" x14ac:dyDescent="0.3">
      <c r="B7" s="152" t="s">
        <v>153</v>
      </c>
      <c r="C7" s="160">
        <v>2</v>
      </c>
      <c r="D7" s="152" t="s">
        <v>155</v>
      </c>
      <c r="E7" s="166">
        <f>(E6)*C7</f>
        <v>312</v>
      </c>
      <c r="F7" s="130"/>
    </row>
    <row r="8" spans="2:6" x14ac:dyDescent="0.3">
      <c r="B8" s="14"/>
      <c r="C8" s="174"/>
      <c r="D8" s="14"/>
      <c r="E8" s="175"/>
      <c r="F8" s="130"/>
    </row>
    <row r="9" spans="2:6" x14ac:dyDescent="0.3">
      <c r="B9" s="152" t="s">
        <v>203</v>
      </c>
      <c r="C9" s="176" t="s">
        <v>474</v>
      </c>
      <c r="D9" s="177"/>
      <c r="E9" s="177"/>
      <c r="F9" s="178"/>
    </row>
    <row r="11" spans="2:6" x14ac:dyDescent="0.3">
      <c r="B11" s="163" t="s">
        <v>204</v>
      </c>
      <c r="C11" s="163" t="s">
        <v>156</v>
      </c>
      <c r="D11" s="163" t="s">
        <v>157</v>
      </c>
      <c r="E11" s="163" t="s">
        <v>158</v>
      </c>
      <c r="F11" s="163" t="s">
        <v>159</v>
      </c>
    </row>
    <row r="20" spans="3:5" x14ac:dyDescent="0.3">
      <c r="C20" t="s">
        <v>185</v>
      </c>
      <c r="E20" t="s">
        <v>185</v>
      </c>
    </row>
    <row r="21" spans="3:5" x14ac:dyDescent="0.3">
      <c r="C21" t="s">
        <v>186</v>
      </c>
      <c r="E21" t="s">
        <v>187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64</v>
      </c>
      <c r="B1">
        <v>284</v>
      </c>
      <c r="C1" s="36">
        <v>45184</v>
      </c>
      <c r="E1" t="s">
        <v>65</v>
      </c>
    </row>
    <row r="2" spans="1:5" x14ac:dyDescent="0.3">
      <c r="A2" t="s">
        <v>66</v>
      </c>
      <c r="B2">
        <v>40</v>
      </c>
      <c r="C2" s="36">
        <v>45184</v>
      </c>
      <c r="E2" t="s">
        <v>65</v>
      </c>
    </row>
    <row r="4" spans="1:5" x14ac:dyDescent="0.3">
      <c r="A4" s="37" t="s">
        <v>50</v>
      </c>
      <c r="B4" s="37" t="s">
        <v>67</v>
      </c>
    </row>
    <row r="5" spans="1:5" x14ac:dyDescent="0.3">
      <c r="A5" s="36">
        <v>45184</v>
      </c>
      <c r="B5">
        <v>67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7"/>
  <sheetViews>
    <sheetView zoomScaleNormal="100" workbookViewId="0">
      <selection activeCell="G12" sqref="G12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79" bestFit="1" customWidth="1"/>
    <col min="6" max="6" width="11.109375" customWidth="1"/>
    <col min="7" max="8" width="11" style="179" bestFit="1" customWidth="1"/>
    <col min="9" max="9" width="11" style="180" bestFit="1" customWidth="1"/>
    <col min="10" max="11" width="15.44140625" style="179" customWidth="1"/>
    <col min="12" max="12" width="13.5546875" style="179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188</v>
      </c>
      <c r="D2" s="167" t="s">
        <v>194</v>
      </c>
      <c r="E2" s="168"/>
      <c r="F2" s="168"/>
      <c r="G2" s="168"/>
      <c r="H2" s="168"/>
      <c r="I2" s="168"/>
      <c r="J2" s="168"/>
      <c r="K2" s="169"/>
      <c r="L2"/>
    </row>
    <row r="3" spans="1:17" x14ac:dyDescent="0.3">
      <c r="D3" s="152" t="s">
        <v>189</v>
      </c>
      <c r="E3" s="172"/>
      <c r="F3" s="152" t="s">
        <v>190</v>
      </c>
      <c r="G3" s="170">
        <f>SUM(E7:E1048576)</f>
        <v>1400</v>
      </c>
      <c r="H3" s="152" t="s">
        <v>191</v>
      </c>
      <c r="I3" s="170">
        <f>SUM($P$7:$P$1048576)</f>
        <v>104</v>
      </c>
      <c r="J3" s="152" t="s">
        <v>192</v>
      </c>
      <c r="K3" s="171">
        <f>G3+I3</f>
        <v>1504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14" t="s">
        <v>47</v>
      </c>
      <c r="E5"/>
      <c r="G5" s="14" t="s">
        <v>49</v>
      </c>
      <c r="H5" s="15" t="s">
        <v>0</v>
      </c>
      <c r="I5" s="15"/>
      <c r="J5"/>
      <c r="K5"/>
      <c r="L5"/>
      <c r="N5" s="96" t="s">
        <v>283</v>
      </c>
      <c r="O5" s="97"/>
      <c r="P5" s="97"/>
      <c r="Q5" s="97"/>
    </row>
    <row r="6" spans="1:17" x14ac:dyDescent="0.3">
      <c r="A6" s="16" t="s">
        <v>48</v>
      </c>
      <c r="B6" s="17" t="s">
        <v>193</v>
      </c>
      <c r="C6" s="17" t="s">
        <v>13</v>
      </c>
      <c r="D6" s="17" t="s">
        <v>50</v>
      </c>
      <c r="E6" s="17" t="s">
        <v>59</v>
      </c>
      <c r="F6" s="17" t="s">
        <v>60</v>
      </c>
      <c r="G6" s="17" t="s">
        <v>51</v>
      </c>
      <c r="H6" s="17" t="s">
        <v>34</v>
      </c>
      <c r="I6" s="31" t="s">
        <v>61</v>
      </c>
      <c r="J6" s="17" t="s">
        <v>62</v>
      </c>
      <c r="K6" s="18" t="s">
        <v>54</v>
      </c>
      <c r="L6" s="32" t="s">
        <v>46</v>
      </c>
      <c r="N6" s="32" t="s">
        <v>280</v>
      </c>
      <c r="O6" s="32" t="s">
        <v>281</v>
      </c>
      <c r="P6" s="32" t="s">
        <v>282</v>
      </c>
      <c r="Q6" s="32" t="s">
        <v>281</v>
      </c>
    </row>
    <row r="7" spans="1:17" x14ac:dyDescent="0.3">
      <c r="A7" s="59" t="str" cm="1">
        <f t="array" ref="A7:A12">"000"&amp;_xlfn.SEQUENCE(COUNTA(C7:C1048576))</f>
        <v>0001</v>
      </c>
      <c r="B7" s="59" t="s">
        <v>195</v>
      </c>
      <c r="C7" s="59" t="s">
        <v>14</v>
      </c>
      <c r="D7" s="55">
        <v>44910</v>
      </c>
      <c r="E7" s="235">
        <v>100</v>
      </c>
      <c r="F7" s="59">
        <v>4</v>
      </c>
      <c r="G7" s="235">
        <v>25</v>
      </c>
      <c r="H7" s="235">
        <v>2</v>
      </c>
      <c r="I7" s="236">
        <v>27</v>
      </c>
      <c r="J7" s="235">
        <v>100</v>
      </c>
      <c r="K7" s="235">
        <v>8</v>
      </c>
      <c r="L7" s="235">
        <v>108</v>
      </c>
      <c r="N7" s="130">
        <f>SUMIFS(PAGOS!$E$3:$E$1048576,PAGOS!$A$3:$A$1048576,"&lt;&gt;INGRESO*",PAGOS!$A$3:$A$1048576,"&lt;&gt;EGRESO*",PAGOS!$D$3:$D$1048576,+MID('01'!B7,6,3)*1)</f>
        <v>100</v>
      </c>
      <c r="O7" s="130">
        <f t="shared" ref="O7:O12" si="0">E7-N7</f>
        <v>0</v>
      </c>
      <c r="P7" s="130">
        <f>SUMIFS(PAGOS!$H$3:$H$1048576,PAGOS!$A$3:$A$1048576,"&lt;&gt;INGRESO*",PAGOS!$A$3:$A$1048576,"&lt;&gt;EGRESO*",PAGOS!$D$3:$D$1048576,+MID('01'!B7,6,3)*1)</f>
        <v>8</v>
      </c>
      <c r="Q7" s="130">
        <f t="shared" ref="Q7:Q12" si="1">K7-P7</f>
        <v>0</v>
      </c>
    </row>
    <row r="8" spans="1:17" x14ac:dyDescent="0.3">
      <c r="A8" s="59" t="str">
        <v>0002</v>
      </c>
      <c r="B8" s="59" t="s">
        <v>196</v>
      </c>
      <c r="C8" s="59" t="s">
        <v>14</v>
      </c>
      <c r="D8" s="55">
        <v>45031</v>
      </c>
      <c r="E8" s="235">
        <v>100</v>
      </c>
      <c r="F8" s="59">
        <v>4</v>
      </c>
      <c r="G8" s="235">
        <v>25</v>
      </c>
      <c r="H8" s="235">
        <v>2</v>
      </c>
      <c r="I8" s="236">
        <v>27</v>
      </c>
      <c r="J8" s="235">
        <v>100</v>
      </c>
      <c r="K8" s="235">
        <v>8</v>
      </c>
      <c r="L8" s="235">
        <v>108</v>
      </c>
      <c r="N8" s="130">
        <f>SUMIFS(PAGOS!$E$3:$E$1048576,PAGOS!$A$3:$A$1048576,"&lt;&gt;INGRESO*",PAGOS!$A$3:$A$1048576,"&lt;&gt;EGRESO*",PAGOS!$D$3:$D$1048576,+MID('01'!B8,6,3)*1)</f>
        <v>100</v>
      </c>
      <c r="O8" s="130">
        <f t="shared" si="0"/>
        <v>0</v>
      </c>
      <c r="P8" s="130">
        <f>SUMIFS(PAGOS!$H$3:$H$1048576,PAGOS!$A$3:$A$1048576,"&lt;&gt;INGRESO*",PAGOS!$A$3:$A$1048576,"&lt;&gt;EGRESO*",PAGOS!$D$3:$D$1048576,+MID('01'!B8,6,3)*1)</f>
        <v>8</v>
      </c>
      <c r="Q8" s="130">
        <f t="shared" si="1"/>
        <v>0</v>
      </c>
    </row>
    <row r="9" spans="1:17" x14ac:dyDescent="0.3">
      <c r="A9" s="59" t="str">
        <v>0003</v>
      </c>
      <c r="B9" s="59" t="s">
        <v>197</v>
      </c>
      <c r="C9" s="59" t="s">
        <v>14</v>
      </c>
      <c r="D9" s="55">
        <v>45159</v>
      </c>
      <c r="E9" s="235">
        <v>100</v>
      </c>
      <c r="F9" s="59">
        <v>1</v>
      </c>
      <c r="G9" s="235">
        <v>100</v>
      </c>
      <c r="H9" s="235">
        <v>2</v>
      </c>
      <c r="I9" s="236">
        <v>102</v>
      </c>
      <c r="J9" s="235">
        <v>100</v>
      </c>
      <c r="K9" s="235">
        <v>2</v>
      </c>
      <c r="L9" s="235">
        <v>102</v>
      </c>
      <c r="N9" s="130">
        <f>SUMIFS(PAGOS!$E$3:$E$1048576,PAGOS!$A$3:$A$1048576,"&lt;&gt;INGRESO*",PAGOS!$A$3:$A$1048576,"&lt;&gt;EGRESO*",PAGOS!$D$3:$D$1048576,+MID('01'!B9,6,3)*1)</f>
        <v>100</v>
      </c>
      <c r="O9" s="130">
        <f t="shared" si="0"/>
        <v>0</v>
      </c>
      <c r="P9" s="130">
        <f>SUMIFS(PAGOS!$H$3:$H$1048576,PAGOS!$A$3:$A$1048576,"&lt;&gt;INGRESO*",PAGOS!$A$3:$A$1048576,"&lt;&gt;EGRESO*",PAGOS!$D$3:$D$1048576,+MID('01'!B9,6,3)*1)</f>
        <v>2</v>
      </c>
      <c r="Q9" s="130">
        <f t="shared" si="1"/>
        <v>0</v>
      </c>
    </row>
    <row r="10" spans="1:17" x14ac:dyDescent="0.3">
      <c r="A10" s="59" t="str">
        <v>0004</v>
      </c>
      <c r="B10" s="59" t="s">
        <v>206</v>
      </c>
      <c r="C10" s="59" t="s">
        <v>14</v>
      </c>
      <c r="D10" s="55">
        <v>45341</v>
      </c>
      <c r="E10" s="20">
        <v>100</v>
      </c>
      <c r="F10" s="59">
        <v>4</v>
      </c>
      <c r="G10" s="20">
        <v>25</v>
      </c>
      <c r="H10" s="20">
        <v>2</v>
      </c>
      <c r="I10" s="237">
        <v>27</v>
      </c>
      <c r="J10" s="20">
        <v>100</v>
      </c>
      <c r="K10" s="20">
        <v>8</v>
      </c>
      <c r="L10" s="20">
        <v>108</v>
      </c>
      <c r="N10" s="130">
        <f>SUMIFS(PAGOS!$E$3:$E$1048576,PAGOS!$A$3:$A$1048576,"&lt;&gt;INGRESO*",PAGOS!$A$3:$A$1048576,"&lt;&gt;EGRESO*",PAGOS!$D$3:$D$1048576,+MID('01'!B10,6,3)*1)</f>
        <v>100</v>
      </c>
      <c r="O10" s="130">
        <f t="shared" si="0"/>
        <v>0</v>
      </c>
      <c r="P10" s="130">
        <f>SUMIFS(PAGOS!$H$3:$H$1048576,PAGOS!$A$3:$A$1048576,"&lt;&gt;INGRESO*",PAGOS!$A$3:$A$1048576,"&lt;&gt;EGRESO*",PAGOS!$D$3:$D$1048576,+MID('01'!B10,6,3)*1)</f>
        <v>8</v>
      </c>
      <c r="Q10" s="130">
        <f t="shared" si="1"/>
        <v>0</v>
      </c>
    </row>
    <row r="11" spans="1:17" x14ac:dyDescent="0.3">
      <c r="A11" s="59" t="str">
        <v>0005</v>
      </c>
      <c r="B11" s="59" t="s">
        <v>246</v>
      </c>
      <c r="C11" s="59" t="s">
        <v>14</v>
      </c>
      <c r="D11" s="55">
        <v>45519</v>
      </c>
      <c r="E11" s="20">
        <v>300</v>
      </c>
      <c r="F11" s="59">
        <v>6</v>
      </c>
      <c r="G11" s="20">
        <v>50</v>
      </c>
      <c r="H11" s="20">
        <v>6</v>
      </c>
      <c r="I11" s="237">
        <v>56</v>
      </c>
      <c r="J11" s="20">
        <v>300</v>
      </c>
      <c r="K11" s="20">
        <v>36</v>
      </c>
      <c r="L11" s="20">
        <v>336</v>
      </c>
      <c r="N11" s="130">
        <f>SUMIFS(PAGOS!$E$3:$E$1048576,PAGOS!$A$3:$A$1048576,"&lt;&gt;INGRESO*",PAGOS!$A$3:$A$1048576,"&lt;&gt;EGRESO*",PAGOS!$D$3:$D$1048576,+MID('01'!B11,6,3)*1)</f>
        <v>300</v>
      </c>
      <c r="O11" s="130">
        <f t="shared" si="0"/>
        <v>0</v>
      </c>
      <c r="P11" s="130">
        <f>SUMIFS(PAGOS!$H$3:$H$1048576,PAGOS!$A$3:$A$1048576,"&lt;&gt;INGRESO*",PAGOS!$A$3:$A$1048576,"&lt;&gt;EGRESO*",PAGOS!$D$3:$D$1048576,+MID('01'!B11,6,3)*1)</f>
        <v>36</v>
      </c>
      <c r="Q11" s="130">
        <f t="shared" si="1"/>
        <v>0</v>
      </c>
    </row>
    <row r="12" spans="1:17" x14ac:dyDescent="0.3">
      <c r="A12" s="59" t="str">
        <v>0006</v>
      </c>
      <c r="B12" s="59" t="s">
        <v>376</v>
      </c>
      <c r="C12" s="59" t="s">
        <v>14</v>
      </c>
      <c r="D12" s="55">
        <v>45731.834143518521</v>
      </c>
      <c r="E12" s="270">
        <v>700</v>
      </c>
      <c r="F12" s="59">
        <v>3</v>
      </c>
      <c r="G12" s="20">
        <v>233.33333333333334</v>
      </c>
      <c r="H12" s="20">
        <v>14</v>
      </c>
      <c r="I12" s="237">
        <v>247.33333333333334</v>
      </c>
      <c r="J12" s="20">
        <v>700</v>
      </c>
      <c r="K12" s="20">
        <v>42</v>
      </c>
      <c r="L12" s="270">
        <v>742</v>
      </c>
      <c r="N12" s="130">
        <f>SUMIFS(PAGOS!$E$3:$E$1048576,PAGOS!$A$3:$A$1048576,"&lt;&gt;INGRESO*",PAGOS!$A$3:$A$1048576,"&lt;&gt;EGRESO*",PAGOS!$D$3:$D$1048576,+MID('01'!B12,6,3)*1)</f>
        <v>700</v>
      </c>
      <c r="O12" s="130">
        <f t="shared" si="0"/>
        <v>0</v>
      </c>
      <c r="P12" s="130">
        <f>SUMIFS(PAGOS!$H$3:$H$1048576,PAGOS!$A$3:$A$1048576,"&lt;&gt;INGRESO*",PAGOS!$A$3:$A$1048576,"&lt;&gt;EGRESO*",PAGOS!$D$3:$D$1048576,+MID('01'!B12,6,3)*1)</f>
        <v>42</v>
      </c>
      <c r="Q12" s="130">
        <f t="shared" si="1"/>
        <v>0</v>
      </c>
    </row>
    <row r="15" spans="1:17" x14ac:dyDescent="0.3">
      <c r="E15"/>
      <c r="I15"/>
    </row>
    <row r="16" spans="1:17" x14ac:dyDescent="0.3">
      <c r="E16"/>
      <c r="I16"/>
    </row>
    <row r="17" spans="5:9" x14ac:dyDescent="0.3">
      <c r="E17"/>
      <c r="I17"/>
    </row>
  </sheetData>
  <sheetProtection formatCells="0" formatRows="0" insertRows="0" autoFilter="0"/>
  <pageMargins left="0.7" right="0.7" top="0.75" bottom="0.75" header="0.3" footer="0.3"/>
  <pageSetup paperSize="9" scale="86" fitToHeight="0" orientation="landscape" cellComments="atEnd" r:id="rId1"/>
  <ignoredErrors>
    <ignoredError sqref="H5" numberStoredAsText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5"/>
  <sheetViews>
    <sheetView zoomScaleNormal="100" workbookViewId="0">
      <selection activeCell="A7" sqref="A7"/>
    </sheetView>
  </sheetViews>
  <sheetFormatPr baseColWidth="10" defaultColWidth="11.5546875" defaultRowHeight="14.4" x14ac:dyDescent="0.3"/>
  <cols>
    <col min="1" max="1" width="14.33203125" bestFit="1" customWidth="1"/>
    <col min="2" max="2" width="9.6640625" bestFit="1" customWidth="1"/>
    <col min="3" max="3" width="20.33203125" customWidth="1"/>
    <col min="4" max="8" width="11" bestFit="1" customWidth="1"/>
    <col min="9" max="9" width="11" style="149" bestFit="1" customWidth="1"/>
    <col min="10" max="12" width="11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188</v>
      </c>
      <c r="D2" s="167" t="s">
        <v>194</v>
      </c>
      <c r="E2" s="168"/>
      <c r="F2" s="168"/>
      <c r="G2" s="168"/>
      <c r="H2" s="168"/>
      <c r="I2" s="168"/>
      <c r="J2" s="168"/>
      <c r="K2" s="169"/>
    </row>
    <row r="3" spans="1:17" x14ac:dyDescent="0.3">
      <c r="D3" s="152" t="s">
        <v>189</v>
      </c>
      <c r="E3" s="172"/>
      <c r="F3" s="152" t="s">
        <v>190</v>
      </c>
      <c r="G3" s="170">
        <f>SUM(E7:E1048576)</f>
        <v>1200</v>
      </c>
      <c r="H3" s="152" t="s">
        <v>191</v>
      </c>
      <c r="I3" s="170">
        <f>SUM($P$7:$P$1048576)</f>
        <v>38</v>
      </c>
      <c r="J3" s="152" t="s">
        <v>192</v>
      </c>
      <c r="K3" s="171">
        <f>G3+I3</f>
        <v>1238</v>
      </c>
    </row>
    <row r="4" spans="1:17" x14ac:dyDescent="0.3">
      <c r="I4"/>
    </row>
    <row r="5" spans="1:17" x14ac:dyDescent="0.3">
      <c r="C5" s="14" t="s">
        <v>47</v>
      </c>
      <c r="G5" s="14" t="s">
        <v>49</v>
      </c>
      <c r="H5" s="15" t="s">
        <v>1</v>
      </c>
      <c r="I5"/>
      <c r="N5" s="96" t="s">
        <v>283</v>
      </c>
      <c r="O5" s="97"/>
      <c r="P5" s="97"/>
      <c r="Q5" s="97"/>
    </row>
    <row r="6" spans="1:17" x14ac:dyDescent="0.3">
      <c r="A6" s="16" t="s">
        <v>48</v>
      </c>
      <c r="B6" s="17" t="s">
        <v>193</v>
      </c>
      <c r="C6" s="17" t="s">
        <v>13</v>
      </c>
      <c r="D6" s="17" t="s">
        <v>50</v>
      </c>
      <c r="E6" s="17" t="s">
        <v>59</v>
      </c>
      <c r="F6" s="17" t="s">
        <v>60</v>
      </c>
      <c r="G6" s="17" t="s">
        <v>51</v>
      </c>
      <c r="H6" s="17" t="s">
        <v>34</v>
      </c>
      <c r="I6" s="31" t="s">
        <v>61</v>
      </c>
      <c r="J6" s="17" t="s">
        <v>62</v>
      </c>
      <c r="K6" s="18" t="s">
        <v>54</v>
      </c>
      <c r="L6" s="32" t="s">
        <v>46</v>
      </c>
      <c r="N6" s="32" t="s">
        <v>280</v>
      </c>
      <c r="O6" s="32" t="s">
        <v>281</v>
      </c>
      <c r="P6" s="32" t="s">
        <v>282</v>
      </c>
      <c r="Q6" s="32" t="s">
        <v>281</v>
      </c>
    </row>
    <row r="7" spans="1:17" x14ac:dyDescent="0.3">
      <c r="A7" s="59" t="str" cm="1">
        <f t="array" ref="A7:A9">"000"&amp;_xlfn.SEQUENCE(COUNTA(C7:C1048576))</f>
        <v>0001</v>
      </c>
      <c r="B7" s="59" t="s">
        <v>198</v>
      </c>
      <c r="C7" s="59" t="s">
        <v>15</v>
      </c>
      <c r="D7" s="55">
        <v>45184</v>
      </c>
      <c r="E7" s="182">
        <v>100</v>
      </c>
      <c r="F7" s="59">
        <v>4</v>
      </c>
      <c r="G7" s="182">
        <v>25</v>
      </c>
      <c r="H7" s="182">
        <v>2</v>
      </c>
      <c r="I7" s="183">
        <v>27</v>
      </c>
      <c r="J7" s="182">
        <v>100</v>
      </c>
      <c r="K7" s="182">
        <v>8</v>
      </c>
      <c r="L7" s="182">
        <v>108</v>
      </c>
      <c r="N7" s="130">
        <f>SUMIFS(PAGOS!$E$3:$E$1048576,PAGOS!$A$3:$A$1048576,"&lt;&gt;INGRESO*",PAGOS!$A$3:$A$1048576,"&lt;&gt;EGRESO*",PAGOS!$D$3:$D$1048576,+MID('02'!B7,6,3)*1)</f>
        <v>100</v>
      </c>
      <c r="O7" s="130">
        <f>E7-N7</f>
        <v>0</v>
      </c>
      <c r="P7" s="130">
        <f>SUMIFS(PAGOS!$H$3:$H$1048576,PAGOS!$A$3:$A$1048576,"&lt;&gt;INGRESO*",PAGOS!$A$3:$A$1048576,"&lt;&gt;EGRESO*",PAGOS!$D$3:$D$1048576,+MID('02'!B7,6,3)*1)</f>
        <v>8</v>
      </c>
      <c r="Q7" s="130">
        <f>K7-P7</f>
        <v>0</v>
      </c>
    </row>
    <row r="8" spans="1:17" x14ac:dyDescent="0.3">
      <c r="A8" s="59" t="str">
        <v>0002</v>
      </c>
      <c r="B8" s="59" t="s">
        <v>303</v>
      </c>
      <c r="C8" s="59" t="s">
        <v>15</v>
      </c>
      <c r="D8" s="55">
        <v>45611</v>
      </c>
      <c r="E8" s="182">
        <v>500</v>
      </c>
      <c r="F8" s="59">
        <v>3</v>
      </c>
      <c r="G8" s="182">
        <v>166.66666666666666</v>
      </c>
      <c r="H8" s="182">
        <v>10</v>
      </c>
      <c r="I8" s="183">
        <v>176.66666666666666</v>
      </c>
      <c r="J8" s="182">
        <v>500</v>
      </c>
      <c r="K8" s="182">
        <v>30</v>
      </c>
      <c r="L8" s="182">
        <v>530</v>
      </c>
      <c r="N8" s="130">
        <f>SUMIFS(PAGOS!$E$3:$E$1048576,PAGOS!$A$3:$A$1048576,"&lt;&gt;INGRESO*",PAGOS!$A$3:$A$1048576,"&lt;&gt;EGRESO*",PAGOS!$D$3:$D$1048576,+MID('02'!B8,6,3)*1)</f>
        <v>500.01</v>
      </c>
      <c r="O8" s="130">
        <f>E8-N8</f>
        <v>-9.9999999999909051E-3</v>
      </c>
      <c r="P8" s="130">
        <f>SUMIFS(PAGOS!$H$3:$H$1048576,PAGOS!$A$3:$A$1048576,"&lt;&gt;INGRESO*",PAGOS!$A$3:$A$1048576,"&lt;&gt;EGRESO*",PAGOS!$D$3:$D$1048576,+MID('02'!B8,6,3)*1)</f>
        <v>30</v>
      </c>
      <c r="Q8" s="130">
        <f>K8-P8</f>
        <v>0</v>
      </c>
    </row>
    <row r="9" spans="1:17" x14ac:dyDescent="0.3">
      <c r="A9" t="str">
        <v>0003</v>
      </c>
      <c r="B9" s="130" t="s">
        <v>393</v>
      </c>
      <c r="C9" s="130" t="s">
        <v>15</v>
      </c>
      <c r="D9" s="36">
        <v>45762</v>
      </c>
      <c r="E9" s="130">
        <v>600</v>
      </c>
      <c r="F9">
        <v>3</v>
      </c>
      <c r="G9">
        <v>200</v>
      </c>
      <c r="H9">
        <v>12</v>
      </c>
      <c r="I9">
        <v>212</v>
      </c>
      <c r="J9">
        <v>600</v>
      </c>
      <c r="K9">
        <v>36</v>
      </c>
      <c r="L9" s="271">
        <v>636</v>
      </c>
    </row>
    <row r="10" spans="1:17" x14ac:dyDescent="0.3">
      <c r="N10" s="130"/>
      <c r="O10" s="130"/>
      <c r="P10" s="130"/>
      <c r="Q10" s="130"/>
    </row>
    <row r="11" spans="1:17" x14ac:dyDescent="0.3">
      <c r="I11"/>
    </row>
    <row r="12" spans="1:17" x14ac:dyDescent="0.3">
      <c r="I12"/>
    </row>
    <row r="13" spans="1:17" x14ac:dyDescent="0.3">
      <c r="I13"/>
    </row>
    <row r="14" spans="1:17" x14ac:dyDescent="0.3">
      <c r="I14"/>
    </row>
    <row r="15" spans="1:17" x14ac:dyDescent="0.3">
      <c r="I15"/>
    </row>
  </sheetData>
  <pageMargins left="0.7" right="0.7" top="0.75" bottom="0.75" header="0.3" footer="0.3"/>
  <pageSetup paperSize="9" scale="91" fitToHeight="0" orientation="landscape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25"/>
  <sheetViews>
    <sheetView zoomScaleNormal="100" workbookViewId="0"/>
  </sheetViews>
  <sheetFormatPr baseColWidth="10" defaultColWidth="11.5546875" defaultRowHeight="14.4" x14ac:dyDescent="0.3"/>
  <cols>
    <col min="1" max="1" width="14.33203125" bestFit="1" customWidth="1"/>
    <col min="2" max="2" width="9.6640625" bestFit="1" customWidth="1"/>
    <col min="3" max="3" width="16.33203125" customWidth="1"/>
    <col min="4" max="8" width="11.6640625" bestFit="1" customWidth="1"/>
    <col min="9" max="9" width="8.33203125" style="149" customWidth="1"/>
    <col min="10" max="10" width="11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188</v>
      </c>
      <c r="D2" s="167" t="s">
        <v>194</v>
      </c>
      <c r="E2" s="168"/>
      <c r="F2" s="168"/>
      <c r="G2" s="168"/>
      <c r="H2" s="168"/>
      <c r="I2" s="168"/>
      <c r="J2" s="168"/>
      <c r="K2" s="169"/>
    </row>
    <row r="3" spans="1:17" x14ac:dyDescent="0.3">
      <c r="D3" s="152" t="s">
        <v>189</v>
      </c>
      <c r="E3" s="172"/>
      <c r="F3" s="152" t="s">
        <v>190</v>
      </c>
      <c r="G3" s="170">
        <f>SUM(E7:E1048576)</f>
        <v>3700</v>
      </c>
      <c r="H3" s="152" t="s">
        <v>191</v>
      </c>
      <c r="I3" s="170">
        <f>SUM($P$7:$P$1048576)</f>
        <v>300</v>
      </c>
      <c r="J3" s="152" t="s">
        <v>192</v>
      </c>
      <c r="K3" s="171">
        <f>G3+I3</f>
        <v>4000</v>
      </c>
    </row>
    <row r="4" spans="1:17" x14ac:dyDescent="0.3">
      <c r="I4"/>
    </row>
    <row r="5" spans="1:17" x14ac:dyDescent="0.3">
      <c r="C5" s="14" t="s">
        <v>47</v>
      </c>
      <c r="G5" s="14" t="s">
        <v>49</v>
      </c>
      <c r="H5" s="15" t="s">
        <v>2</v>
      </c>
      <c r="I5"/>
      <c r="N5" s="96" t="s">
        <v>283</v>
      </c>
      <c r="O5" s="97"/>
      <c r="P5" s="97"/>
      <c r="Q5" s="97"/>
    </row>
    <row r="6" spans="1:17" x14ac:dyDescent="0.3">
      <c r="A6" s="16" t="s">
        <v>48</v>
      </c>
      <c r="B6" s="17" t="s">
        <v>193</v>
      </c>
      <c r="C6" s="17" t="s">
        <v>13</v>
      </c>
      <c r="D6" s="17" t="s">
        <v>50</v>
      </c>
      <c r="E6" s="17" t="s">
        <v>59</v>
      </c>
      <c r="F6" s="17" t="s">
        <v>60</v>
      </c>
      <c r="G6" s="17" t="s">
        <v>51</v>
      </c>
      <c r="H6" s="17" t="s">
        <v>34</v>
      </c>
      <c r="I6" s="31" t="s">
        <v>61</v>
      </c>
      <c r="J6" s="17" t="s">
        <v>62</v>
      </c>
      <c r="K6" s="18" t="s">
        <v>54</v>
      </c>
      <c r="L6" s="32" t="s">
        <v>46</v>
      </c>
      <c r="N6" s="32" t="s">
        <v>280</v>
      </c>
      <c r="O6" s="32" t="s">
        <v>281</v>
      </c>
      <c r="P6" s="32" t="s">
        <v>282</v>
      </c>
      <c r="Q6" s="32" t="s">
        <v>281</v>
      </c>
    </row>
    <row r="7" spans="1:17" x14ac:dyDescent="0.3">
      <c r="A7" s="59" t="str" cm="1">
        <f t="array" ref="A7:A13">"000"&amp;_xlfn.SEQUENCE(COUNTA(C7:C1048576))</f>
        <v>0001</v>
      </c>
      <c r="B7" s="59" t="s">
        <v>199</v>
      </c>
      <c r="C7" s="59" t="s">
        <v>16</v>
      </c>
      <c r="D7" s="55">
        <v>45153</v>
      </c>
      <c r="E7" s="182">
        <v>100</v>
      </c>
      <c r="F7" s="59">
        <v>2</v>
      </c>
      <c r="G7" s="182">
        <v>50</v>
      </c>
      <c r="H7" s="182">
        <v>2</v>
      </c>
      <c r="I7" s="183">
        <v>52</v>
      </c>
      <c r="J7" s="182">
        <v>100</v>
      </c>
      <c r="K7" s="182">
        <v>4</v>
      </c>
      <c r="L7" s="182">
        <v>104</v>
      </c>
      <c r="N7" s="130">
        <f>SUMIFS(PAGOS!$E$3:$E$1048576,PAGOS!$A$3:$A$1048576,"&lt;&gt;INGRESO*",PAGOS!$A$3:$A$1048576,"&lt;&gt;EGRESO*",PAGOS!$D$3:$D$1048576,+MID('03'!B7,6,3)*1)</f>
        <v>150</v>
      </c>
      <c r="O7" s="130">
        <f t="shared" ref="O7:O12" si="0">E7-N7</f>
        <v>-50</v>
      </c>
      <c r="P7" s="130">
        <f>SUMIFS(PAGOS!$H$3:$H$1048576,PAGOS!$A$3:$A$1048576,"&lt;&gt;INGRESO*",PAGOS!$A$3:$A$1048576,"&lt;&gt;EGRESO*",PAGOS!$D$3:$D$1048576,+MID('03'!B7,6,3)*1)</f>
        <v>4</v>
      </c>
      <c r="Q7" s="130">
        <f t="shared" ref="Q7:Q12" si="1">K7-P7</f>
        <v>0</v>
      </c>
    </row>
    <row r="8" spans="1:17" x14ac:dyDescent="0.3">
      <c r="A8" s="59" t="str">
        <v>0002</v>
      </c>
      <c r="B8" s="59" t="s">
        <v>200</v>
      </c>
      <c r="C8" s="59" t="s">
        <v>16</v>
      </c>
      <c r="D8" s="55">
        <v>44972</v>
      </c>
      <c r="E8" s="182">
        <v>300</v>
      </c>
      <c r="F8" s="59">
        <v>3</v>
      </c>
      <c r="G8" s="182">
        <v>100</v>
      </c>
      <c r="H8" s="182">
        <v>6</v>
      </c>
      <c r="I8" s="183">
        <v>106</v>
      </c>
      <c r="J8" s="182">
        <v>300</v>
      </c>
      <c r="K8" s="182">
        <v>18</v>
      </c>
      <c r="L8" s="182">
        <v>318</v>
      </c>
      <c r="N8" s="130">
        <f>SUMIFS(PAGOS!$E$3:$E$1048576,PAGOS!$A$3:$A$1048576,"&lt;&gt;INGRESO*",PAGOS!$A$3:$A$1048576,"&lt;&gt;EGRESO*",PAGOS!$D$3:$D$1048576,+MID('03'!B8,6,3)*1)</f>
        <v>300</v>
      </c>
      <c r="O8" s="130">
        <f t="shared" si="0"/>
        <v>0</v>
      </c>
      <c r="P8" s="130">
        <f>SUMIFS(PAGOS!$H$3:$H$1048576,PAGOS!$A$3:$A$1048576,"&lt;&gt;INGRESO*",PAGOS!$A$3:$A$1048576,"&lt;&gt;EGRESO*",PAGOS!$D$3:$D$1048576,+MID('03'!B8,6,3)*1)</f>
        <v>18</v>
      </c>
      <c r="Q8" s="130">
        <f t="shared" si="1"/>
        <v>0</v>
      </c>
    </row>
    <row r="9" spans="1:17" x14ac:dyDescent="0.3">
      <c r="A9" s="59" t="str">
        <v>0003</v>
      </c>
      <c r="B9" s="59" t="s">
        <v>201</v>
      </c>
      <c r="C9" s="59" t="s">
        <v>16</v>
      </c>
      <c r="D9" s="55">
        <v>45092</v>
      </c>
      <c r="E9" s="182">
        <v>400</v>
      </c>
      <c r="F9" s="59">
        <v>4</v>
      </c>
      <c r="G9" s="182">
        <v>100</v>
      </c>
      <c r="H9" s="182">
        <v>8</v>
      </c>
      <c r="I9" s="183">
        <v>208</v>
      </c>
      <c r="J9" s="182">
        <v>400</v>
      </c>
      <c r="K9" s="182">
        <v>32</v>
      </c>
      <c r="L9" s="182">
        <v>432</v>
      </c>
      <c r="N9" s="130">
        <f>SUMIFS(PAGOS!$E$3:$E$1048576,PAGOS!$A$3:$A$1048576,"&lt;&gt;INGRESO*",PAGOS!$A$3:$A$1048576,"&lt;&gt;EGRESO*",PAGOS!$D$3:$D$1048576,+MID('03'!B9,6,3)*1)</f>
        <v>400</v>
      </c>
      <c r="O9" s="130">
        <f t="shared" si="0"/>
        <v>0</v>
      </c>
      <c r="P9" s="130">
        <f>SUMIFS(PAGOS!$H$3:$H$1048576,PAGOS!$A$3:$A$1048576,"&lt;&gt;INGRESO*",PAGOS!$A$3:$A$1048576,"&lt;&gt;EGRESO*",PAGOS!$D$3:$D$1048576,+MID('03'!B9,6,3)*1)</f>
        <v>32</v>
      </c>
      <c r="Q9" s="130">
        <f t="shared" si="1"/>
        <v>0</v>
      </c>
    </row>
    <row r="10" spans="1:17" x14ac:dyDescent="0.3">
      <c r="A10" s="59" t="str">
        <v>0004</v>
      </c>
      <c r="B10" s="59" t="s">
        <v>202</v>
      </c>
      <c r="C10" s="59" t="s">
        <v>16</v>
      </c>
      <c r="D10" s="55">
        <v>45245</v>
      </c>
      <c r="E10" s="182">
        <v>200</v>
      </c>
      <c r="F10" s="59">
        <v>4</v>
      </c>
      <c r="G10" s="182">
        <v>50</v>
      </c>
      <c r="H10" s="182">
        <v>4</v>
      </c>
      <c r="I10" s="183">
        <v>54</v>
      </c>
      <c r="J10" s="182">
        <v>200</v>
      </c>
      <c r="K10" s="182">
        <v>16</v>
      </c>
      <c r="L10" s="182">
        <v>216</v>
      </c>
      <c r="N10" s="130">
        <f>SUMIFS(PAGOS!$E$3:$E$1048576,PAGOS!$A$3:$A$1048576,"&lt;&gt;INGRESO*",PAGOS!$A$3:$A$1048576,"&lt;&gt;EGRESO*",PAGOS!$D$3:$D$1048576,+MID('03'!B10,6,3)*1)</f>
        <v>200</v>
      </c>
      <c r="O10" s="130">
        <f t="shared" si="0"/>
        <v>0</v>
      </c>
      <c r="P10" s="130">
        <f>SUMIFS(PAGOS!$H$3:$H$1048576,PAGOS!$A$3:$A$1048576,"&lt;&gt;INGRESO*",PAGOS!$A$3:$A$1048576,"&lt;&gt;EGRESO*",PAGOS!$D$3:$D$1048576,+MID('03'!B10,6,3)*1)</f>
        <v>16</v>
      </c>
      <c r="Q10" s="130">
        <f t="shared" si="1"/>
        <v>0</v>
      </c>
    </row>
    <row r="11" spans="1:17" x14ac:dyDescent="0.3">
      <c r="A11" s="59" t="str">
        <v>0005</v>
      </c>
      <c r="B11" s="59" t="s">
        <v>212</v>
      </c>
      <c r="C11" s="59" t="s">
        <v>16</v>
      </c>
      <c r="D11" s="55">
        <v>45366</v>
      </c>
      <c r="E11" s="197">
        <v>1000</v>
      </c>
      <c r="F11" s="59">
        <v>10</v>
      </c>
      <c r="G11" s="182">
        <v>100</v>
      </c>
      <c r="H11" s="182">
        <v>20</v>
      </c>
      <c r="I11" s="183">
        <v>120</v>
      </c>
      <c r="J11" s="182">
        <v>1000</v>
      </c>
      <c r="K11" s="182">
        <v>200</v>
      </c>
      <c r="L11" s="182">
        <v>1200</v>
      </c>
      <c r="N11" s="130">
        <f>SUMIFS(PAGOS!$E$3:$E$1048576,PAGOS!$A$3:$A$1048576,"&lt;&gt;INGRESO*",PAGOS!$A$3:$A$1048576,"&lt;&gt;EGRESO*",PAGOS!$D$3:$D$1048576,+MID('03'!B11,6,3)*1)</f>
        <v>1000</v>
      </c>
      <c r="O11" s="130">
        <f t="shared" si="0"/>
        <v>0</v>
      </c>
      <c r="P11" s="130">
        <f>SUMIFS(PAGOS!$H$3:$H$1048576,PAGOS!$A$3:$A$1048576,"&lt;&gt;INGRESO*",PAGOS!$A$3:$A$1048576,"&lt;&gt;EGRESO*",PAGOS!$D$3:$D$1048576,+MID('03'!B11,6,3)*1)</f>
        <v>200</v>
      </c>
      <c r="Q11" s="130">
        <f t="shared" si="1"/>
        <v>0</v>
      </c>
    </row>
    <row r="12" spans="1:17" x14ac:dyDescent="0.3">
      <c r="A12" s="59" t="str">
        <v>0006</v>
      </c>
      <c r="B12" s="59" t="s">
        <v>367</v>
      </c>
      <c r="C12" s="59" t="s">
        <v>16</v>
      </c>
      <c r="D12" s="55">
        <v>45704</v>
      </c>
      <c r="E12" s="197">
        <v>500</v>
      </c>
      <c r="F12" s="59">
        <v>5</v>
      </c>
      <c r="G12" s="182">
        <v>100</v>
      </c>
      <c r="H12" s="182">
        <v>10</v>
      </c>
      <c r="I12" s="183">
        <v>110</v>
      </c>
      <c r="J12" s="182">
        <v>500</v>
      </c>
      <c r="K12" s="182">
        <v>50</v>
      </c>
      <c r="L12" s="197">
        <v>550</v>
      </c>
      <c r="N12" s="130">
        <f>SUMIFS(PAGOS!$E$3:$E$1048576,PAGOS!$A$3:$A$1048576,"&lt;&gt;INGRESO*",PAGOS!$A$3:$A$1048576,"&lt;&gt;EGRESO*",PAGOS!$D$3:$D$1048576,+MID('03'!B12,6,3)*1)</f>
        <v>300</v>
      </c>
      <c r="O12" s="130">
        <f t="shared" si="0"/>
        <v>200</v>
      </c>
      <c r="P12" s="130">
        <f>SUMIFS(PAGOS!$H$3:$H$1048576,PAGOS!$A$3:$A$1048576,"&lt;&gt;INGRESO*",PAGOS!$A$3:$A$1048576,"&lt;&gt;EGRESO*",PAGOS!$D$3:$D$1048576,+MID('03'!B12,6,3)*1)</f>
        <v>30</v>
      </c>
      <c r="Q12" s="130">
        <f t="shared" si="1"/>
        <v>20</v>
      </c>
    </row>
    <row r="13" spans="1:17" x14ac:dyDescent="0.3">
      <c r="A13" s="59" t="str">
        <v>0007</v>
      </c>
      <c r="B13" s="59" t="s">
        <v>419</v>
      </c>
      <c r="C13" s="59" t="s">
        <v>16</v>
      </c>
      <c r="D13" s="55">
        <v>45792</v>
      </c>
      <c r="E13" s="197">
        <v>1200</v>
      </c>
      <c r="F13" s="59">
        <v>12</v>
      </c>
      <c r="G13" s="59">
        <v>100</v>
      </c>
      <c r="H13" s="59">
        <v>24</v>
      </c>
      <c r="I13" s="328">
        <v>124</v>
      </c>
      <c r="J13" s="59">
        <v>1200</v>
      </c>
      <c r="K13" s="59">
        <v>288</v>
      </c>
      <c r="L13" s="197">
        <v>1488</v>
      </c>
    </row>
    <row r="17" spans="9:9" x14ac:dyDescent="0.3">
      <c r="I17"/>
    </row>
    <row r="18" spans="9:9" x14ac:dyDescent="0.3">
      <c r="I18"/>
    </row>
    <row r="19" spans="9:9" x14ac:dyDescent="0.3">
      <c r="I19"/>
    </row>
    <row r="20" spans="9:9" x14ac:dyDescent="0.3">
      <c r="I20"/>
    </row>
    <row r="24" spans="9:9" x14ac:dyDescent="0.3">
      <c r="I24"/>
    </row>
    <row r="25" spans="9:9" x14ac:dyDescent="0.3">
      <c r="I25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A7" sqref="A7"/>
    </sheetView>
  </sheetViews>
  <sheetFormatPr baseColWidth="10" defaultColWidth="11.5546875" defaultRowHeight="14.4" x14ac:dyDescent="0.3"/>
  <cols>
    <col min="1" max="1" width="14.33203125" bestFit="1" customWidth="1"/>
    <col min="2" max="2" width="12" style="19" bestFit="1" customWidth="1"/>
    <col min="3" max="3" width="19.88671875" customWidth="1"/>
    <col min="4" max="4" width="10.5546875" bestFit="1" customWidth="1"/>
    <col min="5" max="5" width="11" customWidth="1"/>
    <col min="6" max="6" width="9.33203125" bestFit="1" customWidth="1"/>
    <col min="7" max="7" width="9.6640625" bestFit="1" customWidth="1"/>
    <col min="8" max="8" width="7.88671875" bestFit="1" customWidth="1"/>
    <col min="9" max="9" width="8.88671875" style="149" customWidth="1"/>
    <col min="10" max="10" width="13.6640625" bestFit="1" customWidth="1"/>
    <col min="11" max="11" width="11.109375" bestFit="1" customWidth="1"/>
    <col min="12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188</v>
      </c>
      <c r="D2" s="167" t="s">
        <v>194</v>
      </c>
      <c r="E2" s="168"/>
      <c r="F2" s="168"/>
      <c r="G2" s="168"/>
      <c r="H2" s="168"/>
      <c r="I2" s="168"/>
      <c r="J2" s="168"/>
      <c r="K2" s="169"/>
    </row>
    <row r="3" spans="1:17" x14ac:dyDescent="0.3">
      <c r="D3" s="152" t="s">
        <v>189</v>
      </c>
      <c r="E3" s="172"/>
      <c r="F3" s="152" t="s">
        <v>190</v>
      </c>
      <c r="G3" s="170">
        <f>SUM(E7:E1048576)</f>
        <v>2750</v>
      </c>
      <c r="H3" s="152" t="s">
        <v>191</v>
      </c>
      <c r="I3" s="170">
        <f>SUM($P$7:$P$1048576)</f>
        <v>118</v>
      </c>
      <c r="J3" s="152" t="s">
        <v>192</v>
      </c>
      <c r="K3" s="171">
        <f>G3+I3</f>
        <v>2868</v>
      </c>
    </row>
    <row r="4" spans="1:17" x14ac:dyDescent="0.3">
      <c r="I4"/>
    </row>
    <row r="5" spans="1:17" x14ac:dyDescent="0.3">
      <c r="C5" s="14" t="s">
        <v>47</v>
      </c>
      <c r="G5" s="14" t="s">
        <v>49</v>
      </c>
      <c r="H5" s="15" t="s">
        <v>3</v>
      </c>
      <c r="I5"/>
      <c r="N5" s="96" t="s">
        <v>283</v>
      </c>
      <c r="O5" s="97"/>
      <c r="P5" s="97"/>
      <c r="Q5" s="97"/>
    </row>
    <row r="6" spans="1:17" x14ac:dyDescent="0.3">
      <c r="A6" s="16" t="s">
        <v>48</v>
      </c>
      <c r="B6" s="173" t="s">
        <v>193</v>
      </c>
      <c r="C6" s="17" t="s">
        <v>13</v>
      </c>
      <c r="D6" s="17" t="s">
        <v>50</v>
      </c>
      <c r="E6" s="17" t="s">
        <v>59</v>
      </c>
      <c r="F6" s="17" t="s">
        <v>60</v>
      </c>
      <c r="G6" s="17" t="s">
        <v>51</v>
      </c>
      <c r="H6" s="17" t="s">
        <v>34</v>
      </c>
      <c r="I6" s="31" t="s">
        <v>61</v>
      </c>
      <c r="J6" s="17" t="s">
        <v>62</v>
      </c>
      <c r="K6" s="18" t="s">
        <v>54</v>
      </c>
      <c r="L6" s="32" t="s">
        <v>46</v>
      </c>
      <c r="N6" s="32" t="s">
        <v>280</v>
      </c>
      <c r="O6" s="32" t="s">
        <v>281</v>
      </c>
      <c r="P6" s="32" t="s">
        <v>282</v>
      </c>
      <c r="Q6" s="32" t="s">
        <v>281</v>
      </c>
    </row>
    <row r="7" spans="1:17" x14ac:dyDescent="0.3">
      <c r="A7" s="59" t="str" cm="1">
        <f t="array" ref="A7:A13">"000"&amp;_xlfn.SEQUENCE(COUNTA(C7:C1048576))</f>
        <v>0001</v>
      </c>
      <c r="B7" s="181">
        <v>3</v>
      </c>
      <c r="C7" s="59" t="s">
        <v>17</v>
      </c>
      <c r="D7" s="55">
        <v>44849</v>
      </c>
      <c r="E7" s="182">
        <v>200</v>
      </c>
      <c r="F7" s="59">
        <v>1</v>
      </c>
      <c r="G7" s="182">
        <v>200</v>
      </c>
      <c r="H7" s="182">
        <v>4</v>
      </c>
      <c r="I7" s="183">
        <v>204</v>
      </c>
      <c r="J7" s="182">
        <v>200</v>
      </c>
      <c r="K7" s="182">
        <v>4</v>
      </c>
      <c r="L7" s="182">
        <v>204</v>
      </c>
      <c r="N7" s="130">
        <f>SUMIFS(PAGOS!$E$3:$E$1048576,PAGOS!$A$3:$A$1048576,"&lt;&gt;INGRESO*",PAGOS!$A$3:$A$1048576,"&lt;&gt;EGRESO*",PAGOS!$D$3:$D$1048576,B7)</f>
        <v>200</v>
      </c>
      <c r="O7" s="130">
        <f t="shared" ref="O7:O13" si="0">E7-N7</f>
        <v>0</v>
      </c>
      <c r="P7" s="130">
        <f>SUMIFS(PAGOS!$H$3:$H$1048576,PAGOS!$A$3:$A$1048576,"&lt;&gt;INGRESO*",PAGOS!$A$3:$A$1048576,"&lt;&gt;EGRESO*",PAGOS!$D$3:$D$1048576,B7)</f>
        <v>4</v>
      </c>
      <c r="Q7" s="130">
        <f t="shared" ref="Q7:Q13" si="1">K7-P7</f>
        <v>0</v>
      </c>
    </row>
    <row r="8" spans="1:17" x14ac:dyDescent="0.3">
      <c r="A8" s="59" t="str">
        <v>0002</v>
      </c>
      <c r="B8" s="181">
        <v>13</v>
      </c>
      <c r="C8" s="59" t="s">
        <v>17</v>
      </c>
      <c r="D8" s="55">
        <v>45000</v>
      </c>
      <c r="E8" s="182">
        <v>400</v>
      </c>
      <c r="F8" s="59">
        <v>4</v>
      </c>
      <c r="G8" s="182">
        <v>100</v>
      </c>
      <c r="H8" s="182">
        <v>8</v>
      </c>
      <c r="I8" s="183">
        <v>108</v>
      </c>
      <c r="J8" s="182">
        <v>400</v>
      </c>
      <c r="K8" s="182">
        <v>32</v>
      </c>
      <c r="L8" s="182">
        <v>432</v>
      </c>
      <c r="N8" s="130">
        <f>SUMIFS(PAGOS!$E$3:$E$1048576,PAGOS!$A$3:$A$1048576,"&lt;&gt;INGRESO*",PAGOS!$A$3:$A$1048576,"&lt;&gt;EGRESO*",PAGOS!$D$3:$D$1048576,B8)</f>
        <v>400</v>
      </c>
      <c r="O8" s="130">
        <f t="shared" si="0"/>
        <v>0</v>
      </c>
      <c r="P8" s="130">
        <f>SUMIFS(PAGOS!$H$3:$H$1048576,PAGOS!$A$3:$A$1048576,"&lt;&gt;INGRESO*",PAGOS!$A$3:$A$1048576,"&lt;&gt;EGRESO*",PAGOS!$D$3:$D$1048576,B8)</f>
        <v>32</v>
      </c>
      <c r="Q8" s="130">
        <f t="shared" si="1"/>
        <v>0</v>
      </c>
    </row>
    <row r="9" spans="1:17" x14ac:dyDescent="0.3">
      <c r="A9" s="59" t="str">
        <v>0003</v>
      </c>
      <c r="B9" s="181">
        <v>23</v>
      </c>
      <c r="C9" s="59" t="s">
        <v>17</v>
      </c>
      <c r="D9" s="55">
        <v>45129</v>
      </c>
      <c r="E9" s="182">
        <v>200</v>
      </c>
      <c r="F9" s="59">
        <v>1</v>
      </c>
      <c r="G9" s="182">
        <v>200</v>
      </c>
      <c r="H9" s="182">
        <v>4</v>
      </c>
      <c r="I9" s="183">
        <v>204</v>
      </c>
      <c r="J9" s="182">
        <v>200</v>
      </c>
      <c r="K9" s="182">
        <v>4</v>
      </c>
      <c r="L9" s="182">
        <v>204</v>
      </c>
      <c r="N9" s="130">
        <f>SUMIFS(PAGOS!$E$3:$E$1048576,PAGOS!$A$3:$A$1048576,"&lt;&gt;INGRESO*",PAGOS!$A$3:$A$1048576,"&lt;&gt;EGRESO*",PAGOS!$D$3:$D$1048576,B9)</f>
        <v>200</v>
      </c>
      <c r="O9" s="130">
        <f t="shared" si="0"/>
        <v>0</v>
      </c>
      <c r="P9" s="130">
        <f>SUMIFS(PAGOS!$H$3:$H$1048576,PAGOS!$A$3:$A$1048576,"&lt;&gt;INGRESO*",PAGOS!$A$3:$A$1048576,"&lt;&gt;EGRESO*",PAGOS!$D$3:$D$1048576,B9)</f>
        <v>4</v>
      </c>
      <c r="Q9" s="130">
        <f t="shared" si="1"/>
        <v>0</v>
      </c>
    </row>
    <row r="10" spans="1:17" x14ac:dyDescent="0.3">
      <c r="A10" s="59" t="str">
        <v>0004</v>
      </c>
      <c r="B10" s="181">
        <v>26</v>
      </c>
      <c r="C10" s="59" t="s">
        <v>17</v>
      </c>
      <c r="D10" s="55">
        <v>45184</v>
      </c>
      <c r="E10" s="182">
        <v>100</v>
      </c>
      <c r="F10" s="59">
        <v>1</v>
      </c>
      <c r="G10" s="182">
        <v>100</v>
      </c>
      <c r="H10" s="182">
        <v>2</v>
      </c>
      <c r="I10" s="183">
        <v>102</v>
      </c>
      <c r="J10" s="182">
        <v>100</v>
      </c>
      <c r="K10" s="182">
        <v>2</v>
      </c>
      <c r="L10" s="182">
        <v>102</v>
      </c>
      <c r="N10" s="130">
        <f>SUMIFS(PAGOS!$E$3:$E$1048576,PAGOS!$A$3:$A$1048576,"&lt;&gt;INGRESO*",PAGOS!$A$3:$A$1048576,"&lt;&gt;EGRESO*",PAGOS!$D$3:$D$1048576,B10)</f>
        <v>100</v>
      </c>
      <c r="O10" s="130">
        <f t="shared" si="0"/>
        <v>0</v>
      </c>
      <c r="P10" s="130">
        <f>SUMIFS(PAGOS!$H$3:$H$1048576,PAGOS!$A$3:$A$1048576,"&lt;&gt;INGRESO*",PAGOS!$A$3:$A$1048576,"&lt;&gt;EGRESO*",PAGOS!$D$3:$D$1048576,B10)</f>
        <v>2</v>
      </c>
      <c r="Q10" s="130">
        <f t="shared" si="1"/>
        <v>0</v>
      </c>
    </row>
    <row r="11" spans="1:17" x14ac:dyDescent="0.3">
      <c r="A11" s="59" t="str">
        <v>0005</v>
      </c>
      <c r="B11" s="53" t="s">
        <v>227</v>
      </c>
      <c r="C11" s="59" t="s">
        <v>17</v>
      </c>
      <c r="D11" s="55">
        <v>45427</v>
      </c>
      <c r="E11" s="197">
        <v>400</v>
      </c>
      <c r="F11" s="59">
        <v>4</v>
      </c>
      <c r="G11" s="238">
        <v>100</v>
      </c>
      <c r="H11" s="238">
        <v>8</v>
      </c>
      <c r="I11" s="239">
        <v>108</v>
      </c>
      <c r="J11" s="238">
        <v>400</v>
      </c>
      <c r="K11" s="238">
        <v>32</v>
      </c>
      <c r="L11" s="197">
        <v>432</v>
      </c>
      <c r="N11" s="130">
        <f>SUMIFS(PAGOS!$E$3:$E$1048576,PAGOS!$A$3:$A$1048576,"&lt;&gt;INGRESO*",PAGOS!$A$3:$A$1048576,"&lt;&gt;EGRESO*",PAGOS!$D$3:$D$1048576,+MID('04'!B11,6,3)*1)</f>
        <v>400</v>
      </c>
      <c r="O11" s="130">
        <f t="shared" si="0"/>
        <v>0</v>
      </c>
      <c r="P11" s="130">
        <f>SUMIFS(PAGOS!$H$3:$H$1048576,PAGOS!$A$3:$A$1048576,"&lt;&gt;INGRESO*",PAGOS!$A$3:$A$1048576,"&lt;&gt;EGRESO*",PAGOS!$D$3:$D$1048576,+MID('04'!B11,6,3)*1)</f>
        <v>32</v>
      </c>
      <c r="Q11" s="130">
        <f t="shared" si="1"/>
        <v>0</v>
      </c>
    </row>
    <row r="12" spans="1:17" x14ac:dyDescent="0.3">
      <c r="A12" s="59" t="str">
        <v>0006</v>
      </c>
      <c r="B12" s="53" t="s">
        <v>263</v>
      </c>
      <c r="C12" s="59" t="s">
        <v>17</v>
      </c>
      <c r="D12" s="55">
        <v>45580</v>
      </c>
      <c r="E12" s="197">
        <v>250</v>
      </c>
      <c r="F12" s="59">
        <v>4</v>
      </c>
      <c r="G12" s="182">
        <v>62.5</v>
      </c>
      <c r="H12" s="182">
        <v>5</v>
      </c>
      <c r="I12" s="239">
        <v>67.5</v>
      </c>
      <c r="J12" s="182">
        <v>250</v>
      </c>
      <c r="K12" s="182">
        <v>20</v>
      </c>
      <c r="L12" s="197">
        <v>270</v>
      </c>
      <c r="N12" s="130">
        <f>SUMIFS(PAGOS!$E$3:$E$1048576,PAGOS!$A$3:$A$1048576,"&lt;&gt;INGRESO*",PAGOS!$A$3:$A$1048576,"&lt;&gt;EGRESO*",PAGOS!$D$3:$D$1048576,+MID('04'!B12,6,3)*1)</f>
        <v>250</v>
      </c>
      <c r="O12" s="130">
        <f t="shared" si="0"/>
        <v>0</v>
      </c>
      <c r="P12" s="130">
        <f>SUMIFS(PAGOS!$H$3:$H$1048576,PAGOS!$A$3:$A$1048576,"&lt;&gt;INGRESO*",PAGOS!$A$3:$A$1048576,"&lt;&gt;EGRESO*",PAGOS!$D$3:$D$1048576,+MID('04'!B12,6,3)*1)</f>
        <v>20</v>
      </c>
      <c r="Q12" s="130">
        <f t="shared" si="1"/>
        <v>0</v>
      </c>
    </row>
    <row r="13" spans="1:17" x14ac:dyDescent="0.3">
      <c r="A13" s="59" t="str">
        <v>0007</v>
      </c>
      <c r="B13" s="53" t="s">
        <v>381</v>
      </c>
      <c r="C13" s="59" t="s">
        <v>17</v>
      </c>
      <c r="D13" s="55">
        <v>45758</v>
      </c>
      <c r="E13" s="197">
        <v>1200</v>
      </c>
      <c r="F13" s="59">
        <v>1</v>
      </c>
      <c r="G13" s="182">
        <v>1200</v>
      </c>
      <c r="H13" s="182">
        <v>24</v>
      </c>
      <c r="I13" s="239">
        <v>1224</v>
      </c>
      <c r="J13" s="182">
        <v>1200</v>
      </c>
      <c r="K13" s="182">
        <v>24</v>
      </c>
      <c r="L13" s="197">
        <v>1224</v>
      </c>
      <c r="N13" s="130">
        <f>SUMIFS(PAGOS!$E$3:$E$1048576,PAGOS!$A$3:$A$1048576,"&lt;&gt;INGRESO*",PAGOS!$A$3:$A$1048576,"&lt;&gt;EGRESO*",PAGOS!$D$3:$D$1048576,+MID('04'!B13,6,3)*1)</f>
        <v>1200</v>
      </c>
      <c r="O13" s="130">
        <f t="shared" si="0"/>
        <v>0</v>
      </c>
      <c r="P13" s="130">
        <f>SUMIFS(PAGOS!$H$3:$H$1048576,PAGOS!$A$3:$A$1048576,"&lt;&gt;INGRESO*",PAGOS!$A$3:$A$1048576,"&lt;&gt;EGRESO*",PAGOS!$D$3:$D$1048576,+MID('04'!B13,6,3)*1)</f>
        <v>24</v>
      </c>
      <c r="Q13" s="130">
        <f t="shared" si="1"/>
        <v>0</v>
      </c>
    </row>
    <row r="17" spans="9:9" x14ac:dyDescent="0.3">
      <c r="I17"/>
    </row>
    <row r="18" spans="9:9" x14ac:dyDescent="0.3">
      <c r="I18"/>
    </row>
  </sheetData>
  <pageMargins left="0.7" right="0.7" top="0.75" bottom="0.75" header="0.3" footer="0.3"/>
  <pageSetup scale="87" fitToHeight="0" orientation="landscape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9" bestFit="1" customWidth="1"/>
    <col min="3" max="3" width="18.6640625" customWidth="1"/>
    <col min="4" max="5" width="11.109375" bestFit="1" customWidth="1"/>
    <col min="6" max="6" width="9.33203125" bestFit="1" customWidth="1"/>
    <col min="7" max="7" width="9" bestFit="1" customWidth="1"/>
    <col min="8" max="8" width="7.88671875" bestFit="1" customWidth="1"/>
    <col min="9" max="9" width="9.109375" style="149" customWidth="1"/>
    <col min="10" max="10" width="8.44140625" bestFit="1" customWidth="1"/>
    <col min="11" max="12" width="11.33203125" bestFit="1" customWidth="1"/>
    <col min="14" max="17" width="11.109375" bestFit="1" customWidth="1"/>
  </cols>
  <sheetData>
    <row r="1" spans="1:17" x14ac:dyDescent="0.3">
      <c r="I1"/>
    </row>
    <row r="2" spans="1:17" x14ac:dyDescent="0.3">
      <c r="A2" t="s">
        <v>188</v>
      </c>
      <c r="D2" s="167" t="s">
        <v>194</v>
      </c>
      <c r="E2" s="168"/>
      <c r="F2" s="168"/>
      <c r="G2" s="168"/>
      <c r="H2" s="168"/>
      <c r="I2" s="168"/>
      <c r="J2" s="168"/>
      <c r="K2" s="169"/>
    </row>
    <row r="3" spans="1:17" x14ac:dyDescent="0.3">
      <c r="D3" s="152" t="s">
        <v>189</v>
      </c>
      <c r="E3" s="172"/>
      <c r="F3" s="152" t="s">
        <v>190</v>
      </c>
      <c r="G3" s="170">
        <f>SUM(E7:E1048576)</f>
        <v>2050</v>
      </c>
      <c r="H3" s="152" t="s">
        <v>191</v>
      </c>
      <c r="I3" s="170">
        <f>SUM($P$7:$P$1048576)</f>
        <v>62</v>
      </c>
      <c r="J3" s="152" t="s">
        <v>192</v>
      </c>
      <c r="K3" s="171">
        <f>G3+I3</f>
        <v>2112</v>
      </c>
    </row>
    <row r="4" spans="1:17" x14ac:dyDescent="0.3">
      <c r="I4"/>
    </row>
    <row r="5" spans="1:17" x14ac:dyDescent="0.3">
      <c r="C5" s="14" t="s">
        <v>47</v>
      </c>
      <c r="G5" s="14" t="s">
        <v>49</v>
      </c>
      <c r="H5" s="15" t="s">
        <v>4</v>
      </c>
      <c r="I5"/>
      <c r="N5" s="96" t="s">
        <v>283</v>
      </c>
      <c r="O5" s="97"/>
      <c r="P5" s="97"/>
      <c r="Q5" s="97"/>
    </row>
    <row r="6" spans="1:17" x14ac:dyDescent="0.3">
      <c r="A6" s="16" t="s">
        <v>48</v>
      </c>
      <c r="B6" s="173" t="s">
        <v>193</v>
      </c>
      <c r="C6" s="17" t="s">
        <v>13</v>
      </c>
      <c r="D6" s="17" t="s">
        <v>50</v>
      </c>
      <c r="E6" s="17" t="s">
        <v>59</v>
      </c>
      <c r="F6" s="17" t="s">
        <v>60</v>
      </c>
      <c r="G6" s="17" t="s">
        <v>51</v>
      </c>
      <c r="H6" s="17" t="s">
        <v>34</v>
      </c>
      <c r="I6" s="31" t="s">
        <v>61</v>
      </c>
      <c r="J6" s="17" t="s">
        <v>62</v>
      </c>
      <c r="K6" s="18" t="s">
        <v>54</v>
      </c>
      <c r="L6" s="32" t="s">
        <v>46</v>
      </c>
      <c r="N6" s="32" t="s">
        <v>280</v>
      </c>
      <c r="O6" s="32" t="s">
        <v>281</v>
      </c>
      <c r="P6" s="32" t="s">
        <v>282</v>
      </c>
      <c r="Q6" s="32" t="s">
        <v>281</v>
      </c>
    </row>
    <row r="7" spans="1:17" x14ac:dyDescent="0.3">
      <c r="A7" s="59" t="str" cm="1">
        <f t="array" ref="A7:A13">"000"&amp;_xlfn.SEQUENCE(COUNTA(C7:C1048576))</f>
        <v>0001</v>
      </c>
      <c r="B7" s="181">
        <v>17</v>
      </c>
      <c r="C7" s="59" t="s">
        <v>18</v>
      </c>
      <c r="D7" s="55">
        <v>45061</v>
      </c>
      <c r="E7" s="182">
        <v>200</v>
      </c>
      <c r="F7" s="59">
        <v>2</v>
      </c>
      <c r="G7" s="182">
        <v>100</v>
      </c>
      <c r="H7" s="182">
        <v>4</v>
      </c>
      <c r="I7" s="183">
        <v>104</v>
      </c>
      <c r="J7" s="182">
        <v>200</v>
      </c>
      <c r="K7" s="182">
        <v>8</v>
      </c>
      <c r="L7" s="182">
        <v>208</v>
      </c>
      <c r="N7" s="130">
        <f>SUMIFS(PAGOS!$E$3:$E$1048576,PAGOS!$A$3:$A$1048576,"&lt;&gt;INGRESO*",PAGOS!$A$3:$A$1048576,"&lt;&gt;EGRESO*",PAGOS!$D$3:$D$1048576,B7)</f>
        <v>200</v>
      </c>
      <c r="O7" s="130">
        <f>E7-N7</f>
        <v>0</v>
      </c>
      <c r="P7" s="130">
        <f>SUMIFS(PAGOS!$H$3:$H$1048576,PAGOS!$A$3:$A$1048576,"&lt;&gt;INGRESO*",PAGOS!$A$3:$A$1048576,"&lt;&gt;EGRESO*",PAGOS!$D$3:$D$1048576,B7)</f>
        <v>8</v>
      </c>
      <c r="Q7" s="130">
        <f>K7-P7</f>
        <v>0</v>
      </c>
    </row>
    <row r="8" spans="1:17" x14ac:dyDescent="0.3">
      <c r="A8" s="59" t="str">
        <v>0002</v>
      </c>
      <c r="B8" s="181">
        <v>24</v>
      </c>
      <c r="C8" s="59" t="s">
        <v>18</v>
      </c>
      <c r="D8" s="55">
        <v>45153</v>
      </c>
      <c r="E8" s="182">
        <v>200</v>
      </c>
      <c r="F8" s="59">
        <v>1</v>
      </c>
      <c r="G8" s="182">
        <v>200</v>
      </c>
      <c r="H8" s="182">
        <v>4</v>
      </c>
      <c r="I8" s="183">
        <v>204</v>
      </c>
      <c r="J8" s="182">
        <v>200</v>
      </c>
      <c r="K8" s="182">
        <v>4</v>
      </c>
      <c r="L8" s="182">
        <v>204</v>
      </c>
      <c r="N8" s="130">
        <f>SUMIFS(PAGOS!$E$3:$E$1048576,PAGOS!$A$3:$A$1048576,"&lt;&gt;INGRESO*",PAGOS!$A$3:$A$1048576,"&lt;&gt;EGRESO*",PAGOS!$D$3:$D$1048576,B8)</f>
        <v>200</v>
      </c>
      <c r="O8" s="130">
        <f>E8-N8</f>
        <v>0</v>
      </c>
      <c r="P8" s="130">
        <f>SUMIFS(PAGOS!$H$3:$H$1048576,PAGOS!$A$3:$A$1048576,"&lt;&gt;INGRESO*",PAGOS!$A$3:$A$1048576,"&lt;&gt;EGRESO*",PAGOS!$D$3:$D$1048576,B8)</f>
        <v>4</v>
      </c>
      <c r="Q8" s="130">
        <f>K8-P8</f>
        <v>0</v>
      </c>
    </row>
    <row r="9" spans="1:17" x14ac:dyDescent="0.3">
      <c r="A9" s="59" t="str">
        <v>0003</v>
      </c>
      <c r="B9" s="53" t="s">
        <v>234</v>
      </c>
      <c r="C9" s="59" t="s">
        <v>18</v>
      </c>
      <c r="D9" s="55">
        <v>45458</v>
      </c>
      <c r="E9" s="197">
        <v>300</v>
      </c>
      <c r="F9" s="59">
        <v>3</v>
      </c>
      <c r="G9" s="182">
        <v>100</v>
      </c>
      <c r="H9" s="182">
        <v>6</v>
      </c>
      <c r="I9" s="183">
        <v>106</v>
      </c>
      <c r="J9" s="182">
        <v>300</v>
      </c>
      <c r="K9" s="182">
        <v>18</v>
      </c>
      <c r="L9" s="197">
        <v>318</v>
      </c>
      <c r="N9" s="130">
        <f>SUMIFS(PAGOS!$E$3:$E$1048576,PAGOS!$A$3:$A$1048576,"&lt;&gt;INGRESO*",PAGOS!$A$3:$A$1048576,"&lt;&gt;EGRESO*",PAGOS!$D$3:$D$1048576,+MID('05'!B9,6,3)*1)</f>
        <v>300</v>
      </c>
      <c r="O9" s="130">
        <f>E9-N9</f>
        <v>0</v>
      </c>
      <c r="P9" s="130">
        <f>SUMIFS(PAGOS!$H$3:$H$1048576,PAGOS!$A$3:$A$1048576,"&lt;&gt;INGRESO*",PAGOS!$A$3:$A$1048576,"&lt;&gt;EGRESO*",PAGOS!$D$3:$D$1048576,+MID('05'!B9,6,3)*1)</f>
        <v>18</v>
      </c>
      <c r="Q9" s="130">
        <f>K9-P9</f>
        <v>0</v>
      </c>
    </row>
    <row r="10" spans="1:17" x14ac:dyDescent="0.3">
      <c r="A10" s="59" t="str">
        <v>0004</v>
      </c>
      <c r="B10" s="53" t="s">
        <v>264</v>
      </c>
      <c r="C10" s="59" t="s">
        <v>18</v>
      </c>
      <c r="D10" s="55">
        <v>45580</v>
      </c>
      <c r="E10" s="197">
        <v>250</v>
      </c>
      <c r="F10" s="59">
        <v>4</v>
      </c>
      <c r="G10" s="182">
        <v>62.5</v>
      </c>
      <c r="H10" s="182">
        <v>5</v>
      </c>
      <c r="I10" s="183">
        <v>67.5</v>
      </c>
      <c r="J10" s="182">
        <v>250</v>
      </c>
      <c r="K10" s="182">
        <v>20</v>
      </c>
      <c r="L10" s="197">
        <v>270</v>
      </c>
      <c r="N10" s="130">
        <f>SUMIFS(PAGOS!$E$3:$E$1048576,PAGOS!$A$3:$A$1048576,"&lt;&gt;INGRESO*",PAGOS!$A$3:$A$1048576,"&lt;&gt;EGRESO*",PAGOS!$D$3:$D$1048576,+MID('05'!B10,6,3)*1)</f>
        <v>250</v>
      </c>
      <c r="O10" s="130">
        <f>E10-N10</f>
        <v>0</v>
      </c>
      <c r="P10" s="130">
        <f>SUMIFS(PAGOS!$H$3:$H$1048576,PAGOS!$A$3:$A$1048576,"&lt;&gt;INGRESO*",PAGOS!$A$3:$A$1048576,"&lt;&gt;EGRESO*",PAGOS!$D$3:$D$1048576,+MID('05'!B10,6,3)*1)</f>
        <v>20</v>
      </c>
      <c r="Q10" s="130">
        <f>K10-P10</f>
        <v>0</v>
      </c>
    </row>
    <row r="11" spans="1:17" x14ac:dyDescent="0.3">
      <c r="A11" s="59" t="str">
        <v>0005</v>
      </c>
      <c r="B11" s="53" t="s">
        <v>368</v>
      </c>
      <c r="C11" s="59" t="s">
        <v>18</v>
      </c>
      <c r="D11" s="55">
        <v>45704</v>
      </c>
      <c r="E11" s="197">
        <v>300</v>
      </c>
      <c r="F11" s="59">
        <v>3</v>
      </c>
      <c r="G11" s="182">
        <v>100</v>
      </c>
      <c r="H11" s="182">
        <v>6</v>
      </c>
      <c r="I11" s="183">
        <v>106</v>
      </c>
      <c r="J11" s="182">
        <v>300</v>
      </c>
      <c r="K11" s="182">
        <v>18</v>
      </c>
      <c r="L11" s="197">
        <v>318</v>
      </c>
      <c r="N11" s="130">
        <f>SUMIFS(PAGOS!$E$3:$E$1048576,PAGOS!$A$3:$A$1048576,"&lt;&gt;INGRESO*",PAGOS!$A$3:$A$1048576,"&lt;&gt;EGRESO*",PAGOS!$D$3:$D$1048576,+MID('05'!B11,6,3)*1)</f>
        <v>200</v>
      </c>
      <c r="O11" s="130">
        <f>E11-N11</f>
        <v>100</v>
      </c>
      <c r="P11" s="130">
        <f>SUMIFS(PAGOS!$H$3:$H$1048576,PAGOS!$A$3:$A$1048576,"&lt;&gt;INGRESO*",PAGOS!$A$3:$A$1048576,"&lt;&gt;EGRESO*",PAGOS!$D$3:$D$1048576,+MID('05'!B11,6,3)*1)</f>
        <v>12</v>
      </c>
      <c r="Q11" s="130">
        <f>K11-P11</f>
        <v>6</v>
      </c>
    </row>
    <row r="12" spans="1:17" x14ac:dyDescent="0.3">
      <c r="A12" t="str">
        <v>0006</v>
      </c>
      <c r="B12" s="19" t="s">
        <v>401</v>
      </c>
      <c r="C12" t="s">
        <v>18</v>
      </c>
      <c r="D12" s="36">
        <v>45764</v>
      </c>
      <c r="E12" s="271">
        <v>500</v>
      </c>
      <c r="F12">
        <v>5</v>
      </c>
      <c r="G12">
        <v>100</v>
      </c>
      <c r="H12">
        <v>10</v>
      </c>
      <c r="I12" s="149">
        <v>110</v>
      </c>
      <c r="J12">
        <v>500</v>
      </c>
      <c r="K12">
        <v>50</v>
      </c>
      <c r="L12" s="271">
        <v>550</v>
      </c>
    </row>
    <row r="13" spans="1:17" x14ac:dyDescent="0.3">
      <c r="A13" t="str">
        <v>0007</v>
      </c>
      <c r="B13" s="19" t="s">
        <v>475</v>
      </c>
      <c r="C13" t="s">
        <v>18</v>
      </c>
      <c r="D13" s="36">
        <v>45860</v>
      </c>
      <c r="E13" s="271">
        <v>300</v>
      </c>
      <c r="F13">
        <v>2</v>
      </c>
      <c r="G13">
        <v>150</v>
      </c>
      <c r="H13">
        <v>6</v>
      </c>
      <c r="I13" s="149">
        <v>156</v>
      </c>
      <c r="J13">
        <v>300</v>
      </c>
      <c r="K13">
        <v>12</v>
      </c>
      <c r="L13" s="271">
        <v>312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14.33203125" bestFit="1" customWidth="1"/>
    <col min="2" max="2" width="12" style="19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150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188</v>
      </c>
      <c r="D2" s="167" t="s">
        <v>194</v>
      </c>
      <c r="E2" s="168"/>
      <c r="F2" s="168"/>
      <c r="G2" s="168"/>
      <c r="H2" s="168"/>
      <c r="I2" s="168"/>
      <c r="J2" s="168"/>
      <c r="K2" s="169"/>
    </row>
    <row r="3" spans="1:17" x14ac:dyDescent="0.3">
      <c r="D3" s="152" t="s">
        <v>189</v>
      </c>
      <c r="E3" s="172"/>
      <c r="F3" s="152" t="s">
        <v>190</v>
      </c>
      <c r="G3" s="170">
        <f>SUM(E7:E1048576)</f>
        <v>2760</v>
      </c>
      <c r="H3" s="152" t="s">
        <v>191</v>
      </c>
      <c r="I3" s="170">
        <f>SUM($P$7:$P$1048576)</f>
        <v>258.39999999999998</v>
      </c>
      <c r="J3" s="152" t="s">
        <v>192</v>
      </c>
      <c r="K3" s="171">
        <f>G3+I3</f>
        <v>3018.4</v>
      </c>
    </row>
    <row r="4" spans="1:17" x14ac:dyDescent="0.3">
      <c r="I4"/>
    </row>
    <row r="5" spans="1:17" x14ac:dyDescent="0.3">
      <c r="C5" s="14" t="s">
        <v>47</v>
      </c>
      <c r="G5" s="14" t="s">
        <v>49</v>
      </c>
      <c r="H5" s="15" t="s">
        <v>5</v>
      </c>
      <c r="I5"/>
      <c r="N5" s="96" t="s">
        <v>283</v>
      </c>
      <c r="O5" s="97"/>
      <c r="P5" s="97"/>
      <c r="Q5" s="97"/>
    </row>
    <row r="6" spans="1:17" x14ac:dyDescent="0.3">
      <c r="A6" s="16" t="s">
        <v>48</v>
      </c>
      <c r="B6" s="173" t="s">
        <v>193</v>
      </c>
      <c r="C6" s="17" t="s">
        <v>13</v>
      </c>
      <c r="D6" s="17" t="s">
        <v>50</v>
      </c>
      <c r="E6" s="17" t="s">
        <v>59</v>
      </c>
      <c r="F6" s="17" t="s">
        <v>60</v>
      </c>
      <c r="G6" s="17" t="s">
        <v>51</v>
      </c>
      <c r="H6" s="17" t="s">
        <v>34</v>
      </c>
      <c r="I6" s="31" t="s">
        <v>61</v>
      </c>
      <c r="J6" s="17" t="s">
        <v>62</v>
      </c>
      <c r="K6" s="18" t="s">
        <v>54</v>
      </c>
      <c r="L6" s="32" t="s">
        <v>46</v>
      </c>
      <c r="N6" s="32" t="s">
        <v>280</v>
      </c>
      <c r="O6" s="32" t="s">
        <v>281</v>
      </c>
      <c r="P6" s="32" t="s">
        <v>282</v>
      </c>
      <c r="Q6" s="32" t="s">
        <v>281</v>
      </c>
    </row>
    <row r="7" spans="1:17" x14ac:dyDescent="0.3">
      <c r="A7" s="59" t="str" cm="1">
        <f t="array" ref="A7:A13">"000"&amp;_xlfn.SEQUENCE(COUNTA(C7:C1048576))</f>
        <v>0001</v>
      </c>
      <c r="B7" s="181">
        <v>1</v>
      </c>
      <c r="C7" s="59" t="s">
        <v>19</v>
      </c>
      <c r="D7" s="55">
        <v>44788</v>
      </c>
      <c r="E7" s="182">
        <v>60</v>
      </c>
      <c r="F7" s="59">
        <v>2</v>
      </c>
      <c r="G7" s="182">
        <v>30</v>
      </c>
      <c r="H7" s="182">
        <v>1.2</v>
      </c>
      <c r="I7" s="183">
        <v>31.2</v>
      </c>
      <c r="J7" s="182">
        <v>60</v>
      </c>
      <c r="K7" s="182">
        <v>2.4</v>
      </c>
      <c r="L7" s="182">
        <v>62.4</v>
      </c>
      <c r="N7" s="130">
        <f>SUMIFS(PAGOS!$E$3:$E$1048576,PAGOS!$A$3:$A$1048576,"&lt;&gt;INGRESO*",PAGOS!$A$3:$A$1048576,"&lt;&gt;EGRESO*",PAGOS!$D$3:$D$1048576,B7)</f>
        <v>60</v>
      </c>
      <c r="O7" s="130">
        <f t="shared" ref="O7:O13" si="0">E7-N7</f>
        <v>0</v>
      </c>
      <c r="P7" s="130">
        <f>SUMIFS(PAGOS!$H$3:$H$1048576,PAGOS!$A$3:$A$1048576,"&lt;&gt;INGRESO*",PAGOS!$A$3:$A$1048576,"&lt;&gt;EGRESO*",PAGOS!$D$3:$D$1048576,B7)</f>
        <v>2.4</v>
      </c>
      <c r="Q7" s="130">
        <f t="shared" ref="Q7:Q13" si="1">K7-P7</f>
        <v>0</v>
      </c>
    </row>
    <row r="8" spans="1:17" x14ac:dyDescent="0.3">
      <c r="A8" s="59" t="str">
        <v>0002</v>
      </c>
      <c r="B8" s="181">
        <v>10</v>
      </c>
      <c r="C8" s="59" t="s">
        <v>19</v>
      </c>
      <c r="D8" s="55">
        <v>44941</v>
      </c>
      <c r="E8" s="182">
        <v>100</v>
      </c>
      <c r="F8" s="59">
        <v>4</v>
      </c>
      <c r="G8" s="182">
        <v>25</v>
      </c>
      <c r="H8" s="182">
        <v>2</v>
      </c>
      <c r="I8" s="183">
        <v>27</v>
      </c>
      <c r="J8" s="182">
        <v>100</v>
      </c>
      <c r="K8" s="182">
        <v>8</v>
      </c>
      <c r="L8" s="182">
        <v>108</v>
      </c>
      <c r="N8" s="130">
        <f>SUMIFS(PAGOS!$E$3:$E$1048576,PAGOS!$A$3:$A$1048576,"&lt;&gt;INGRESO*",PAGOS!$A$3:$A$1048576,"&lt;&gt;EGRESO*",PAGOS!$D$3:$D$1048576,B8)</f>
        <v>100</v>
      </c>
      <c r="O8" s="130">
        <f t="shared" si="0"/>
        <v>0</v>
      </c>
      <c r="P8" s="130">
        <f>SUMIFS(PAGOS!$H$3:$H$1048576,PAGOS!$A$3:$A$1048576,"&lt;&gt;INGRESO*",PAGOS!$A$3:$A$1048576,"&lt;&gt;EGRESO*",PAGOS!$D$3:$D$1048576,B8)</f>
        <v>8</v>
      </c>
      <c r="Q8" s="130">
        <f t="shared" si="1"/>
        <v>0</v>
      </c>
    </row>
    <row r="9" spans="1:17" x14ac:dyDescent="0.3">
      <c r="A9" s="59" t="str">
        <v>0003</v>
      </c>
      <c r="B9" s="181">
        <v>18</v>
      </c>
      <c r="C9" s="59" t="s">
        <v>19</v>
      </c>
      <c r="D9" s="55">
        <v>45061</v>
      </c>
      <c r="E9" s="182">
        <v>100</v>
      </c>
      <c r="F9" s="59">
        <v>4</v>
      </c>
      <c r="G9" s="182">
        <v>25</v>
      </c>
      <c r="H9" s="182">
        <v>2</v>
      </c>
      <c r="I9" s="183">
        <v>27</v>
      </c>
      <c r="J9" s="182">
        <v>100</v>
      </c>
      <c r="K9" s="182">
        <v>8</v>
      </c>
      <c r="L9" s="182">
        <v>108</v>
      </c>
      <c r="N9" s="130">
        <f>SUMIFS(PAGOS!$E$3:$E$1048576,PAGOS!$A$3:$A$1048576,"&lt;&gt;INGRESO*",PAGOS!$A$3:$A$1048576,"&lt;&gt;EGRESO*",PAGOS!$D$3:$D$1048576,B9)</f>
        <v>100</v>
      </c>
      <c r="O9" s="130">
        <f t="shared" si="0"/>
        <v>0</v>
      </c>
      <c r="P9" s="130">
        <f>SUMIFS(PAGOS!$H$3:$H$1048576,PAGOS!$A$3:$A$1048576,"&lt;&gt;INGRESO*",PAGOS!$A$3:$A$1048576,"&lt;&gt;EGRESO*",PAGOS!$D$3:$D$1048576,B9)</f>
        <v>8</v>
      </c>
      <c r="Q9" s="130">
        <f t="shared" si="1"/>
        <v>0</v>
      </c>
    </row>
    <row r="10" spans="1:17" x14ac:dyDescent="0.3">
      <c r="A10" s="59" t="str">
        <v>0004</v>
      </c>
      <c r="B10" s="181">
        <v>28</v>
      </c>
      <c r="C10" s="59" t="s">
        <v>19</v>
      </c>
      <c r="D10" s="55">
        <v>45214</v>
      </c>
      <c r="E10" s="182">
        <v>600</v>
      </c>
      <c r="F10" s="59">
        <v>4</v>
      </c>
      <c r="G10" s="182">
        <v>150</v>
      </c>
      <c r="H10" s="182">
        <v>12</v>
      </c>
      <c r="I10" s="183">
        <v>162</v>
      </c>
      <c r="J10" s="182">
        <v>600</v>
      </c>
      <c r="K10" s="182">
        <v>48</v>
      </c>
      <c r="L10" s="182">
        <v>648</v>
      </c>
      <c r="N10" s="130">
        <f>SUMIFS(PAGOS!$E$3:$E$1048576,PAGOS!$A$3:$A$1048576,"&lt;&gt;INGRESO*",PAGOS!$A$3:$A$1048576,"&lt;&gt;EGRESO*",PAGOS!$D$3:$D$1048576,B10)</f>
        <v>0</v>
      </c>
      <c r="O10" s="130">
        <f t="shared" si="0"/>
        <v>600</v>
      </c>
      <c r="P10" s="130">
        <f>SUMIFS(PAGOS!$H$3:$H$1048576,PAGOS!$A$3:$A$1048576,"&lt;&gt;INGRESO*",PAGOS!$A$3:$A$1048576,"&lt;&gt;EGRESO*",PAGOS!$D$3:$D$1048576,B10)</f>
        <v>48</v>
      </c>
      <c r="Q10" s="130">
        <f t="shared" si="1"/>
        <v>0</v>
      </c>
    </row>
    <row r="11" spans="1:17" x14ac:dyDescent="0.3">
      <c r="A11" s="59" t="str">
        <v>0005</v>
      </c>
      <c r="B11" s="181">
        <v>35</v>
      </c>
      <c r="C11" s="59" t="s">
        <v>19</v>
      </c>
      <c r="D11" s="55">
        <v>45337</v>
      </c>
      <c r="E11" s="182">
        <v>600</v>
      </c>
      <c r="F11" s="59">
        <v>5</v>
      </c>
      <c r="G11" s="182">
        <v>120</v>
      </c>
      <c r="H11" s="182">
        <v>12</v>
      </c>
      <c r="I11" s="183">
        <v>132</v>
      </c>
      <c r="J11" s="182">
        <v>600</v>
      </c>
      <c r="K11" s="182">
        <v>60</v>
      </c>
      <c r="L11" s="182">
        <v>660</v>
      </c>
      <c r="N11" s="130">
        <f>SUMIFS(PAGOS!$E$3:$E$1048576,PAGOS!$A$3:$A$1048576,"&lt;&gt;INGRESO*",PAGOS!$A$3:$A$1048576,"&lt;&gt;EGRESO*",PAGOS!$D$3:$D$1048576,B11)</f>
        <v>600</v>
      </c>
      <c r="O11" s="130">
        <f t="shared" si="0"/>
        <v>0</v>
      </c>
      <c r="P11" s="130">
        <f>SUMIFS(PAGOS!$H$3:$H$1048576,PAGOS!$A$3:$A$1048576,"&lt;&gt;INGRESO*",PAGOS!$A$3:$A$1048576,"&lt;&gt;EGRESO*",PAGOS!$D$3:$D$1048576,B11)</f>
        <v>60</v>
      </c>
      <c r="Q11" s="130">
        <f t="shared" si="1"/>
        <v>0</v>
      </c>
    </row>
    <row r="12" spans="1:17" x14ac:dyDescent="0.3">
      <c r="A12" s="59" t="str">
        <v>0006</v>
      </c>
      <c r="B12" s="53" t="s">
        <v>244</v>
      </c>
      <c r="C12" s="59" t="s">
        <v>19</v>
      </c>
      <c r="D12" s="55">
        <v>45519</v>
      </c>
      <c r="E12" s="197">
        <v>600</v>
      </c>
      <c r="F12" s="59">
        <v>6</v>
      </c>
      <c r="G12" s="182">
        <v>100</v>
      </c>
      <c r="H12" s="182">
        <v>12</v>
      </c>
      <c r="I12" s="183">
        <v>112</v>
      </c>
      <c r="J12" s="182">
        <v>600</v>
      </c>
      <c r="K12" s="182">
        <v>72</v>
      </c>
      <c r="L12" s="197">
        <v>672</v>
      </c>
      <c r="N12" s="130">
        <f>SUMIFS(PAGOS!$E$3:$E$1048576,PAGOS!$A$3:$A$1048576,"&lt;&gt;INGRESO*",PAGOS!$A$3:$A$1048576,"&lt;&gt;EGRESO*",PAGOS!$D$3:$D$1048576,+MID('06'!B12,6,3)*1)</f>
        <v>400</v>
      </c>
      <c r="O12" s="130">
        <f t="shared" si="0"/>
        <v>200</v>
      </c>
      <c r="P12" s="130">
        <f>SUMIFS(PAGOS!$H$3:$H$1048576,PAGOS!$A$3:$A$1048576,"&lt;&gt;INGRESO*",PAGOS!$A$3:$A$1048576,"&lt;&gt;EGRESO*",PAGOS!$D$3:$D$1048576,+MID('06'!B12,6,3)*1)</f>
        <v>48</v>
      </c>
      <c r="Q12" s="130">
        <f t="shared" si="1"/>
        <v>24</v>
      </c>
    </row>
    <row r="13" spans="1:17" x14ac:dyDescent="0.3">
      <c r="A13" s="59" t="str">
        <v>0007</v>
      </c>
      <c r="B13" s="53" t="s">
        <v>347</v>
      </c>
      <c r="C13" s="59" t="s">
        <v>19</v>
      </c>
      <c r="D13" s="55">
        <v>45672</v>
      </c>
      <c r="E13" s="197">
        <v>700</v>
      </c>
      <c r="F13" s="59">
        <v>7</v>
      </c>
      <c r="G13" s="182">
        <v>100</v>
      </c>
      <c r="H13" s="182">
        <v>14</v>
      </c>
      <c r="I13" s="183">
        <v>114</v>
      </c>
      <c r="J13" s="182">
        <v>700</v>
      </c>
      <c r="K13" s="182">
        <v>98</v>
      </c>
      <c r="L13" s="182">
        <v>798</v>
      </c>
      <c r="N13" s="130">
        <f>SUMIFS(PAGOS!$E$3:$E$1048576,PAGOS!$A$3:$A$1048576,"&lt;&gt;INGRESO*",PAGOS!$A$3:$A$1048576,"&lt;&gt;EGRESO*",PAGOS!$D$3:$D$1048576,+MID('06'!B13,6,3)*1)</f>
        <v>600</v>
      </c>
      <c r="O13" s="130">
        <f t="shared" si="0"/>
        <v>100</v>
      </c>
      <c r="P13" s="130">
        <f>SUMIFS(PAGOS!$H$3:$H$1048576,PAGOS!$A$3:$A$1048576,"&lt;&gt;INGRESO*",PAGOS!$A$3:$A$1048576,"&lt;&gt;EGRESO*",PAGOS!$D$3:$D$1048576,+MID('06'!B13,6,3)*1)</f>
        <v>84</v>
      </c>
      <c r="Q13" s="130">
        <f t="shared" si="1"/>
        <v>14</v>
      </c>
    </row>
    <row r="17" spans="9:9" x14ac:dyDescent="0.3">
      <c r="I17"/>
    </row>
    <row r="18" spans="9:9" x14ac:dyDescent="0.3">
      <c r="I18"/>
    </row>
  </sheetData>
  <pageMargins left="0.7" right="0.7" top="0.75" bottom="0.75" header="0.3" footer="0.3"/>
  <pageSetup scale="82" fitToHeight="0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P10" sqref="P10"/>
    </sheetView>
  </sheetViews>
  <sheetFormatPr baseColWidth="10" defaultColWidth="11.5546875" defaultRowHeight="14.4" x14ac:dyDescent="0.3"/>
  <cols>
    <col min="1" max="1" width="14.33203125" bestFit="1" customWidth="1"/>
    <col min="2" max="2" width="11.5546875" style="19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149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188</v>
      </c>
      <c r="D2" s="167" t="s">
        <v>194</v>
      </c>
      <c r="E2" s="168"/>
      <c r="F2" s="168"/>
      <c r="G2" s="168"/>
      <c r="H2" s="168"/>
      <c r="I2" s="168"/>
      <c r="J2" s="168"/>
      <c r="K2" s="169"/>
    </row>
    <row r="3" spans="1:17" x14ac:dyDescent="0.3">
      <c r="D3" s="152" t="s">
        <v>189</v>
      </c>
      <c r="E3" s="172"/>
      <c r="F3" s="152" t="s">
        <v>190</v>
      </c>
      <c r="G3" s="170">
        <f>SUM(E7:E1048576)</f>
        <v>600</v>
      </c>
      <c r="H3" s="152" t="s">
        <v>191</v>
      </c>
      <c r="I3" s="170">
        <f>SUM($P$7:$P$1048576)</f>
        <v>46</v>
      </c>
      <c r="J3" s="152" t="s">
        <v>192</v>
      </c>
      <c r="K3" s="171">
        <f>G3+I3</f>
        <v>646</v>
      </c>
    </row>
    <row r="4" spans="1:17" x14ac:dyDescent="0.3">
      <c r="I4"/>
    </row>
    <row r="5" spans="1:17" x14ac:dyDescent="0.3">
      <c r="C5" s="14" t="s">
        <v>47</v>
      </c>
      <c r="G5" s="14" t="s">
        <v>49</v>
      </c>
      <c r="H5" s="15" t="s">
        <v>6</v>
      </c>
      <c r="I5"/>
      <c r="N5" s="96" t="s">
        <v>283</v>
      </c>
      <c r="O5" s="97"/>
      <c r="P5" s="97"/>
      <c r="Q5" s="97"/>
    </row>
    <row r="6" spans="1:17" x14ac:dyDescent="0.3">
      <c r="A6" s="16" t="s">
        <v>48</v>
      </c>
      <c r="B6" s="173" t="s">
        <v>193</v>
      </c>
      <c r="C6" s="17" t="s">
        <v>13</v>
      </c>
      <c r="D6" s="17" t="s">
        <v>50</v>
      </c>
      <c r="E6" s="17" t="s">
        <v>59</v>
      </c>
      <c r="F6" s="17" t="s">
        <v>60</v>
      </c>
      <c r="G6" s="17" t="s">
        <v>51</v>
      </c>
      <c r="H6" s="17" t="s">
        <v>34</v>
      </c>
      <c r="I6" s="31" t="s">
        <v>61</v>
      </c>
      <c r="J6" s="17" t="s">
        <v>62</v>
      </c>
      <c r="K6" s="18" t="s">
        <v>54</v>
      </c>
      <c r="L6" s="32" t="s">
        <v>46</v>
      </c>
      <c r="N6" s="32" t="s">
        <v>280</v>
      </c>
      <c r="O6" s="32" t="s">
        <v>281</v>
      </c>
      <c r="P6" s="32" t="s">
        <v>282</v>
      </c>
      <c r="Q6" s="32" t="s">
        <v>281</v>
      </c>
    </row>
    <row r="7" spans="1:17" x14ac:dyDescent="0.3">
      <c r="A7" s="59" t="str" cm="1">
        <f t="array" ref="A7:A10">"000"&amp;_xlfn.SEQUENCE(COUNTA(C7:C1048576))</f>
        <v>0001</v>
      </c>
      <c r="B7" s="181">
        <v>12</v>
      </c>
      <c r="C7" s="59" t="s">
        <v>20</v>
      </c>
      <c r="D7" s="55">
        <v>44972</v>
      </c>
      <c r="E7" s="182">
        <v>100</v>
      </c>
      <c r="F7" s="59">
        <v>4</v>
      </c>
      <c r="G7" s="182">
        <v>25</v>
      </c>
      <c r="H7" s="182">
        <v>2</v>
      </c>
      <c r="I7" s="183">
        <v>27</v>
      </c>
      <c r="J7" s="182">
        <v>100</v>
      </c>
      <c r="K7" s="182">
        <v>8</v>
      </c>
      <c r="L7" s="182">
        <v>108</v>
      </c>
      <c r="N7" s="130">
        <f>SUMIFS(PAGOS!$E$3:$E$1048576,PAGOS!$A$3:$A$1048576,"&lt;&gt;INGRESO*",PAGOS!$A$3:$A$1048576,"&lt;&gt;EGRESO*",PAGOS!$D$3:$D$1048576,B7)</f>
        <v>100</v>
      </c>
      <c r="O7" s="130">
        <f>E7-N7</f>
        <v>0</v>
      </c>
      <c r="P7" s="130">
        <f>SUMIFS(PAGOS!$H$3:$H$1048576,PAGOS!$A$3:$A$1048576,"&lt;&gt;INGRESO*",PAGOS!$A$3:$A$1048576,"&lt;&gt;EGRESO*",PAGOS!$D$3:$D$1048576,B7)</f>
        <v>8</v>
      </c>
      <c r="Q7" s="130">
        <f>K7-P7</f>
        <v>0</v>
      </c>
    </row>
    <row r="8" spans="1:17" x14ac:dyDescent="0.3">
      <c r="A8" s="59" t="str">
        <v>0002</v>
      </c>
      <c r="B8" s="53" t="s">
        <v>216</v>
      </c>
      <c r="C8" s="59" t="s">
        <v>20</v>
      </c>
      <c r="D8" s="55">
        <v>45366</v>
      </c>
      <c r="E8" s="197">
        <v>100</v>
      </c>
      <c r="F8" s="59">
        <v>5</v>
      </c>
      <c r="G8" s="182">
        <v>20</v>
      </c>
      <c r="H8" s="182">
        <v>2</v>
      </c>
      <c r="I8" s="183">
        <v>22</v>
      </c>
      <c r="J8" s="182">
        <v>100</v>
      </c>
      <c r="K8" s="182">
        <v>10</v>
      </c>
      <c r="L8" s="182">
        <v>110</v>
      </c>
      <c r="N8" s="130">
        <f>SUMIFS(PAGOS!$E$3:$E$1048576,PAGOS!$A$3:$A$1048576,"&lt;&gt;INGRESO*",PAGOS!$A$3:$A$1048576,"&lt;&gt;EGRESO*",PAGOS!$D$3:$D$1048576,+MID('07'!B8,6,3)*1)</f>
        <v>100</v>
      </c>
      <c r="O8" s="130">
        <f>E8-N8</f>
        <v>0</v>
      </c>
      <c r="P8" s="130">
        <f>SUMIFS(PAGOS!$H$3:$H$1048576,PAGOS!$A$3:$A$1048576,"&lt;&gt;INGRESO*",PAGOS!$A$3:$A$1048576,"&lt;&gt;EGRESO*",PAGOS!$D$3:$D$1048576,+MID('07'!B8,6,3)*1)</f>
        <v>10</v>
      </c>
      <c r="Q8" s="130">
        <f>K8-P8</f>
        <v>0</v>
      </c>
    </row>
    <row r="9" spans="1:17" x14ac:dyDescent="0.3">
      <c r="A9" s="59" t="str">
        <v>0003</v>
      </c>
      <c r="B9" s="53" t="s">
        <v>309</v>
      </c>
      <c r="C9" s="59" t="s">
        <v>20</v>
      </c>
      <c r="D9" s="55">
        <v>45611</v>
      </c>
      <c r="E9" s="197">
        <v>200</v>
      </c>
      <c r="F9" s="59">
        <v>5</v>
      </c>
      <c r="G9" s="182">
        <v>40</v>
      </c>
      <c r="H9" s="182">
        <v>4</v>
      </c>
      <c r="I9" s="183">
        <v>44</v>
      </c>
      <c r="J9" s="182">
        <v>200</v>
      </c>
      <c r="K9" s="182">
        <v>20</v>
      </c>
      <c r="L9" s="182">
        <v>220</v>
      </c>
      <c r="N9" s="130">
        <f>SUMIFS(PAGOS!$E$3:$E$1048576,PAGOS!$A$3:$A$1048576,"&lt;&gt;INGRESO*",PAGOS!$A$3:$A$1048576,"&lt;&gt;EGRESO*",PAGOS!$D$3:$D$1048576,+MID('07'!B9,6,3)*1)</f>
        <v>160</v>
      </c>
      <c r="O9" s="130">
        <f>E9-N9</f>
        <v>40</v>
      </c>
      <c r="P9" s="130">
        <f>SUMIFS(PAGOS!$H$3:$H$1048576,PAGOS!$A$3:$A$1048576,"&lt;&gt;INGRESO*",PAGOS!$A$3:$A$1048576,"&lt;&gt;EGRESO*",PAGOS!$D$3:$D$1048576,+MID('07'!B9,6,3)*1)</f>
        <v>16</v>
      </c>
      <c r="Q9" s="130">
        <f>K9-P9</f>
        <v>4</v>
      </c>
    </row>
    <row r="10" spans="1:17" x14ac:dyDescent="0.3">
      <c r="A10" s="59" t="str">
        <v>0004</v>
      </c>
      <c r="B10" s="53" t="s">
        <v>388</v>
      </c>
      <c r="C10" s="59" t="s">
        <v>20</v>
      </c>
      <c r="D10" s="55">
        <v>45762</v>
      </c>
      <c r="E10" s="197">
        <v>200</v>
      </c>
      <c r="F10" s="59">
        <v>5</v>
      </c>
      <c r="G10" s="182">
        <v>40</v>
      </c>
      <c r="H10" s="182">
        <v>4</v>
      </c>
      <c r="I10" s="183">
        <v>44</v>
      </c>
      <c r="J10" s="182">
        <v>200</v>
      </c>
      <c r="K10" s="182">
        <v>20</v>
      </c>
      <c r="L10" s="197">
        <v>220</v>
      </c>
      <c r="N10" s="130">
        <f>SUMIFS(PAGOS!$E$3:$E$1048576,PAGOS!$A$3:$A$1048576,"&lt;&gt;INGRESO*",PAGOS!$A$3:$A$1048576,"&lt;&gt;EGRESO*",PAGOS!$D$3:$D$1048576,+MID('07'!B10,6,3)*1)</f>
        <v>120</v>
      </c>
      <c r="O10" s="130">
        <f>E10-N10</f>
        <v>80</v>
      </c>
      <c r="P10" s="130">
        <f>SUMIFS(PAGOS!$H$3:$H$1048576,PAGOS!$A$3:$A$1048576,"&lt;&gt;INGRESO*",PAGOS!$A$3:$A$1048576,"&lt;&gt;EGRESO*",PAGOS!$D$3:$D$1048576,+MID('07'!B10,6,3)*1)</f>
        <v>12</v>
      </c>
      <c r="Q10" s="130">
        <f>K10-P10</f>
        <v>8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C11" sqref="C11"/>
    </sheetView>
  </sheetViews>
  <sheetFormatPr baseColWidth="10" defaultColWidth="11.5546875" defaultRowHeight="14.4" x14ac:dyDescent="0.3"/>
  <cols>
    <col min="1" max="1" width="5" bestFit="1" customWidth="1"/>
    <col min="2" max="2" width="12" style="19" bestFit="1" customWidth="1"/>
    <col min="3" max="3" width="17.6640625" customWidth="1"/>
    <col min="4" max="4" width="10.5546875" bestFit="1" customWidth="1"/>
    <col min="5" max="5" width="10.5546875" customWidth="1"/>
    <col min="6" max="7" width="9.33203125" bestFit="1" customWidth="1"/>
    <col min="8" max="8" width="7.6640625" bestFit="1" customWidth="1"/>
    <col min="9" max="9" width="9.88671875" style="149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188</v>
      </c>
      <c r="D2" s="167" t="s">
        <v>194</v>
      </c>
      <c r="E2" s="168"/>
      <c r="F2" s="168"/>
      <c r="G2" s="168"/>
      <c r="H2" s="168"/>
      <c r="I2" s="168"/>
      <c r="J2" s="168"/>
      <c r="K2" s="169"/>
    </row>
    <row r="3" spans="1:17" x14ac:dyDescent="0.3">
      <c r="D3" s="152" t="s">
        <v>189</v>
      </c>
      <c r="E3" s="172"/>
      <c r="F3" s="152" t="s">
        <v>190</v>
      </c>
      <c r="G3" s="170">
        <f>SUM(E7:E1048576)</f>
        <v>1400</v>
      </c>
      <c r="H3" s="152" t="s">
        <v>191</v>
      </c>
      <c r="I3" s="170">
        <f>SUM($P$7:$P$1048576)</f>
        <v>78</v>
      </c>
      <c r="J3" s="152" t="s">
        <v>192</v>
      </c>
      <c r="K3" s="171">
        <f>G3+I3</f>
        <v>1478</v>
      </c>
    </row>
    <row r="4" spans="1:17" x14ac:dyDescent="0.3">
      <c r="I4"/>
    </row>
    <row r="5" spans="1:17" x14ac:dyDescent="0.3">
      <c r="C5" s="14" t="s">
        <v>47</v>
      </c>
      <c r="G5" s="14" t="s">
        <v>49</v>
      </c>
      <c r="H5" s="15" t="s">
        <v>7</v>
      </c>
      <c r="I5"/>
      <c r="N5" s="96" t="s">
        <v>283</v>
      </c>
      <c r="O5" s="97"/>
      <c r="P5" s="97"/>
      <c r="Q5" s="97"/>
    </row>
    <row r="6" spans="1:17" x14ac:dyDescent="0.3">
      <c r="A6" s="16" t="s">
        <v>48</v>
      </c>
      <c r="B6" s="173" t="s">
        <v>193</v>
      </c>
      <c r="C6" s="17" t="s">
        <v>13</v>
      </c>
      <c r="D6" s="17" t="s">
        <v>50</v>
      </c>
      <c r="E6" s="17" t="s">
        <v>59</v>
      </c>
      <c r="F6" s="17" t="s">
        <v>60</v>
      </c>
      <c r="G6" s="17" t="s">
        <v>51</v>
      </c>
      <c r="H6" s="17" t="s">
        <v>34</v>
      </c>
      <c r="I6" s="31" t="s">
        <v>61</v>
      </c>
      <c r="J6" s="17" t="s">
        <v>62</v>
      </c>
      <c r="K6" s="18" t="s">
        <v>54</v>
      </c>
      <c r="L6" s="32" t="s">
        <v>46</v>
      </c>
      <c r="N6" s="32" t="s">
        <v>280</v>
      </c>
      <c r="O6" s="32" t="s">
        <v>281</v>
      </c>
      <c r="P6" s="32" t="s">
        <v>282</v>
      </c>
      <c r="Q6" s="32" t="s">
        <v>281</v>
      </c>
    </row>
    <row r="7" spans="1:17" x14ac:dyDescent="0.3">
      <c r="A7" s="59" t="str" cm="1">
        <f t="array" ref="A7:A10">"000"&amp;_xlfn.SEQUENCE(COUNTA(C7:C1048576))</f>
        <v>0001</v>
      </c>
      <c r="B7" s="181">
        <v>5</v>
      </c>
      <c r="C7" s="59" t="s">
        <v>21</v>
      </c>
      <c r="D7" s="55">
        <v>44910</v>
      </c>
      <c r="E7" s="182">
        <v>200</v>
      </c>
      <c r="F7" s="59">
        <v>1</v>
      </c>
      <c r="G7" s="182">
        <v>200</v>
      </c>
      <c r="H7" s="182">
        <v>4</v>
      </c>
      <c r="I7" s="183">
        <v>204</v>
      </c>
      <c r="J7" s="182">
        <v>200</v>
      </c>
      <c r="K7" s="182">
        <v>4</v>
      </c>
      <c r="L7" s="182">
        <v>204</v>
      </c>
      <c r="N7" s="130">
        <f>SUMIFS(PAGOS!$E$3:$E$1048576,PAGOS!$A$3:$A$1048576,"&lt;&gt;INGRESO*",PAGOS!$A$3:$A$1048576,"&lt;&gt;EGRESO*",PAGOS!$D$3:$D$1048576,B7)</f>
        <v>200</v>
      </c>
      <c r="O7" s="130">
        <f>E7-N7</f>
        <v>0</v>
      </c>
      <c r="P7" s="130">
        <f>SUMIFS(PAGOS!$H$3:$H$1048576,PAGOS!$A$3:$A$1048576,"&lt;&gt;INGRESO*",PAGOS!$A$3:$A$1048576,"&lt;&gt;EGRESO*",PAGOS!$D$3:$D$1048576,B7)</f>
        <v>4</v>
      </c>
      <c r="Q7" s="130">
        <f>K7-P7</f>
        <v>0</v>
      </c>
    </row>
    <row r="8" spans="1:17" x14ac:dyDescent="0.3">
      <c r="A8" s="59" t="str">
        <v>0002</v>
      </c>
      <c r="B8" s="53" t="s">
        <v>258</v>
      </c>
      <c r="C8" s="59" t="s">
        <v>21</v>
      </c>
      <c r="D8" s="55">
        <v>45549</v>
      </c>
      <c r="E8" s="197">
        <v>400</v>
      </c>
      <c r="F8" s="59">
        <v>4</v>
      </c>
      <c r="G8" s="182">
        <v>100</v>
      </c>
      <c r="H8" s="182">
        <v>8</v>
      </c>
      <c r="I8" s="183">
        <v>108</v>
      </c>
      <c r="J8" s="182">
        <v>400</v>
      </c>
      <c r="K8" s="182">
        <v>32</v>
      </c>
      <c r="L8" s="197">
        <v>432</v>
      </c>
      <c r="N8" s="130">
        <f>SUMIFS(PAGOS!$E$3:$E$1048576,PAGOS!$A$3:$A$1048576,"&lt;&gt;INGRESO*",PAGOS!$A$3:$A$1048576,"&lt;&gt;EGRESO*",PAGOS!$D$3:$D$1048576,+MID('08'!B8,6,3)*1)</f>
        <v>300</v>
      </c>
      <c r="O8" s="130">
        <f>E8-N8</f>
        <v>100</v>
      </c>
      <c r="P8" s="130">
        <f>SUMIFS(PAGOS!$H$3:$H$1048576,PAGOS!$A$3:$A$1048576,"&lt;&gt;INGRESO*",PAGOS!$A$3:$A$1048576,"&lt;&gt;EGRESO*",PAGOS!$D$3:$D$1048576,+MID('08'!B8,6,3)*1)</f>
        <v>24</v>
      </c>
      <c r="Q8" s="130">
        <f>K8-P8</f>
        <v>8</v>
      </c>
    </row>
    <row r="9" spans="1:17" x14ac:dyDescent="0.3">
      <c r="A9" s="59" t="str">
        <v>0003</v>
      </c>
      <c r="B9" s="53" t="s">
        <v>330</v>
      </c>
      <c r="C9" s="59" t="s">
        <v>21</v>
      </c>
      <c r="D9" s="55">
        <v>45641</v>
      </c>
      <c r="E9" s="197">
        <v>500</v>
      </c>
      <c r="F9" s="59">
        <v>5</v>
      </c>
      <c r="G9" s="182">
        <v>100</v>
      </c>
      <c r="H9" s="182">
        <v>10</v>
      </c>
      <c r="I9" s="183">
        <v>110</v>
      </c>
      <c r="J9" s="182">
        <v>500</v>
      </c>
      <c r="K9" s="182">
        <v>50</v>
      </c>
      <c r="L9" s="182">
        <v>550</v>
      </c>
      <c r="N9" s="130">
        <f>SUMIFS(PAGOS!$E$3:$E$1048576,PAGOS!$A$3:$A$1048576,"&lt;&gt;INGRESO*",PAGOS!$A$3:$A$1048576,"&lt;&gt;EGRESO*",PAGOS!$D$3:$D$1048576,+MID('08'!B9,6,3)*1)</f>
        <v>500</v>
      </c>
      <c r="O9" s="130">
        <f>E9-N9</f>
        <v>0</v>
      </c>
      <c r="P9" s="130">
        <f>SUMIFS(PAGOS!$H$3:$H$1048576,PAGOS!$A$3:$A$1048576,"&lt;&gt;INGRESO*",PAGOS!$A$3:$A$1048576,"&lt;&gt;EGRESO*",PAGOS!$D$3:$D$1048576,+MID('08'!B9,6,3)*1)</f>
        <v>50</v>
      </c>
      <c r="Q9" s="130">
        <f>K9-P9</f>
        <v>0</v>
      </c>
    </row>
    <row r="10" spans="1:17" x14ac:dyDescent="0.3">
      <c r="A10" t="str">
        <v>0004</v>
      </c>
      <c r="B10" s="19" t="s">
        <v>427</v>
      </c>
      <c r="C10" t="s">
        <v>21</v>
      </c>
      <c r="D10" s="36">
        <v>45792</v>
      </c>
      <c r="E10" s="271">
        <v>300</v>
      </c>
      <c r="F10">
        <v>3</v>
      </c>
      <c r="G10">
        <v>100</v>
      </c>
      <c r="H10">
        <v>6</v>
      </c>
      <c r="I10" s="149">
        <v>106</v>
      </c>
      <c r="J10">
        <v>300</v>
      </c>
      <c r="K10">
        <v>18</v>
      </c>
      <c r="L10" s="271">
        <v>318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14.33203125" bestFit="1" customWidth="1"/>
    <col min="2" max="2" width="12" style="19" bestFit="1" customWidth="1"/>
    <col min="3" max="3" width="18.33203125" customWidth="1"/>
    <col min="4" max="4" width="10.5546875" bestFit="1" customWidth="1"/>
    <col min="5" max="5" width="11.33203125" customWidth="1"/>
    <col min="6" max="6" width="9.33203125" bestFit="1" customWidth="1"/>
    <col min="7" max="7" width="11.88671875" bestFit="1" customWidth="1"/>
    <col min="8" max="8" width="7.6640625" bestFit="1" customWidth="1"/>
    <col min="9" max="9" width="7.6640625" style="149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188</v>
      </c>
      <c r="D2" s="167" t="s">
        <v>194</v>
      </c>
      <c r="E2" s="168"/>
      <c r="F2" s="168"/>
      <c r="G2" s="168"/>
      <c r="H2" s="168"/>
      <c r="I2" s="168"/>
      <c r="J2" s="168"/>
      <c r="K2" s="169"/>
    </row>
    <row r="3" spans="1:17" x14ac:dyDescent="0.3">
      <c r="D3" s="152" t="s">
        <v>189</v>
      </c>
      <c r="E3" s="172"/>
      <c r="F3" s="152" t="s">
        <v>190</v>
      </c>
      <c r="G3" s="170">
        <f>SUM(E7:E1048576)</f>
        <v>2300</v>
      </c>
      <c r="H3" s="152" t="s">
        <v>191</v>
      </c>
      <c r="I3" s="170">
        <f>SUM($P$7:$P$1048576)</f>
        <v>324</v>
      </c>
      <c r="J3" s="152" t="s">
        <v>192</v>
      </c>
      <c r="K3" s="171">
        <f>G3+I3</f>
        <v>2624</v>
      </c>
    </row>
    <row r="4" spans="1:17" x14ac:dyDescent="0.3">
      <c r="I4"/>
    </row>
    <row r="5" spans="1:17" x14ac:dyDescent="0.3">
      <c r="C5" s="14" t="s">
        <v>47</v>
      </c>
      <c r="G5" s="14" t="s">
        <v>49</v>
      </c>
      <c r="H5" s="15" t="s">
        <v>8</v>
      </c>
      <c r="I5"/>
      <c r="N5" s="96" t="s">
        <v>283</v>
      </c>
      <c r="O5" s="97"/>
      <c r="P5" s="97"/>
      <c r="Q5" s="97"/>
    </row>
    <row r="6" spans="1:17" x14ac:dyDescent="0.3">
      <c r="A6" s="16" t="s">
        <v>48</v>
      </c>
      <c r="B6" s="173" t="s">
        <v>193</v>
      </c>
      <c r="C6" s="17" t="s">
        <v>13</v>
      </c>
      <c r="D6" s="17" t="s">
        <v>50</v>
      </c>
      <c r="E6" s="17" t="s">
        <v>59</v>
      </c>
      <c r="F6" s="17" t="s">
        <v>60</v>
      </c>
      <c r="G6" s="17" t="s">
        <v>51</v>
      </c>
      <c r="H6" s="17" t="s">
        <v>34</v>
      </c>
      <c r="I6" s="31" t="s">
        <v>61</v>
      </c>
      <c r="J6" s="17" t="s">
        <v>62</v>
      </c>
      <c r="K6" s="18" t="s">
        <v>54</v>
      </c>
      <c r="L6" s="32" t="s">
        <v>46</v>
      </c>
      <c r="N6" s="32" t="s">
        <v>280</v>
      </c>
      <c r="O6" s="32" t="s">
        <v>281</v>
      </c>
      <c r="P6" s="32" t="s">
        <v>282</v>
      </c>
      <c r="Q6" s="32" t="s">
        <v>281</v>
      </c>
    </row>
    <row r="7" spans="1:17" x14ac:dyDescent="0.3">
      <c r="A7" s="59" t="str" cm="1">
        <f t="array" ref="A7:A11">"000"&amp;_xlfn.SEQUENCE(COUNTA(C7:C1048576))</f>
        <v>0001</v>
      </c>
      <c r="B7" s="181">
        <v>7</v>
      </c>
      <c r="C7" s="59" t="s">
        <v>22</v>
      </c>
      <c r="D7" s="55">
        <v>44910</v>
      </c>
      <c r="E7" s="182">
        <v>100</v>
      </c>
      <c r="F7" s="59">
        <v>4</v>
      </c>
      <c r="G7" s="182">
        <v>25</v>
      </c>
      <c r="H7" s="182">
        <v>2</v>
      </c>
      <c r="I7" s="183">
        <v>27</v>
      </c>
      <c r="J7" s="182">
        <v>100</v>
      </c>
      <c r="K7" s="182">
        <v>8</v>
      </c>
      <c r="L7" s="182">
        <v>108</v>
      </c>
      <c r="N7" s="130">
        <f>SUMIFS(PAGOS!$E$3:$E$1048576,PAGOS!$A$3:$A$1048576,"&lt;&gt;INGRESO*",PAGOS!$A$3:$A$1048576,"&lt;&gt;EGRESO*",PAGOS!$D$3:$D$1048576,B7)</f>
        <v>100</v>
      </c>
      <c r="O7" s="130">
        <f>E7-N7</f>
        <v>0</v>
      </c>
      <c r="P7" s="130">
        <f>SUMIFS(PAGOS!$H$3:$H$1048576,PAGOS!$A$3:$A$1048576,"&lt;&gt;INGRESO*",PAGOS!$A$3:$A$1048576,"&lt;&gt;EGRESO*",PAGOS!$D$3:$D$1048576,B7)</f>
        <v>8</v>
      </c>
      <c r="Q7" s="130">
        <f>K7-P7</f>
        <v>0</v>
      </c>
    </row>
    <row r="8" spans="1:17" x14ac:dyDescent="0.3">
      <c r="A8" s="59" t="str">
        <v>0002</v>
      </c>
      <c r="B8" s="181">
        <v>15</v>
      </c>
      <c r="C8" s="59" t="s">
        <v>22</v>
      </c>
      <c r="D8" s="55">
        <v>45031</v>
      </c>
      <c r="E8" s="182">
        <v>200</v>
      </c>
      <c r="F8" s="59">
        <v>4</v>
      </c>
      <c r="G8" s="182">
        <v>50</v>
      </c>
      <c r="H8" s="182">
        <v>4</v>
      </c>
      <c r="I8" s="183">
        <v>54</v>
      </c>
      <c r="J8" s="182">
        <v>200</v>
      </c>
      <c r="K8" s="182">
        <v>16</v>
      </c>
      <c r="L8" s="182">
        <v>216</v>
      </c>
      <c r="N8" s="130">
        <f>SUMIFS(PAGOS!$E$3:$E$1048576,PAGOS!$A$3:$A$1048576,"&lt;&gt;INGRESO*",PAGOS!$A$3:$A$1048576,"&lt;&gt;EGRESO*",PAGOS!$D$3:$D$1048576,B8)</f>
        <v>200</v>
      </c>
      <c r="O8" s="130">
        <f>E8-N8</f>
        <v>0</v>
      </c>
      <c r="P8" s="130">
        <f>SUMIFS(PAGOS!$H$3:$H$1048576,PAGOS!$A$3:$A$1048576,"&lt;&gt;INGRESO*",PAGOS!$A$3:$A$1048576,"&lt;&gt;EGRESO*",PAGOS!$D$3:$D$1048576,B8)</f>
        <v>16</v>
      </c>
      <c r="Q8" s="130">
        <f>K8-P8</f>
        <v>0</v>
      </c>
    </row>
    <row r="9" spans="1:17" x14ac:dyDescent="0.3">
      <c r="A9" s="59" t="str">
        <v>0003</v>
      </c>
      <c r="B9" s="181">
        <v>30</v>
      </c>
      <c r="C9" s="59" t="s">
        <v>22</v>
      </c>
      <c r="D9" s="55">
        <v>45214</v>
      </c>
      <c r="E9" s="182">
        <v>400</v>
      </c>
      <c r="F9" s="59">
        <v>7</v>
      </c>
      <c r="G9" s="182">
        <v>57.142857142857146</v>
      </c>
      <c r="H9" s="182">
        <v>8</v>
      </c>
      <c r="I9" s="183">
        <v>65.142857142857139</v>
      </c>
      <c r="J9" s="182">
        <v>400</v>
      </c>
      <c r="K9" s="182">
        <v>56</v>
      </c>
      <c r="L9" s="182">
        <v>456</v>
      </c>
      <c r="N9" s="130">
        <f>SUMIFS(PAGOS!$E$3:$E$1048576,PAGOS!$A$3:$A$1048576,"&lt;&gt;INGRESO*",PAGOS!$A$3:$A$1048576,"&lt;&gt;EGRESO*",PAGOS!$D$3:$D$1048576,B9)</f>
        <v>399.99999999999994</v>
      </c>
      <c r="O9" s="130">
        <f>E9-N9</f>
        <v>0</v>
      </c>
      <c r="P9" s="130">
        <f>SUMIFS(PAGOS!$H$3:$H$1048576,PAGOS!$A$3:$A$1048576,"&lt;&gt;INGRESO*",PAGOS!$A$3:$A$1048576,"&lt;&gt;EGRESO*",PAGOS!$D$3:$D$1048576,B9)</f>
        <v>56</v>
      </c>
      <c r="Q9" s="130">
        <f>K9-P9</f>
        <v>0</v>
      </c>
    </row>
    <row r="10" spans="1:17" x14ac:dyDescent="0.3">
      <c r="A10" s="59" t="str">
        <v>0004</v>
      </c>
      <c r="B10" s="53" t="s">
        <v>222</v>
      </c>
      <c r="C10" s="59" t="s">
        <v>22</v>
      </c>
      <c r="D10" s="55">
        <v>45427</v>
      </c>
      <c r="E10" s="197">
        <v>600</v>
      </c>
      <c r="F10" s="59">
        <v>7</v>
      </c>
      <c r="G10" s="182">
        <v>85.714285714285708</v>
      </c>
      <c r="H10" s="182">
        <v>12</v>
      </c>
      <c r="I10" s="183">
        <v>97.714285714285708</v>
      </c>
      <c r="J10" s="182">
        <v>600</v>
      </c>
      <c r="K10" s="182">
        <v>84</v>
      </c>
      <c r="L10" s="197">
        <v>684</v>
      </c>
      <c r="N10" s="130">
        <f>SUMIFS(PAGOS!$E$3:$E$1048576,PAGOS!$A$3:$A$1048576,"&lt;&gt;INGRESO*",PAGOS!$A$3:$A$1048576,"&lt;&gt;EGRESO*",PAGOS!$D$3:$D$1048576,+MID('09'!B10,6,3)*1)</f>
        <v>600</v>
      </c>
      <c r="O10" s="130">
        <f>E10-N10</f>
        <v>0</v>
      </c>
      <c r="P10" s="130">
        <f>SUMIFS(PAGOS!$H$3:$H$1048576,PAGOS!$A$3:$A$1048576,"&lt;&gt;INGRESO*",PAGOS!$A$3:$A$1048576,"&lt;&gt;EGRESO*",PAGOS!$D$3:$D$1048576,+MID('09'!B10,6,3)*1)</f>
        <v>84</v>
      </c>
      <c r="Q10" s="130">
        <f>K10-P10</f>
        <v>0</v>
      </c>
    </row>
    <row r="11" spans="1:17" x14ac:dyDescent="0.3">
      <c r="A11" s="59" t="str">
        <v>0005</v>
      </c>
      <c r="B11" s="53" t="s">
        <v>305</v>
      </c>
      <c r="C11" s="59" t="s">
        <v>22</v>
      </c>
      <c r="D11" s="55">
        <v>45611</v>
      </c>
      <c r="E11" s="197">
        <v>1000</v>
      </c>
      <c r="F11" s="59">
        <v>10</v>
      </c>
      <c r="G11" s="182">
        <v>100</v>
      </c>
      <c r="H11" s="182">
        <v>20</v>
      </c>
      <c r="I11" s="183">
        <v>120</v>
      </c>
      <c r="J11" s="182">
        <v>1000</v>
      </c>
      <c r="K11" s="182">
        <v>200</v>
      </c>
      <c r="L11" s="182">
        <v>1200</v>
      </c>
      <c r="N11" s="130">
        <f>SUMIFS(PAGOS!$E$3:$E$1048576,PAGOS!$A$3:$A$1048576,"&lt;&gt;INGRESO*",PAGOS!$A$3:$A$1048576,"&lt;&gt;EGRESO*",PAGOS!$D$3:$D$1048576,+MID('09'!B11,6,3)*1)</f>
        <v>800</v>
      </c>
      <c r="O11" s="130">
        <f>E11-N11</f>
        <v>200</v>
      </c>
      <c r="P11" s="130">
        <f>SUMIFS(PAGOS!$H$3:$H$1048576,PAGOS!$A$3:$A$1048576,"&lt;&gt;INGRESO*",PAGOS!$A$3:$A$1048576,"&lt;&gt;EGRESO*",PAGOS!$D$3:$D$1048576,+MID('09'!B11,6,3)*1)</f>
        <v>160</v>
      </c>
      <c r="Q11" s="130">
        <f>K11-P11</f>
        <v>40</v>
      </c>
    </row>
    <row r="16" spans="1:17" x14ac:dyDescent="0.3">
      <c r="I16"/>
    </row>
    <row r="17" spans="9:9" x14ac:dyDescent="0.3">
      <c r="I17"/>
    </row>
    <row r="18" spans="9:9" x14ac:dyDescent="0.3">
      <c r="I18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1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9" bestFit="1" customWidth="1"/>
    <col min="3" max="3" width="17.6640625" customWidth="1"/>
    <col min="4" max="8" width="11.6640625" bestFit="1" customWidth="1"/>
    <col min="9" max="9" width="9.33203125" style="149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188</v>
      </c>
      <c r="D2" s="167" t="s">
        <v>194</v>
      </c>
      <c r="E2" s="168"/>
      <c r="F2" s="168"/>
      <c r="G2" s="168"/>
      <c r="H2" s="168"/>
      <c r="I2" s="168"/>
      <c r="J2" s="168"/>
      <c r="K2" s="169"/>
    </row>
    <row r="3" spans="1:17" x14ac:dyDescent="0.3">
      <c r="D3" s="152" t="s">
        <v>189</v>
      </c>
      <c r="E3" s="172"/>
      <c r="F3" s="152" t="s">
        <v>190</v>
      </c>
      <c r="G3" s="170">
        <f>SUM(E7:E1048576)</f>
        <v>3620</v>
      </c>
      <c r="H3" s="152" t="s">
        <v>191</v>
      </c>
      <c r="I3" s="170">
        <f>SUM($P$7:$P$1048576)</f>
        <v>269</v>
      </c>
      <c r="J3" s="152" t="s">
        <v>192</v>
      </c>
      <c r="K3" s="171">
        <f>G3+I3</f>
        <v>3889</v>
      </c>
    </row>
    <row r="4" spans="1:17" x14ac:dyDescent="0.3">
      <c r="I4"/>
    </row>
    <row r="5" spans="1:17" x14ac:dyDescent="0.3">
      <c r="C5" s="14" t="s">
        <v>47</v>
      </c>
      <c r="G5" s="14" t="s">
        <v>49</v>
      </c>
      <c r="H5" s="15" t="s">
        <v>9</v>
      </c>
      <c r="I5"/>
      <c r="N5" s="96" t="s">
        <v>283</v>
      </c>
      <c r="O5" s="97"/>
      <c r="P5" s="97"/>
      <c r="Q5" s="97"/>
    </row>
    <row r="6" spans="1:17" x14ac:dyDescent="0.3">
      <c r="A6" s="16" t="s">
        <v>48</v>
      </c>
      <c r="B6" s="173" t="s">
        <v>193</v>
      </c>
      <c r="C6" s="17" t="s">
        <v>13</v>
      </c>
      <c r="D6" s="17" t="s">
        <v>50</v>
      </c>
      <c r="E6" s="17" t="s">
        <v>59</v>
      </c>
      <c r="F6" s="17" t="s">
        <v>60</v>
      </c>
      <c r="G6" s="17" t="s">
        <v>51</v>
      </c>
      <c r="H6" s="17" t="s">
        <v>34</v>
      </c>
      <c r="I6" s="31" t="s">
        <v>61</v>
      </c>
      <c r="J6" s="17" t="s">
        <v>62</v>
      </c>
      <c r="K6" s="18" t="s">
        <v>54</v>
      </c>
      <c r="L6" s="32" t="s">
        <v>46</v>
      </c>
      <c r="N6" s="32" t="s">
        <v>280</v>
      </c>
      <c r="O6" s="32" t="s">
        <v>281</v>
      </c>
      <c r="P6" s="32" t="s">
        <v>282</v>
      </c>
      <c r="Q6" s="32" t="s">
        <v>281</v>
      </c>
    </row>
    <row r="7" spans="1:17" x14ac:dyDescent="0.3">
      <c r="A7" s="59" t="str" cm="1">
        <f t="array" ref="A7:A14">"000"&amp;_xlfn.SEQUENCE(COUNTA(C7:C1048576))</f>
        <v>0001</v>
      </c>
      <c r="B7" s="181">
        <v>8</v>
      </c>
      <c r="C7" s="59" t="s">
        <v>23</v>
      </c>
      <c r="D7" s="55">
        <v>44910</v>
      </c>
      <c r="E7" s="182">
        <v>170</v>
      </c>
      <c r="F7" s="59">
        <v>5</v>
      </c>
      <c r="G7" s="182">
        <v>34</v>
      </c>
      <c r="H7" s="182">
        <v>3.4</v>
      </c>
      <c r="I7" s="183">
        <v>37.4</v>
      </c>
      <c r="J7" s="182">
        <v>170</v>
      </c>
      <c r="K7" s="182">
        <v>17</v>
      </c>
      <c r="L7" s="182">
        <v>187</v>
      </c>
      <c r="N7" s="130">
        <f>SUMIFS(PAGOS!$E$3:$E$1048576,PAGOS!$A$3:$A$1048576,"&lt;&gt;INGRESO*",PAGOS!$A$3:$A$1048576,"&lt;&gt;EGRESO*",PAGOS!$D$3:$D$1048576,B7)</f>
        <v>170</v>
      </c>
      <c r="O7" s="130">
        <f t="shared" ref="O7:O13" si="0">E7-N7</f>
        <v>0</v>
      </c>
      <c r="P7" s="130">
        <f>SUMIFS(PAGOS!$H$3:$H$1048576,PAGOS!$A$3:$A$1048576,"&lt;&gt;INGRESO*",PAGOS!$A$3:$A$1048576,"&lt;&gt;EGRESO*",PAGOS!$D$3:$D$1048576,B7)</f>
        <v>17</v>
      </c>
      <c r="Q7" s="130">
        <f t="shared" ref="Q7:Q13" si="1">K7-P7</f>
        <v>0</v>
      </c>
    </row>
    <row r="8" spans="1:17" x14ac:dyDescent="0.3">
      <c r="A8" s="59" t="str">
        <v>0002</v>
      </c>
      <c r="B8" s="181">
        <v>19</v>
      </c>
      <c r="C8" s="59" t="s">
        <v>23</v>
      </c>
      <c r="D8" s="55">
        <v>45092</v>
      </c>
      <c r="E8" s="182">
        <v>400</v>
      </c>
      <c r="F8" s="59">
        <v>4</v>
      </c>
      <c r="G8" s="182">
        <v>100</v>
      </c>
      <c r="H8" s="182">
        <v>8</v>
      </c>
      <c r="I8" s="183">
        <v>108</v>
      </c>
      <c r="J8" s="182">
        <v>400</v>
      </c>
      <c r="K8" s="182">
        <v>32</v>
      </c>
      <c r="L8" s="182">
        <v>432</v>
      </c>
      <c r="N8" s="130">
        <f>SUMIFS(PAGOS!$E$3:$E$1048576,PAGOS!$A$3:$A$1048576,"&lt;&gt;INGRESO*",PAGOS!$A$3:$A$1048576,"&lt;&gt;EGRESO*",PAGOS!$D$3:$D$1048576,B8)</f>
        <v>400</v>
      </c>
      <c r="O8" s="130">
        <f t="shared" si="0"/>
        <v>0</v>
      </c>
      <c r="P8" s="130">
        <f>SUMIFS(PAGOS!$H$3:$H$1048576,PAGOS!$A$3:$A$1048576,"&lt;&gt;INGRESO*",PAGOS!$A$3:$A$1048576,"&lt;&gt;EGRESO*",PAGOS!$D$3:$D$1048576,B8)</f>
        <v>32</v>
      </c>
      <c r="Q8" s="130">
        <f t="shared" si="1"/>
        <v>0</v>
      </c>
    </row>
    <row r="9" spans="1:17" x14ac:dyDescent="0.3">
      <c r="A9" s="59" t="str">
        <v>0003</v>
      </c>
      <c r="B9" s="181">
        <v>32</v>
      </c>
      <c r="C9" s="59" t="s">
        <v>23</v>
      </c>
      <c r="D9" s="55">
        <v>45245</v>
      </c>
      <c r="E9" s="182">
        <v>250</v>
      </c>
      <c r="F9" s="59">
        <v>4</v>
      </c>
      <c r="G9" s="182">
        <v>62.5</v>
      </c>
      <c r="H9" s="182">
        <v>5</v>
      </c>
      <c r="I9" s="183">
        <v>67.5</v>
      </c>
      <c r="J9" s="182">
        <v>250</v>
      </c>
      <c r="K9" s="182">
        <v>20</v>
      </c>
      <c r="L9" s="182">
        <v>270</v>
      </c>
      <c r="N9" s="130">
        <f>SUMIFS(PAGOS!$E$3:$E$1048576,PAGOS!$A$3:$A$1048576,"&lt;&gt;INGRESO*",PAGOS!$A$3:$A$1048576,"&lt;&gt;EGRESO*",PAGOS!$D$3:$D$1048576,B9)</f>
        <v>0</v>
      </c>
      <c r="O9" s="130">
        <f t="shared" si="0"/>
        <v>250</v>
      </c>
      <c r="P9" s="130">
        <f>SUMIFS(PAGOS!$H$3:$H$1048576,PAGOS!$A$3:$A$1048576,"&lt;&gt;INGRESO*",PAGOS!$A$3:$A$1048576,"&lt;&gt;EGRESO*",PAGOS!$D$3:$D$1048576,B9)</f>
        <v>10</v>
      </c>
      <c r="Q9" s="130">
        <f t="shared" si="1"/>
        <v>10</v>
      </c>
    </row>
    <row r="10" spans="1:17" x14ac:dyDescent="0.3">
      <c r="A10" s="59" t="str">
        <v>0004</v>
      </c>
      <c r="B10" s="181">
        <v>33</v>
      </c>
      <c r="C10" s="59" t="s">
        <v>23</v>
      </c>
      <c r="D10" s="55">
        <v>45306</v>
      </c>
      <c r="E10" s="182">
        <v>500</v>
      </c>
      <c r="F10" s="59">
        <v>2</v>
      </c>
      <c r="G10" s="182">
        <v>250</v>
      </c>
      <c r="H10" s="182">
        <v>10</v>
      </c>
      <c r="I10" s="183">
        <v>260</v>
      </c>
      <c r="J10" s="182">
        <v>500</v>
      </c>
      <c r="K10" s="182">
        <v>20</v>
      </c>
      <c r="L10" s="182">
        <v>520</v>
      </c>
      <c r="N10" s="130">
        <f>SUMIFS(PAGOS!$E$3:$E$1048576,PAGOS!$A$3:$A$1048576,"&lt;&gt;INGRESO*",PAGOS!$A$3:$A$1048576,"&lt;&gt;EGRESO*",PAGOS!$D$3:$D$1048576,B10)</f>
        <v>0</v>
      </c>
      <c r="O10" s="130">
        <f t="shared" si="0"/>
        <v>500</v>
      </c>
      <c r="P10" s="130">
        <f>SUMIFS(PAGOS!$H$3:$H$1048576,PAGOS!$A$3:$A$1048576,"&lt;&gt;INGRESO*",PAGOS!$A$3:$A$1048576,"&lt;&gt;EGRESO*",PAGOS!$D$3:$D$1048576,B10)</f>
        <v>20</v>
      </c>
      <c r="Q10" s="130">
        <f t="shared" si="1"/>
        <v>0</v>
      </c>
    </row>
    <row r="11" spans="1:17" x14ac:dyDescent="0.3">
      <c r="A11" s="59" t="str">
        <v>0005</v>
      </c>
      <c r="B11" s="53" t="s">
        <v>215</v>
      </c>
      <c r="C11" s="59" t="s">
        <v>23</v>
      </c>
      <c r="D11" s="55">
        <v>45366</v>
      </c>
      <c r="E11" s="197">
        <v>400</v>
      </c>
      <c r="F11" s="59">
        <v>4</v>
      </c>
      <c r="G11" s="182">
        <v>100</v>
      </c>
      <c r="H11" s="182">
        <v>8</v>
      </c>
      <c r="I11" s="183">
        <v>108</v>
      </c>
      <c r="J11" s="182">
        <v>400</v>
      </c>
      <c r="K11" s="182">
        <v>32</v>
      </c>
      <c r="L11" s="197">
        <v>432</v>
      </c>
      <c r="N11" s="130">
        <f>SUMIFS(PAGOS!$E$3:$E$1048576,PAGOS!$A$3:$A$1048576,"&lt;&gt;INGRESO*",PAGOS!$A$3:$A$1048576,"&lt;&gt;EGRESO*",PAGOS!$D$3:$D$1048576,+MID('10'!B11,6,3)*1)</f>
        <v>200</v>
      </c>
      <c r="O11" s="130">
        <f t="shared" si="0"/>
        <v>200</v>
      </c>
      <c r="P11" s="130">
        <f>SUMIFS(PAGOS!$H$3:$H$1048576,PAGOS!$A$3:$A$1048576,"&lt;&gt;INGRESO*",PAGOS!$A$3:$A$1048576,"&lt;&gt;EGRESO*",PAGOS!$D$3:$D$1048576,+MID('10'!B11,6,3)*1)</f>
        <v>24</v>
      </c>
      <c r="Q11" s="130">
        <f t="shared" si="1"/>
        <v>8</v>
      </c>
    </row>
    <row r="12" spans="1:17" x14ac:dyDescent="0.3">
      <c r="A12" s="59" t="str">
        <v>0006</v>
      </c>
      <c r="B12" s="53" t="s">
        <v>229</v>
      </c>
      <c r="C12" s="59" t="s">
        <v>23</v>
      </c>
      <c r="D12" s="55">
        <v>45458</v>
      </c>
      <c r="E12" s="197">
        <v>700</v>
      </c>
      <c r="F12" s="59">
        <v>5</v>
      </c>
      <c r="G12" s="182">
        <v>140</v>
      </c>
      <c r="H12" s="182">
        <v>14</v>
      </c>
      <c r="I12" s="183">
        <v>154</v>
      </c>
      <c r="J12" s="182">
        <v>700</v>
      </c>
      <c r="K12" s="182">
        <v>70</v>
      </c>
      <c r="L12" s="197">
        <v>770</v>
      </c>
      <c r="N12" s="130">
        <f>SUMIFS(PAGOS!$E$3:$E$1048576,PAGOS!$A$3:$A$1048576,"&lt;&gt;INGRESO*",PAGOS!$A$3:$A$1048576,"&lt;&gt;EGRESO*",PAGOS!$D$3:$D$1048576,+MID('10'!B12,6,3)*1)</f>
        <v>700</v>
      </c>
      <c r="O12" s="130">
        <f t="shared" si="0"/>
        <v>0</v>
      </c>
      <c r="P12" s="130">
        <f>SUMIFS(PAGOS!$H$3:$H$1048576,PAGOS!$A$3:$A$1048576,"&lt;&gt;INGRESO*",PAGOS!$A$3:$A$1048576,"&lt;&gt;EGRESO*",PAGOS!$D$3:$D$1048576,+MID('10'!B12,6,3)*1)</f>
        <v>56</v>
      </c>
      <c r="Q12" s="130">
        <f t="shared" si="1"/>
        <v>14</v>
      </c>
    </row>
    <row r="13" spans="1:17" x14ac:dyDescent="0.3">
      <c r="A13" s="59" t="str">
        <v>0007</v>
      </c>
      <c r="B13" s="53" t="s">
        <v>267</v>
      </c>
      <c r="C13" s="59" t="s">
        <v>23</v>
      </c>
      <c r="D13" s="55">
        <v>45580</v>
      </c>
      <c r="E13" s="197">
        <v>500</v>
      </c>
      <c r="F13" s="59">
        <v>4</v>
      </c>
      <c r="G13" s="182">
        <v>125</v>
      </c>
      <c r="H13" s="182">
        <v>10</v>
      </c>
      <c r="I13" s="183">
        <v>135</v>
      </c>
      <c r="J13" s="182">
        <v>500</v>
      </c>
      <c r="K13" s="182">
        <v>40</v>
      </c>
      <c r="L13" s="197">
        <v>540</v>
      </c>
      <c r="N13" s="130">
        <f>SUMIFS(PAGOS!$E$3:$E$1048576,PAGOS!$A$3:$A$1048576,"&lt;&gt;INGRESO*",PAGOS!$A$3:$A$1048576,"&lt;&gt;EGRESO*",PAGOS!$D$3:$D$1048576,+MID('10'!B13,6,3)*1)</f>
        <v>375</v>
      </c>
      <c r="O13" s="130">
        <f t="shared" si="0"/>
        <v>125</v>
      </c>
      <c r="P13" s="130">
        <f>SUMIFS(PAGOS!$H$3:$H$1048576,PAGOS!$A$3:$A$1048576,"&lt;&gt;INGRESO*",PAGOS!$A$3:$A$1048576,"&lt;&gt;EGRESO*",PAGOS!$D$3:$D$1048576,+MID('10'!B13,6,3)*1)</f>
        <v>30</v>
      </c>
      <c r="Q13" s="130">
        <f t="shared" si="1"/>
        <v>10</v>
      </c>
    </row>
    <row r="14" spans="1:17" x14ac:dyDescent="0.3">
      <c r="A14" s="59" t="str">
        <v>0008</v>
      </c>
      <c r="B14" s="53" t="s">
        <v>351</v>
      </c>
      <c r="C14" s="59" t="s">
        <v>23</v>
      </c>
      <c r="D14" s="55">
        <v>45672</v>
      </c>
      <c r="E14" s="197">
        <v>700</v>
      </c>
      <c r="F14" s="59">
        <v>7</v>
      </c>
      <c r="G14" s="182">
        <v>100</v>
      </c>
      <c r="H14" s="182">
        <v>14</v>
      </c>
      <c r="I14" s="183">
        <v>114</v>
      </c>
      <c r="J14" s="182">
        <v>700</v>
      </c>
      <c r="K14" s="182">
        <v>98</v>
      </c>
      <c r="L14" s="182">
        <v>798</v>
      </c>
      <c r="N14" s="130">
        <f>SUMIFS(PAGOS!$E$3:$E$1048576,PAGOS!$A$3:$A$1048576,"&lt;&gt;INGRESO*",PAGOS!$A$3:$A$1048576,"&lt;&gt;EGRESO*",PAGOS!$D$3:$D$1048576,+MID('10'!B14,6,3)*1)</f>
        <v>600</v>
      </c>
      <c r="O14" s="130">
        <f>E14-N14</f>
        <v>100</v>
      </c>
      <c r="P14" s="130">
        <f>SUMIFS(PAGOS!$H$3:$H$1048576,PAGOS!$A$3:$A$1048576,"&lt;&gt;INGRESO*",PAGOS!$A$3:$A$1048576,"&lt;&gt;EGRESO*",PAGOS!$D$3:$D$1048576,+MID('10'!B14,6,3)*1)</f>
        <v>80</v>
      </c>
      <c r="Q14" s="130">
        <f>K14-P14</f>
        <v>18</v>
      </c>
    </row>
    <row r="16" spans="1:17" x14ac:dyDescent="0.3">
      <c r="I16"/>
    </row>
    <row r="17" spans="9:9" x14ac:dyDescent="0.3">
      <c r="I17"/>
    </row>
    <row r="19" spans="9:9" x14ac:dyDescent="0.3">
      <c r="I19"/>
    </row>
    <row r="20" spans="9:9" x14ac:dyDescent="0.3">
      <c r="I20"/>
    </row>
    <row r="21" spans="9:9" x14ac:dyDescent="0.3">
      <c r="I21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14.33203125" bestFit="1" customWidth="1"/>
    <col min="2" max="2" width="12" style="19" bestFit="1" customWidth="1"/>
    <col min="3" max="3" width="22.5546875" customWidth="1"/>
    <col min="4" max="4" width="11.109375" bestFit="1" customWidth="1"/>
    <col min="5" max="5" width="11.33203125" customWidth="1"/>
    <col min="6" max="6" width="9.33203125" bestFit="1" customWidth="1"/>
    <col min="7" max="7" width="12" bestFit="1" customWidth="1"/>
    <col min="8" max="8" width="7.88671875" bestFit="1" customWidth="1"/>
    <col min="9" max="9" width="8.6640625" style="149" customWidth="1"/>
    <col min="10" max="10" width="13.6640625" bestFit="1" customWidth="1"/>
    <col min="11" max="12" width="11.109375" bestFit="1" customWidth="1"/>
    <col min="14" max="16" width="11.109375" bestFit="1" customWidth="1"/>
    <col min="17" max="17" width="11.6640625" bestFit="1" customWidth="1"/>
  </cols>
  <sheetData>
    <row r="1" spans="1:17" x14ac:dyDescent="0.3">
      <c r="I1"/>
    </row>
    <row r="2" spans="1:17" x14ac:dyDescent="0.3">
      <c r="A2" t="s">
        <v>188</v>
      </c>
      <c r="D2" s="167" t="s">
        <v>194</v>
      </c>
      <c r="E2" s="168"/>
      <c r="F2" s="168"/>
      <c r="G2" s="168"/>
      <c r="H2" s="168"/>
      <c r="I2" s="168"/>
      <c r="J2" s="168"/>
      <c r="K2" s="169"/>
    </row>
    <row r="3" spans="1:17" x14ac:dyDescent="0.3">
      <c r="D3" s="152" t="s">
        <v>189</v>
      </c>
      <c r="E3" s="172"/>
      <c r="F3" s="152" t="s">
        <v>190</v>
      </c>
      <c r="G3" s="170">
        <f>SUM(E7:E1048576)</f>
        <v>1150</v>
      </c>
      <c r="H3" s="152" t="s">
        <v>191</v>
      </c>
      <c r="I3" s="170">
        <f>SUM($P$7:$P$1048576)</f>
        <v>179</v>
      </c>
      <c r="J3" s="152" t="s">
        <v>192</v>
      </c>
      <c r="K3" s="171">
        <f>G3+I3</f>
        <v>1329</v>
      </c>
    </row>
    <row r="4" spans="1:17" x14ac:dyDescent="0.3">
      <c r="I4"/>
    </row>
    <row r="5" spans="1:17" x14ac:dyDescent="0.3">
      <c r="C5" s="14" t="s">
        <v>47</v>
      </c>
      <c r="G5" s="14" t="s">
        <v>49</v>
      </c>
      <c r="H5" s="15" t="s">
        <v>10</v>
      </c>
      <c r="I5"/>
      <c r="N5" s="96" t="s">
        <v>283</v>
      </c>
      <c r="O5" s="97"/>
      <c r="P5" s="97"/>
      <c r="Q5" s="97"/>
    </row>
    <row r="6" spans="1:17" x14ac:dyDescent="0.3">
      <c r="A6" s="16" t="s">
        <v>48</v>
      </c>
      <c r="B6" s="173" t="s">
        <v>193</v>
      </c>
      <c r="C6" s="17" t="s">
        <v>13</v>
      </c>
      <c r="D6" s="17" t="s">
        <v>50</v>
      </c>
      <c r="E6" s="17" t="s">
        <v>59</v>
      </c>
      <c r="F6" s="17" t="s">
        <v>60</v>
      </c>
      <c r="G6" s="17" t="s">
        <v>51</v>
      </c>
      <c r="H6" s="17" t="s">
        <v>34</v>
      </c>
      <c r="I6" s="31" t="s">
        <v>61</v>
      </c>
      <c r="J6" s="17" t="s">
        <v>62</v>
      </c>
      <c r="K6" s="18" t="s">
        <v>54</v>
      </c>
      <c r="L6" s="32" t="s">
        <v>46</v>
      </c>
      <c r="N6" s="32" t="s">
        <v>280</v>
      </c>
      <c r="O6" s="32" t="s">
        <v>281</v>
      </c>
      <c r="P6" s="32" t="s">
        <v>282</v>
      </c>
      <c r="Q6" s="32" t="s">
        <v>281</v>
      </c>
    </row>
    <row r="7" spans="1:17" x14ac:dyDescent="0.3">
      <c r="A7" s="59" t="str" cm="1">
        <f t="array" ref="A7:A10">"000"&amp;_xlfn.SEQUENCE(COUNTA(C7:C1048576))</f>
        <v>0001</v>
      </c>
      <c r="B7" s="181">
        <v>9</v>
      </c>
      <c r="C7" s="59" t="s">
        <v>24</v>
      </c>
      <c r="D7" s="55">
        <v>44941</v>
      </c>
      <c r="E7" s="182">
        <v>250</v>
      </c>
      <c r="F7" s="59">
        <v>3</v>
      </c>
      <c r="G7" s="182">
        <v>83.333333333333329</v>
      </c>
      <c r="H7" s="182">
        <v>5</v>
      </c>
      <c r="I7" s="183">
        <v>88.33</v>
      </c>
      <c r="J7" s="182">
        <v>250</v>
      </c>
      <c r="K7" s="182">
        <v>15</v>
      </c>
      <c r="L7" s="182">
        <v>265</v>
      </c>
      <c r="N7" s="130">
        <f>SUMIFS(PAGOS!$E$3:$E$1048576,PAGOS!$A$3:$A$1048576,"&lt;&gt;INGRESO*",PAGOS!$A$3:$A$1048576,"&lt;&gt;EGRESO*",PAGOS!$D$3:$D$1048576,B7)</f>
        <v>249.99</v>
      </c>
      <c r="O7" s="130">
        <f>E7-N7</f>
        <v>9.9999999999909051E-3</v>
      </c>
      <c r="P7" s="130">
        <f>SUMIFS(PAGOS!$H$3:$H$1048576,PAGOS!$A$3:$A$1048576,"&lt;&gt;INGRESO*",PAGOS!$A$3:$A$1048576,"&lt;&gt;EGRESO*",PAGOS!$D$3:$D$1048576,B7)</f>
        <v>15</v>
      </c>
      <c r="Q7" s="130">
        <f>K7-P7</f>
        <v>0</v>
      </c>
    </row>
    <row r="8" spans="1:17" x14ac:dyDescent="0.3">
      <c r="A8" s="59" t="str">
        <v>0002</v>
      </c>
      <c r="B8" s="181">
        <v>20</v>
      </c>
      <c r="C8" s="59" t="s">
        <v>24</v>
      </c>
      <c r="D8" s="55">
        <v>45092</v>
      </c>
      <c r="E8" s="182">
        <v>200</v>
      </c>
      <c r="F8" s="59">
        <v>4</v>
      </c>
      <c r="G8" s="182">
        <v>50</v>
      </c>
      <c r="H8" s="182">
        <v>4</v>
      </c>
      <c r="I8" s="183">
        <v>54</v>
      </c>
      <c r="J8" s="182">
        <v>200</v>
      </c>
      <c r="K8" s="182">
        <v>16</v>
      </c>
      <c r="L8" s="182">
        <v>216</v>
      </c>
      <c r="N8" s="130">
        <f>SUMIFS(PAGOS!$E$3:$E$1048576,PAGOS!$A$3:$A$1048576,"&lt;&gt;INGRESO*",PAGOS!$A$3:$A$1048576,"&lt;&gt;EGRESO*",PAGOS!$D$3:$D$1048576,B8)</f>
        <v>200</v>
      </c>
      <c r="O8" s="130">
        <f>E8-N8</f>
        <v>0</v>
      </c>
      <c r="P8" s="130">
        <f>SUMIFS(PAGOS!$H$3:$H$1048576,PAGOS!$A$3:$A$1048576,"&lt;&gt;INGRESO*",PAGOS!$A$3:$A$1048576,"&lt;&gt;EGRESO*",PAGOS!$D$3:$D$1048576,B8)</f>
        <v>16</v>
      </c>
      <c r="Q8" s="130">
        <f>K8-P8</f>
        <v>0</v>
      </c>
    </row>
    <row r="9" spans="1:17" x14ac:dyDescent="0.3">
      <c r="A9" s="59" t="str">
        <v>0003</v>
      </c>
      <c r="B9" s="181">
        <v>34</v>
      </c>
      <c r="C9" s="59" t="s">
        <v>24</v>
      </c>
      <c r="D9" s="55">
        <v>45311</v>
      </c>
      <c r="E9" s="182">
        <v>100</v>
      </c>
      <c r="F9" s="59">
        <v>5</v>
      </c>
      <c r="G9" s="182">
        <v>20</v>
      </c>
      <c r="H9" s="182">
        <v>2</v>
      </c>
      <c r="I9" s="183">
        <v>22</v>
      </c>
      <c r="J9" s="182">
        <v>100</v>
      </c>
      <c r="K9" s="182">
        <v>10</v>
      </c>
      <c r="L9" s="182">
        <v>110</v>
      </c>
      <c r="N9" s="130">
        <f>SUMIFS(PAGOS!$E$3:$E$1048576,PAGOS!$A$3:$A$1048576,"&lt;&gt;INGRESO*",PAGOS!$A$3:$A$1048576,"&lt;&gt;EGRESO*",PAGOS!$D$3:$D$1048576,B9)</f>
        <v>0</v>
      </c>
      <c r="O9" s="130">
        <f>E9-N9</f>
        <v>100</v>
      </c>
      <c r="P9" s="130">
        <f>SUMIFS(PAGOS!$H$3:$H$1048576,PAGOS!$A$3:$A$1048576,"&lt;&gt;INGRESO*",PAGOS!$A$3:$A$1048576,"&lt;&gt;EGRESO*",PAGOS!$D$3:$D$1048576,B9)</f>
        <v>4</v>
      </c>
      <c r="Q9" s="130">
        <f>K9-P9</f>
        <v>6</v>
      </c>
    </row>
    <row r="10" spans="1:17" x14ac:dyDescent="0.3">
      <c r="A10" s="59" t="str">
        <v>0004</v>
      </c>
      <c r="B10" s="53" t="s">
        <v>213</v>
      </c>
      <c r="C10" s="59" t="s">
        <v>24</v>
      </c>
      <c r="D10" s="55">
        <v>45366</v>
      </c>
      <c r="E10" s="197">
        <v>600</v>
      </c>
      <c r="F10" s="59">
        <v>12</v>
      </c>
      <c r="G10" s="182">
        <v>50</v>
      </c>
      <c r="H10" s="182">
        <v>12</v>
      </c>
      <c r="I10" s="183">
        <v>62</v>
      </c>
      <c r="J10" s="182">
        <v>600</v>
      </c>
      <c r="K10" s="182">
        <v>144</v>
      </c>
      <c r="L10" s="182">
        <v>744</v>
      </c>
      <c r="N10" s="130">
        <f>SUMIFS(PAGOS!$E$3:$E$1048576,PAGOS!$A$3:$A$1048576,"&lt;&gt;INGRESO*",PAGOS!$A$3:$A$1048576,"&lt;&gt;EGRESO*",PAGOS!$D$3:$D$1048576,+MID('11'!B10,6,3)*1)</f>
        <v>600</v>
      </c>
      <c r="O10" s="130">
        <f>E10-N10</f>
        <v>0</v>
      </c>
      <c r="P10" s="130">
        <f>SUMIFS(PAGOS!$H$3:$H$1048576,PAGOS!$A$3:$A$1048576,"&lt;&gt;INGRESO*",PAGOS!$A$3:$A$1048576,"&lt;&gt;EGRESO*",PAGOS!$D$3:$D$1048576,+MID('11'!B10,6,3)*1)</f>
        <v>144</v>
      </c>
      <c r="Q10" s="130">
        <f>K10-P10</f>
        <v>0</v>
      </c>
    </row>
    <row r="16" spans="1:17" x14ac:dyDescent="0.3">
      <c r="I16"/>
    </row>
    <row r="17" spans="9:9" x14ac:dyDescent="0.3"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17"/>
  <sheetViews>
    <sheetView zoomScaleNormal="100" workbookViewId="0">
      <selection activeCell="A15" sqref="A15"/>
    </sheetView>
  </sheetViews>
  <sheetFormatPr baseColWidth="10" defaultColWidth="11.5546875" defaultRowHeight="14.4" x14ac:dyDescent="0.3"/>
  <cols>
    <col min="1" max="1" width="14.33203125" bestFit="1" customWidth="1"/>
    <col min="2" max="2" width="12" style="19" bestFit="1" customWidth="1"/>
    <col min="3" max="3" width="34.33203125" bestFit="1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79" bestFit="1" customWidth="1"/>
    <col min="8" max="8" width="7.6640625" style="179" bestFit="1" customWidth="1"/>
    <col min="9" max="9" width="8.33203125" style="180" bestFit="1" customWidth="1"/>
    <col min="10" max="10" width="8.44140625" style="179" bestFit="1" customWidth="1"/>
    <col min="11" max="12" width="11.6640625" style="17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188</v>
      </c>
      <c r="D2" s="167" t="s">
        <v>194</v>
      </c>
      <c r="E2" s="168"/>
      <c r="F2" s="168"/>
      <c r="G2" s="168"/>
      <c r="H2" s="168"/>
      <c r="I2" s="168"/>
      <c r="J2" s="168"/>
      <c r="K2" s="169"/>
      <c r="L2"/>
    </row>
    <row r="3" spans="1:17" x14ac:dyDescent="0.3">
      <c r="D3" s="152" t="s">
        <v>189</v>
      </c>
      <c r="E3" s="172"/>
      <c r="F3" s="152" t="s">
        <v>190</v>
      </c>
      <c r="G3" s="170">
        <f>SUM(E7:E1048576)</f>
        <v>1820</v>
      </c>
      <c r="H3" s="152" t="s">
        <v>191</v>
      </c>
      <c r="I3" s="170">
        <f>SUM($P$7:$P$1048576)</f>
        <v>169.4</v>
      </c>
      <c r="J3" s="152" t="s">
        <v>192</v>
      </c>
      <c r="K3" s="171">
        <f>G3+I3</f>
        <v>1989.4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14" t="s">
        <v>47</v>
      </c>
      <c r="G5" s="14" t="s">
        <v>49</v>
      </c>
      <c r="H5" s="15" t="s">
        <v>11</v>
      </c>
      <c r="I5"/>
      <c r="J5"/>
      <c r="K5"/>
      <c r="L5"/>
      <c r="N5" s="96" t="s">
        <v>283</v>
      </c>
      <c r="O5" s="97"/>
      <c r="P5" s="97"/>
      <c r="Q5" s="97"/>
    </row>
    <row r="6" spans="1:17" x14ac:dyDescent="0.3">
      <c r="A6" s="16" t="s">
        <v>48</v>
      </c>
      <c r="B6" s="173" t="s">
        <v>193</v>
      </c>
      <c r="C6" s="17" t="s">
        <v>13</v>
      </c>
      <c r="D6" s="17" t="s">
        <v>50</v>
      </c>
      <c r="E6" s="17" t="s">
        <v>59</v>
      </c>
      <c r="F6" s="17" t="s">
        <v>60</v>
      </c>
      <c r="G6" s="17" t="s">
        <v>51</v>
      </c>
      <c r="H6" s="17" t="s">
        <v>34</v>
      </c>
      <c r="I6" s="31" t="s">
        <v>61</v>
      </c>
      <c r="J6" s="17" t="s">
        <v>62</v>
      </c>
      <c r="K6" s="18" t="s">
        <v>54</v>
      </c>
      <c r="L6" s="32" t="s">
        <v>46</v>
      </c>
      <c r="N6" s="32" t="s">
        <v>280</v>
      </c>
      <c r="O6" s="32" t="s">
        <v>281</v>
      </c>
      <c r="P6" s="32" t="s">
        <v>282</v>
      </c>
      <c r="Q6" s="32" t="s">
        <v>281</v>
      </c>
    </row>
    <row r="7" spans="1:17" x14ac:dyDescent="0.3">
      <c r="A7" s="59" t="str" cm="1">
        <f t="array" ref="A7:A15">"000"&amp;_xlfn.SEQUENCE(COUNTA(C7:C1048576))</f>
        <v>0001</v>
      </c>
      <c r="B7" s="181">
        <v>4</v>
      </c>
      <c r="C7" s="59" t="s">
        <v>25</v>
      </c>
      <c r="D7" s="55">
        <v>44910</v>
      </c>
      <c r="E7" s="182">
        <v>200</v>
      </c>
      <c r="F7" s="59">
        <v>2</v>
      </c>
      <c r="G7" s="20">
        <v>100</v>
      </c>
      <c r="H7" s="20">
        <v>4</v>
      </c>
      <c r="I7" s="237">
        <v>104</v>
      </c>
      <c r="J7" s="20">
        <v>200</v>
      </c>
      <c r="K7" s="20">
        <v>8</v>
      </c>
      <c r="L7" s="20">
        <v>208</v>
      </c>
      <c r="N7" s="130">
        <f>SUMIFS(PAGOS!$E$3:$E$1048576,PAGOS!$A$3:$A$1048576,"&lt;&gt;INGRESO*",PAGOS!$A$3:$A$1048576,"&lt;&gt;EGRESO*",PAGOS!$D$3:$D$1048576,B7)</f>
        <v>200</v>
      </c>
      <c r="O7" s="130">
        <f t="shared" ref="O7:O15" si="0">E7-N7</f>
        <v>0</v>
      </c>
      <c r="P7" s="130">
        <f>SUMIFS(PAGOS!$H$3:$H$1048576,PAGOS!$A$3:$A$1048576,"&lt;&gt;INGRESO*",PAGOS!$A$3:$A$1048576,"&lt;&gt;EGRESO*",PAGOS!$D$3:$D$1048576,B7)</f>
        <v>8</v>
      </c>
      <c r="Q7" s="130">
        <f t="shared" ref="Q7:Q15" si="1">K7-P7</f>
        <v>0</v>
      </c>
    </row>
    <row r="8" spans="1:17" x14ac:dyDescent="0.3">
      <c r="A8" s="59" t="str">
        <v>0002</v>
      </c>
      <c r="B8" s="181">
        <v>29</v>
      </c>
      <c r="C8" s="59" t="s">
        <v>25</v>
      </c>
      <c r="D8" s="55">
        <v>45214</v>
      </c>
      <c r="E8" s="182">
        <v>200</v>
      </c>
      <c r="F8" s="59">
        <v>4</v>
      </c>
      <c r="G8" s="20">
        <v>50</v>
      </c>
      <c r="H8" s="20">
        <v>4</v>
      </c>
      <c r="I8" s="237">
        <v>54</v>
      </c>
      <c r="J8" s="20">
        <v>200</v>
      </c>
      <c r="K8" s="20">
        <v>16</v>
      </c>
      <c r="L8" s="20">
        <v>216</v>
      </c>
      <c r="N8" s="130">
        <f>SUMIFS(PAGOS!$E$3:$E$1048576,PAGOS!$A$3:$A$1048576,"&lt;&gt;INGRESO*",PAGOS!$A$3:$A$1048576,"&lt;&gt;EGRESO*",PAGOS!$D$3:$D$1048576,B8)</f>
        <v>200</v>
      </c>
      <c r="O8" s="130">
        <f t="shared" si="0"/>
        <v>0</v>
      </c>
      <c r="P8" s="130">
        <f>SUMIFS(PAGOS!$H$3:$H$1048576,PAGOS!$A$3:$A$1048576,"&lt;&gt;INGRESO*",PAGOS!$A$3:$A$1048576,"&lt;&gt;EGRESO*",PAGOS!$D$3:$D$1048576,B8)</f>
        <v>16</v>
      </c>
      <c r="Q8" s="130">
        <f t="shared" si="1"/>
        <v>0</v>
      </c>
    </row>
    <row r="9" spans="1:17" x14ac:dyDescent="0.3">
      <c r="A9" s="59" t="str">
        <v>0003</v>
      </c>
      <c r="B9" s="53" t="s">
        <v>218</v>
      </c>
      <c r="C9" s="59" t="s">
        <v>25</v>
      </c>
      <c r="D9" s="55">
        <v>45397</v>
      </c>
      <c r="E9" s="197">
        <v>150</v>
      </c>
      <c r="F9" s="59">
        <v>3</v>
      </c>
      <c r="G9" s="20">
        <v>50</v>
      </c>
      <c r="H9" s="20">
        <v>3</v>
      </c>
      <c r="I9" s="237">
        <v>53</v>
      </c>
      <c r="J9" s="20">
        <v>150</v>
      </c>
      <c r="K9" s="20">
        <v>9</v>
      </c>
      <c r="L9" s="20">
        <v>159</v>
      </c>
      <c r="N9" s="130">
        <f>SUMIFS(PAGOS!$E$3:$E$1048576,PAGOS!$A$3:$A$1048576,"&lt;&gt;INGRESO*",PAGOS!$A$3:$A$1048576,"&lt;&gt;EGRESO*",PAGOS!$D$3:$D$1048576,+MID('12'!B9,6,3)*1)</f>
        <v>150</v>
      </c>
      <c r="O9" s="130">
        <f t="shared" si="0"/>
        <v>0</v>
      </c>
      <c r="P9" s="130">
        <f>SUMIFS(PAGOS!$H$3:$H$1048576,PAGOS!$A$3:$A$1048576,"&lt;&gt;INGRESO*",PAGOS!$A$3:$A$1048576,"&lt;&gt;EGRESO*",PAGOS!$D$3:$D$1048576,+MID('12'!B9,6,3)*1)</f>
        <v>9</v>
      </c>
      <c r="Q9" s="130">
        <f t="shared" si="1"/>
        <v>0</v>
      </c>
    </row>
    <row r="10" spans="1:17" x14ac:dyDescent="0.3">
      <c r="A10" s="59" t="str">
        <v>0004</v>
      </c>
      <c r="B10" s="53" t="s">
        <v>241</v>
      </c>
      <c r="C10" s="59" t="s">
        <v>25</v>
      </c>
      <c r="D10" s="55">
        <v>45488</v>
      </c>
      <c r="E10" s="197">
        <v>500</v>
      </c>
      <c r="F10" s="59">
        <v>12</v>
      </c>
      <c r="G10" s="20">
        <v>41.666666666666664</v>
      </c>
      <c r="H10" s="20">
        <v>10</v>
      </c>
      <c r="I10" s="237">
        <v>51.666666666666664</v>
      </c>
      <c r="J10" s="20">
        <v>500</v>
      </c>
      <c r="K10" s="20">
        <v>120</v>
      </c>
      <c r="L10" s="20">
        <v>620</v>
      </c>
      <c r="N10" s="130">
        <f>SUMIFS(PAGOS!$E$3:$E$1048576,PAGOS!$A$3:$A$1048576,"&lt;&gt;INGRESO*",PAGOS!$A$3:$A$1048576,"&lt;&gt;EGRESO*",PAGOS!$D$3:$D$1048576,+MID('12'!B10,6,3)*1)</f>
        <v>500.04000000000013</v>
      </c>
      <c r="O10" s="130">
        <f t="shared" si="0"/>
        <v>-4.000000000013415E-2</v>
      </c>
      <c r="P10" s="130">
        <f>SUMIFS(PAGOS!$H$3:$H$1048576,PAGOS!$A$3:$A$1048576,"&lt;&gt;INGRESO*",PAGOS!$A$3:$A$1048576,"&lt;&gt;EGRESO*",PAGOS!$D$3:$D$1048576,+MID('12'!B10,6,3)*1)</f>
        <v>120</v>
      </c>
      <c r="Q10" s="130">
        <f t="shared" si="1"/>
        <v>0</v>
      </c>
    </row>
    <row r="11" spans="1:17" x14ac:dyDescent="0.3">
      <c r="A11" s="59" t="str">
        <v>0005</v>
      </c>
      <c r="B11" s="59" t="s">
        <v>334</v>
      </c>
      <c r="C11" s="59" t="s">
        <v>333</v>
      </c>
      <c r="D11" s="55">
        <v>45643</v>
      </c>
      <c r="E11" s="197">
        <v>80</v>
      </c>
      <c r="F11" s="59">
        <v>1</v>
      </c>
      <c r="G11" s="20">
        <v>80</v>
      </c>
      <c r="H11" s="20">
        <v>1.6</v>
      </c>
      <c r="I11" s="237">
        <v>81.599999999999994</v>
      </c>
      <c r="J11" s="20">
        <v>80</v>
      </c>
      <c r="K11" s="20">
        <v>1.6</v>
      </c>
      <c r="L11" s="20">
        <v>81.599999999999994</v>
      </c>
      <c r="N11" s="130">
        <f>SUMIFS(PAGOS!$E$3:$E$1048576,PAGOS!$A$3:$A$1048576,"&lt;&gt;INGRESO*",PAGOS!$A$3:$A$1048576,"&lt;&gt;EGRESO*",PAGOS!$D$3:$D$1048576,+MID('12'!B11,6,3)*1)</f>
        <v>80</v>
      </c>
      <c r="O11" s="130">
        <f t="shared" si="0"/>
        <v>0</v>
      </c>
      <c r="P11" s="130">
        <f>SUMIFS(PAGOS!$H$3:$H$1048576,PAGOS!$A$3:$A$1048576,"&lt;&gt;INGRESO*",PAGOS!$A$3:$A$1048576,"&lt;&gt;EGRESO*",PAGOS!$D$3:$D$1048576,+MID('12'!B11,6,3)*1)</f>
        <v>1.6</v>
      </c>
      <c r="Q11" s="130">
        <f t="shared" si="1"/>
        <v>0</v>
      </c>
    </row>
    <row r="12" spans="1:17" x14ac:dyDescent="0.3">
      <c r="A12" s="59" t="str">
        <v>0006</v>
      </c>
      <c r="B12" s="53" t="s">
        <v>354</v>
      </c>
      <c r="C12" s="59" t="s">
        <v>353</v>
      </c>
      <c r="D12" s="55">
        <v>45676</v>
      </c>
      <c r="E12" s="197">
        <v>150</v>
      </c>
      <c r="F12" s="59">
        <v>2</v>
      </c>
      <c r="G12" s="20">
        <v>75</v>
      </c>
      <c r="H12" s="20">
        <v>3</v>
      </c>
      <c r="I12" s="237">
        <v>78</v>
      </c>
      <c r="J12" s="20">
        <v>150</v>
      </c>
      <c r="K12" s="20">
        <v>6</v>
      </c>
      <c r="L12" s="20">
        <v>156</v>
      </c>
      <c r="N12" s="130">
        <f>SUMIFS(PAGOS!$E$3:$E$1048576,PAGOS!$A$3:$A$1048576,"&lt;&gt;INGRESO*",PAGOS!$A$3:$A$1048576,"&lt;&gt;EGRESO*",PAGOS!$D$3:$D$1048576,+MID('12'!B12,6,3)*1)</f>
        <v>150</v>
      </c>
      <c r="O12" s="130">
        <f t="shared" si="0"/>
        <v>0</v>
      </c>
      <c r="P12" s="130">
        <f>SUMIFS(PAGOS!$H$3:$H$1048576,PAGOS!$A$3:$A$1048576,"&lt;&gt;INGRESO*",PAGOS!$A$3:$A$1048576,"&lt;&gt;EGRESO*",PAGOS!$D$3:$D$1048576,+MID('12'!B12,6,3)*1)</f>
        <v>6</v>
      </c>
      <c r="Q12" s="130">
        <f t="shared" si="1"/>
        <v>0</v>
      </c>
    </row>
    <row r="13" spans="1:17" x14ac:dyDescent="0.3">
      <c r="A13" s="59" t="str">
        <v>0007</v>
      </c>
      <c r="B13" s="53" t="s">
        <v>371</v>
      </c>
      <c r="C13" s="59" t="s">
        <v>370</v>
      </c>
      <c r="D13" s="55">
        <v>45707</v>
      </c>
      <c r="E13" s="197">
        <v>400</v>
      </c>
      <c r="F13" s="59">
        <v>1</v>
      </c>
      <c r="G13" s="20">
        <v>400</v>
      </c>
      <c r="H13" s="20">
        <v>8</v>
      </c>
      <c r="I13" s="237">
        <v>408</v>
      </c>
      <c r="J13" s="20">
        <v>400</v>
      </c>
      <c r="K13" s="20">
        <v>8</v>
      </c>
      <c r="L13" s="20">
        <v>408</v>
      </c>
      <c r="N13" s="130">
        <f>SUMIFS(PAGOS!$E$3:$E$1048576,PAGOS!$A$3:$A$1048576,"&lt;&gt;INGRESO*",PAGOS!$A$3:$A$1048576,"&lt;&gt;EGRESO*",PAGOS!$D$3:$D$1048576,+MID('12'!B13,6,3)*1)</f>
        <v>400</v>
      </c>
      <c r="O13" s="130">
        <f t="shared" si="0"/>
        <v>0</v>
      </c>
      <c r="P13" s="130">
        <f>SUMIFS(PAGOS!$H$3:$H$1048576,PAGOS!$A$3:$A$1048576,"&lt;&gt;INGRESO*",PAGOS!$A$3:$A$1048576,"&lt;&gt;EGRESO*",PAGOS!$D$3:$D$1048576,+MID('12'!B13,6,3)*1)</f>
        <v>8</v>
      </c>
      <c r="Q13" s="130">
        <f t="shared" si="1"/>
        <v>0</v>
      </c>
    </row>
    <row r="14" spans="1:17" x14ac:dyDescent="0.3">
      <c r="A14" s="59" t="str">
        <v>0008</v>
      </c>
      <c r="B14" s="53" t="s">
        <v>429</v>
      </c>
      <c r="C14" s="59" t="s">
        <v>333</v>
      </c>
      <c r="D14" s="55">
        <v>45792</v>
      </c>
      <c r="E14" s="197">
        <v>40</v>
      </c>
      <c r="F14" s="59">
        <v>1</v>
      </c>
      <c r="G14" s="20">
        <v>40</v>
      </c>
      <c r="H14" s="20">
        <v>0.8</v>
      </c>
      <c r="I14" s="237">
        <v>40.799999999999997</v>
      </c>
      <c r="J14" s="20">
        <v>40</v>
      </c>
      <c r="K14" s="20">
        <v>0.8</v>
      </c>
      <c r="L14" s="20">
        <v>40.799999999999997</v>
      </c>
      <c r="N14" s="130">
        <f>SUMIFS(PAGOS!$E$3:$E$1048576,PAGOS!$A$3:$A$1048576,"&lt;&gt;INGRESO*",PAGOS!$A$3:$A$1048576,"&lt;&gt;EGRESO*",PAGOS!$D$3:$D$1048576,+MID('12'!B14,6,3)*1)</f>
        <v>40</v>
      </c>
      <c r="O14" s="130">
        <f t="shared" si="0"/>
        <v>0</v>
      </c>
      <c r="P14" s="130">
        <f>SUMIFS(PAGOS!$H$3:$H$1048576,PAGOS!$A$3:$A$1048576,"&lt;&gt;INGRESO*",PAGOS!$A$3:$A$1048576,"&lt;&gt;EGRESO*",PAGOS!$D$3:$D$1048576,+MID('12'!B14,6,3)*1)</f>
        <v>0.8</v>
      </c>
      <c r="Q14" s="130">
        <f t="shared" si="1"/>
        <v>0</v>
      </c>
    </row>
    <row r="15" spans="1:17" x14ac:dyDescent="0.3">
      <c r="A15" s="59" t="str">
        <v>0009</v>
      </c>
      <c r="B15" s="53" t="s">
        <v>437</v>
      </c>
      <c r="C15" s="59" t="s">
        <v>435</v>
      </c>
      <c r="D15" s="55">
        <v>45855</v>
      </c>
      <c r="E15" s="197">
        <v>100</v>
      </c>
      <c r="F15" s="59">
        <v>1</v>
      </c>
      <c r="G15" s="20">
        <v>100</v>
      </c>
      <c r="H15" s="20">
        <v>2</v>
      </c>
      <c r="I15" s="237">
        <v>102</v>
      </c>
      <c r="J15" s="20">
        <v>100</v>
      </c>
      <c r="K15" s="20">
        <v>2</v>
      </c>
      <c r="L15" s="20">
        <v>102</v>
      </c>
      <c r="N15" s="130">
        <f>SUMIFS(PAGOS!$E$3:$E$1048576,PAGOS!$A$3:$A$1048576,"&lt;&gt;INGRESO*",PAGOS!$A$3:$A$1048576,"&lt;&gt;EGRESO*",PAGOS!$D$3:$D$1048576,+MID('12'!B15,6,3)*1)</f>
        <v>0</v>
      </c>
      <c r="O15" s="130">
        <f t="shared" si="0"/>
        <v>100</v>
      </c>
      <c r="P15" s="130">
        <f>SUMIFS(PAGOS!$H$3:$H$1048576,PAGOS!$A$3:$A$1048576,"&lt;&gt;INGRESO*",PAGOS!$A$3:$A$1048576,"&lt;&gt;EGRESO*",PAGOS!$D$3:$D$1048576,+MID('12'!B15,6,3)*1)</f>
        <v>0</v>
      </c>
      <c r="Q15" s="130">
        <f t="shared" si="1"/>
        <v>2</v>
      </c>
    </row>
    <row r="16" spans="1:17" x14ac:dyDescent="0.3">
      <c r="I16" s="179"/>
    </row>
    <row r="17" spans="9:9" x14ac:dyDescent="0.3">
      <c r="I17" s="179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8" fitToHeight="0" orientation="landscape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8"/>
  <sheetViews>
    <sheetView zoomScaleNormal="100" workbookViewId="0">
      <selection activeCell="C13" sqref="C13"/>
    </sheetView>
  </sheetViews>
  <sheetFormatPr baseColWidth="10" defaultColWidth="11.5546875" defaultRowHeight="14.4" x14ac:dyDescent="0.3"/>
  <cols>
    <col min="1" max="1" width="5" bestFit="1" customWidth="1"/>
    <col min="2" max="2" width="12" style="19" bestFit="1" customWidth="1"/>
    <col min="3" max="3" width="18.6640625" customWidth="1"/>
    <col min="4" max="4" width="11.109375" bestFit="1" customWidth="1"/>
    <col min="5" max="5" width="11.33203125" customWidth="1"/>
    <col min="6" max="6" width="9.33203125" bestFit="1" customWidth="1"/>
    <col min="7" max="7" width="10.109375" bestFit="1" customWidth="1"/>
    <col min="8" max="8" width="7.88671875" bestFit="1" customWidth="1"/>
    <col min="9" max="9" width="8.33203125" style="149" customWidth="1"/>
    <col min="10" max="10" width="13.6640625" bestFit="1" customWidth="1"/>
    <col min="11" max="12" width="11.109375" bestFit="1" customWidth="1"/>
    <col min="14" max="17" width="11.109375" bestFit="1" customWidth="1"/>
  </cols>
  <sheetData>
    <row r="1" spans="1:17" x14ac:dyDescent="0.3">
      <c r="I1"/>
    </row>
    <row r="2" spans="1:17" x14ac:dyDescent="0.3">
      <c r="A2" t="s">
        <v>188</v>
      </c>
      <c r="D2" s="167" t="s">
        <v>194</v>
      </c>
      <c r="E2" s="168"/>
      <c r="F2" s="168"/>
      <c r="G2" s="168"/>
      <c r="H2" s="168"/>
      <c r="I2" s="168"/>
      <c r="J2" s="168"/>
      <c r="K2" s="169"/>
    </row>
    <row r="3" spans="1:17" x14ac:dyDescent="0.3">
      <c r="D3" s="152" t="s">
        <v>189</v>
      </c>
      <c r="E3" s="172"/>
      <c r="F3" s="152" t="s">
        <v>190</v>
      </c>
      <c r="G3" s="170">
        <f>SUM(E7:E1048576)</f>
        <v>2080</v>
      </c>
      <c r="H3" s="152" t="s">
        <v>191</v>
      </c>
      <c r="I3" s="170">
        <f>SUM($P$7:$P$1048576)</f>
        <v>241.6</v>
      </c>
      <c r="J3" s="152" t="s">
        <v>192</v>
      </c>
      <c r="K3" s="171">
        <f>G3+I3</f>
        <v>2321.6</v>
      </c>
    </row>
    <row r="4" spans="1:17" x14ac:dyDescent="0.3">
      <c r="I4"/>
    </row>
    <row r="5" spans="1:17" x14ac:dyDescent="0.3">
      <c r="C5" s="14" t="s">
        <v>47</v>
      </c>
      <c r="G5" s="14" t="s">
        <v>49</v>
      </c>
      <c r="H5" s="15" t="s">
        <v>12</v>
      </c>
      <c r="I5"/>
      <c r="N5" s="96" t="s">
        <v>283</v>
      </c>
      <c r="O5" s="97"/>
      <c r="P5" s="97"/>
      <c r="Q5" s="97"/>
    </row>
    <row r="6" spans="1:17" x14ac:dyDescent="0.3">
      <c r="A6" s="16" t="s">
        <v>48</v>
      </c>
      <c r="B6" s="173" t="s">
        <v>193</v>
      </c>
      <c r="C6" s="17" t="s">
        <v>13</v>
      </c>
      <c r="D6" s="17" t="s">
        <v>50</v>
      </c>
      <c r="E6" s="17" t="s">
        <v>59</v>
      </c>
      <c r="F6" s="17" t="s">
        <v>60</v>
      </c>
      <c r="G6" s="17" t="s">
        <v>51</v>
      </c>
      <c r="H6" s="17" t="s">
        <v>34</v>
      </c>
      <c r="I6" s="31" t="s">
        <v>61</v>
      </c>
      <c r="J6" s="17" t="s">
        <v>62</v>
      </c>
      <c r="K6" s="18" t="s">
        <v>54</v>
      </c>
      <c r="L6" s="32" t="s">
        <v>46</v>
      </c>
      <c r="N6" s="32" t="s">
        <v>280</v>
      </c>
      <c r="O6" s="32" t="s">
        <v>281</v>
      </c>
      <c r="P6" s="32" t="s">
        <v>282</v>
      </c>
      <c r="Q6" s="32" t="s">
        <v>281</v>
      </c>
    </row>
    <row r="7" spans="1:17" x14ac:dyDescent="0.3">
      <c r="A7" s="59" t="str" cm="1">
        <f t="array" ref="A7:A10">"000"&amp;_xlfn.SEQUENCE(COUNTA(C7:C1048576))</f>
        <v>0001</v>
      </c>
      <c r="B7" s="181">
        <v>14</v>
      </c>
      <c r="C7" s="59" t="s">
        <v>26</v>
      </c>
      <c r="D7" s="55">
        <v>45000</v>
      </c>
      <c r="E7" s="182">
        <v>80</v>
      </c>
      <c r="F7" s="59">
        <v>1</v>
      </c>
      <c r="G7" s="182">
        <v>80</v>
      </c>
      <c r="H7" s="182">
        <v>1.6</v>
      </c>
      <c r="I7" s="183">
        <v>81.599999999999994</v>
      </c>
      <c r="J7" s="182">
        <v>80</v>
      </c>
      <c r="K7" s="182">
        <v>1.6</v>
      </c>
      <c r="L7" s="182">
        <v>81.599999999999994</v>
      </c>
      <c r="N7" s="130">
        <f>SUMIFS(PAGOS!$E$3:$E$1048576,PAGOS!$A$3:$A$1048576,"&lt;&gt;INGRESO*",PAGOS!$A$3:$A$1048576,"&lt;&gt;EGRESO*",PAGOS!$D$3:$D$1048576,B7)</f>
        <v>80</v>
      </c>
      <c r="O7" s="130">
        <f>E7-N7</f>
        <v>0</v>
      </c>
      <c r="P7" s="130">
        <f>SUMIFS(PAGOS!$H$3:$H$1048576,PAGOS!$A$3:$A$1048576,"&lt;&gt;INGRESO*",PAGOS!$A$3:$A$1048576,"&lt;&gt;EGRESO*",PAGOS!$D$3:$D$1048576,B7)</f>
        <v>1.6</v>
      </c>
      <c r="Q7" s="130">
        <f>K7-P7</f>
        <v>0</v>
      </c>
    </row>
    <row r="8" spans="1:17" x14ac:dyDescent="0.3">
      <c r="A8" s="59" t="str">
        <v>0002</v>
      </c>
      <c r="B8" s="181">
        <v>25</v>
      </c>
      <c r="C8" s="59" t="s">
        <v>26</v>
      </c>
      <c r="D8" s="55">
        <v>45184</v>
      </c>
      <c r="E8" s="182">
        <v>500</v>
      </c>
      <c r="F8" s="59">
        <v>6</v>
      </c>
      <c r="G8" s="182">
        <v>83.333333333333329</v>
      </c>
      <c r="H8" s="182">
        <v>10</v>
      </c>
      <c r="I8" s="183">
        <v>93.333333333333329</v>
      </c>
      <c r="J8" s="182">
        <v>500</v>
      </c>
      <c r="K8" s="182">
        <v>60</v>
      </c>
      <c r="L8" s="182">
        <v>560</v>
      </c>
      <c r="N8" s="130">
        <f>SUMIFS(PAGOS!$E$3:$E$1048576,PAGOS!$A$3:$A$1048576,"&lt;&gt;INGRESO*",PAGOS!$A$3:$A$1048576,"&lt;&gt;EGRESO*",PAGOS!$D$3:$D$1048576,B8)</f>
        <v>0</v>
      </c>
      <c r="O8" s="130">
        <f>E8-N8</f>
        <v>500</v>
      </c>
      <c r="P8" s="130">
        <f>SUMIFS(PAGOS!$H$3:$H$1048576,PAGOS!$A$3:$A$1048576,"&lt;&gt;INGRESO*",PAGOS!$A$3:$A$1048576,"&lt;&gt;EGRESO*",PAGOS!$D$3:$D$1048576,B8)</f>
        <v>60</v>
      </c>
      <c r="Q8" s="130">
        <f>K8-P8</f>
        <v>0</v>
      </c>
    </row>
    <row r="9" spans="1:17" x14ac:dyDescent="0.3">
      <c r="A9" s="59" t="str">
        <v>0003</v>
      </c>
      <c r="B9" s="53" t="s">
        <v>240</v>
      </c>
      <c r="C9" s="59" t="s">
        <v>26</v>
      </c>
      <c r="D9" s="55">
        <v>45488</v>
      </c>
      <c r="E9" s="197">
        <v>500</v>
      </c>
      <c r="F9" s="59">
        <v>5</v>
      </c>
      <c r="G9" s="182">
        <v>100</v>
      </c>
      <c r="H9" s="182">
        <v>10</v>
      </c>
      <c r="I9" s="183">
        <v>110</v>
      </c>
      <c r="J9" s="182">
        <v>500</v>
      </c>
      <c r="K9" s="182">
        <v>50</v>
      </c>
      <c r="L9" s="182">
        <v>550</v>
      </c>
      <c r="N9" s="130">
        <f>SUMIFS(PAGOS!$E$3:$E$1048576,PAGOS!$A$3:$A$1048576,"&lt;&gt;INGRESO*",PAGOS!$A$3:$A$1048576,"&lt;&gt;EGRESO*",PAGOS!$D$3:$D$1048576,+MID('13'!B9,6,3)*1)</f>
        <v>400</v>
      </c>
      <c r="O9" s="130">
        <f>E9-N9</f>
        <v>100</v>
      </c>
      <c r="P9" s="130">
        <f>SUMIFS(PAGOS!$H$3:$H$1048576,PAGOS!$A$3:$A$1048576,"&lt;&gt;INGRESO*",PAGOS!$A$3:$A$1048576,"&lt;&gt;EGRESO*",PAGOS!$D$3:$D$1048576,+MID('13'!B9,6,3)*1)</f>
        <v>40</v>
      </c>
      <c r="Q9" s="130">
        <f>K9-P9</f>
        <v>10</v>
      </c>
    </row>
    <row r="10" spans="1:17" x14ac:dyDescent="0.3">
      <c r="A10" s="59" t="str">
        <v>0004</v>
      </c>
      <c r="B10" s="53" t="s">
        <v>326</v>
      </c>
      <c r="C10" s="59" t="s">
        <v>26</v>
      </c>
      <c r="D10" s="55">
        <v>45641</v>
      </c>
      <c r="E10" s="197">
        <v>1000</v>
      </c>
      <c r="F10" s="59">
        <v>10</v>
      </c>
      <c r="G10" s="182">
        <v>100</v>
      </c>
      <c r="H10" s="182">
        <v>20</v>
      </c>
      <c r="I10" s="183">
        <v>120</v>
      </c>
      <c r="J10" s="182">
        <v>1000</v>
      </c>
      <c r="K10" s="182">
        <v>200</v>
      </c>
      <c r="L10" s="182">
        <v>1200</v>
      </c>
      <c r="N10" s="130">
        <f>SUMIFS(PAGOS!$E$3:$E$1048576,PAGOS!$A$3:$A$1048576,"&lt;&gt;INGRESO*",PAGOS!$A$3:$A$1048576,"&lt;&gt;EGRESO*",PAGOS!$D$3:$D$1048576,+MID('13'!B10,6,3)*1)</f>
        <v>700</v>
      </c>
      <c r="O10" s="130">
        <f>E10-N10</f>
        <v>300</v>
      </c>
      <c r="P10" s="130">
        <f>SUMIFS(PAGOS!$H$3:$H$1048576,PAGOS!$A$3:$A$1048576,"&lt;&gt;INGRESO*",PAGOS!$A$3:$A$1048576,"&lt;&gt;EGRESO*",PAGOS!$D$3:$D$1048576,+MID('13'!B10,6,3)*1)</f>
        <v>140</v>
      </c>
      <c r="Q10" s="130">
        <f>K10-P10</f>
        <v>60</v>
      </c>
    </row>
    <row r="12" spans="1:17" x14ac:dyDescent="0.3">
      <c r="I12"/>
    </row>
    <row r="13" spans="1:17" x14ac:dyDescent="0.3">
      <c r="I13"/>
    </row>
    <row r="14" spans="1:17" x14ac:dyDescent="0.3">
      <c r="I14"/>
    </row>
    <row r="16" spans="1:17" x14ac:dyDescent="0.3">
      <c r="I16"/>
    </row>
    <row r="17" spans="9:9" x14ac:dyDescent="0.3">
      <c r="I17"/>
    </row>
    <row r="27" spans="9:9" x14ac:dyDescent="0.3">
      <c r="I27"/>
    </row>
    <row r="28" spans="9:9" x14ac:dyDescent="0.3">
      <c r="I28"/>
    </row>
  </sheetData>
  <pageMargins left="0.7" right="0.7" top="0.75" bottom="0.75" header="0.3" footer="0.3"/>
  <pageSetup paperSize="9" scale="95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29</vt:i4>
      </vt:variant>
      <vt:variant>
        <vt:lpstr>Rangos con nombre</vt:lpstr>
      </vt:variant>
      <vt:variant>
        <vt:i4>23</vt:i4>
      </vt:variant>
    </vt:vector>
  </HeadingPairs>
  <TitlesOfParts>
    <vt:vector size="52" baseType="lpstr">
      <vt:lpstr>LINEAMIENTOS</vt:lpstr>
      <vt:lpstr>SOCIOS</vt:lpstr>
      <vt:lpstr>REGISTRO</vt:lpstr>
      <vt:lpstr>PRESTAMOS</vt:lpstr>
      <vt:lpstr>PAGOS</vt:lpstr>
      <vt:lpstr>CAJA</vt:lpstr>
      <vt:lpstr>ESTADO</vt:lpstr>
      <vt:lpstr>REPORTE</vt:lpstr>
      <vt:lpstr>HISTORIAL E.R</vt:lpstr>
      <vt:lpstr>HISTORIAL E.R (2)</vt:lpstr>
      <vt:lpstr>14</vt:lpstr>
      <vt:lpstr>15</vt:lpstr>
      <vt:lpstr>16</vt:lpstr>
      <vt:lpstr>17</vt:lpstr>
      <vt:lpstr>Tabla Amortización</vt:lpstr>
      <vt:lpstr>Hoja2</vt:lpstr>
      <vt:lpstr>01</vt:lpstr>
      <vt:lpstr>02</vt:lpstr>
      <vt:lpstr>03</vt:lpstr>
      <vt:lpstr>04</vt:lpstr>
      <vt:lpstr>05</vt:lpstr>
      <vt:lpstr>06</vt:lpstr>
      <vt:lpstr>07</vt:lpstr>
      <vt:lpstr>08</vt:lpstr>
      <vt:lpstr>09</vt:lpstr>
      <vt:lpstr>10</vt:lpstr>
      <vt:lpstr>11</vt:lpstr>
      <vt:lpstr>12</vt:lpstr>
      <vt:lpstr>13</vt:lpstr>
      <vt:lpstr>'01'!Área_de_impresión</vt:lpstr>
      <vt:lpstr>'02'!Área_de_impresión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PRESTAMOS!Área_de_impresión</vt:lpstr>
      <vt:lpstr>'Tabla Amortización'!Área_de_impresión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2025-07-23T01:24:44Z</cp:lastPrinted>
  <dcterms:created xsi:type="dcterms:W3CDTF">2023-09-09T22:17:43Z</dcterms:created>
  <dcterms:modified xsi:type="dcterms:W3CDTF">2025-07-28T01:52:51Z</dcterms:modified>
</cp:coreProperties>
</file>