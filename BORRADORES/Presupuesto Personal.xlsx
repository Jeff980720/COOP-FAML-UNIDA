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srae\Documents\COOP-FAML-UNIDA\"/>
    </mc:Choice>
  </mc:AlternateContent>
  <xr:revisionPtr revIDLastSave="0" documentId="13_ncr:1_{3B62A738-43EF-4D06-9AEE-891308A504C5}" xr6:coauthVersionLast="47" xr6:coauthVersionMax="47" xr10:uidLastSave="{00000000-0000-0000-0000-000000000000}"/>
  <bookViews>
    <workbookView xWindow="-108" yWindow="-108" windowWidth="23256" windowHeight="14616" firstSheet="1" activeTab="2" xr2:uid="{00000000-000D-0000-FFFF-FFFF00000000}"/>
  </bookViews>
  <sheets>
    <sheet name="Listas Validadas" sheetId="3" state="hidden" r:id="rId1"/>
    <sheet name="Registro Ingreso Egreso" sheetId="1" r:id="rId2"/>
    <sheet name="Informe" sheetId="4" r:id="rId3"/>
    <sheet name="Presupuesto Anual" sheetId="2" state="hidden" r:id="rId4"/>
  </sheets>
  <definedNames>
    <definedName name="_xlnm._FilterDatabase" localSheetId="1" hidden="1">'Registro Ingreso Egreso'!$I$2:$K$6</definedName>
    <definedName name="_xlchart.v1.0" hidden="1">'Registro Ingreso Egreso'!$I$3:$I$10</definedName>
    <definedName name="_xlchart.v1.1" hidden="1">'Registro Ingreso Egreso'!$J$3:$J$10</definedName>
    <definedName name="_xlchart.v1.2" hidden="1">'Registro Ingreso Egreso'!$I$3:$I$10</definedName>
    <definedName name="_xlchart.v1.3" hidden="1">'Registro Ingreso Egreso'!$J$3:$J$10</definedName>
    <definedName name="_xlchart.v1.4" hidden="1">'Registro Ingreso Egreso'!$I$3:$I$10</definedName>
    <definedName name="_xlchart.v1.5" hidden="1">'Registro Ingreso Egreso'!$J$3:$J$10</definedName>
    <definedName name="_xlchart.v5.6" hidden="1">'Registro Ingreso Egreso'!$I$3:$I$10</definedName>
    <definedName name="_xlchart.v5.7" hidden="1">'Registro Ingreso Egreso'!$J$3:$J$10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3" i="1"/>
  <c r="K4" i="1"/>
  <c r="K5" i="1"/>
  <c r="K6" i="1"/>
  <c r="K7" i="1"/>
  <c r="K8" i="1"/>
  <c r="K9" i="1"/>
  <c r="K3" i="1"/>
  <c r="K10" i="1" s="1"/>
  <c r="I3" i="1" a="1"/>
  <c r="I3" i="1" s="1"/>
  <c r="T14" i="4"/>
  <c r="T15" i="4"/>
  <c r="T16" i="4"/>
  <c r="T17" i="4"/>
  <c r="S14" i="4"/>
  <c r="S15" i="4"/>
  <c r="S16" i="4"/>
  <c r="S17" i="4"/>
  <c r="T24" i="4"/>
  <c r="T25" i="4"/>
  <c r="S24" i="4"/>
  <c r="S25" i="4"/>
  <c r="S26" i="4"/>
  <c r="P20" i="4"/>
  <c r="P21" i="4"/>
  <c r="P22" i="4"/>
  <c r="P23" i="4"/>
  <c r="P24" i="4"/>
  <c r="P25" i="4"/>
  <c r="O20" i="4"/>
  <c r="O21" i="4"/>
  <c r="O22" i="4"/>
  <c r="O23" i="4"/>
  <c r="O24" i="4"/>
  <c r="L20" i="4"/>
  <c r="L21" i="4"/>
  <c r="L22" i="4"/>
  <c r="L23" i="4"/>
  <c r="L24" i="4"/>
  <c r="K20" i="4"/>
  <c r="K21" i="4"/>
  <c r="K22" i="4"/>
  <c r="K23" i="4"/>
  <c r="K24" i="4"/>
  <c r="K25" i="4"/>
  <c r="B6" i="1"/>
  <c r="J10" i="1" l="1"/>
  <c r="B7" i="1"/>
  <c r="B5" i="1"/>
  <c r="B4" i="1" l="1"/>
  <c r="B9" i="1"/>
  <c r="B8" i="1"/>
  <c r="B3" i="1"/>
  <c r="D7" i="4" l="1"/>
  <c r="P14" i="4"/>
  <c r="P15" i="4"/>
  <c r="O17" i="4"/>
  <c r="L25" i="4"/>
  <c r="R12" i="4" a="1"/>
  <c r="R12" i="4" s="1"/>
  <c r="P16" i="4"/>
  <c r="P17" i="4"/>
  <c r="O19" i="4"/>
  <c r="L27" i="4"/>
  <c r="S13" i="4"/>
  <c r="K17" i="4"/>
  <c r="K18" i="4"/>
  <c r="O27" i="4"/>
  <c r="T26" i="4"/>
  <c r="P27" i="4"/>
  <c r="S23" i="4"/>
  <c r="L18" i="4"/>
  <c r="O15" i="4"/>
  <c r="L19" i="4"/>
  <c r="S27" i="4"/>
  <c r="T13" i="4"/>
  <c r="R22" i="4" a="1"/>
  <c r="R22" i="4" s="1"/>
  <c r="P18" i="4"/>
  <c r="K16" i="4"/>
  <c r="P19" i="4"/>
  <c r="O25" i="4"/>
  <c r="O26" i="4"/>
  <c r="T23" i="4"/>
  <c r="K19" i="4"/>
  <c r="P26" i="4"/>
  <c r="L16" i="4"/>
  <c r="T27" i="4"/>
  <c r="L17" i="4"/>
  <c r="O14" i="4"/>
  <c r="K26" i="4"/>
  <c r="K27" i="4"/>
  <c r="O16" i="4"/>
  <c r="O18" i="4"/>
  <c r="L26" i="4"/>
  <c r="N12" i="4" a="1"/>
  <c r="N12" i="4" s="1"/>
  <c r="J12" i="4" a="1"/>
  <c r="C15" i="4"/>
  <c r="C14" i="4"/>
  <c r="D16" i="4"/>
  <c r="D15" i="4"/>
  <c r="B12" i="4" a="1"/>
  <c r="B12" i="4" s="1"/>
  <c r="D12" i="4" s="1"/>
  <c r="D14" i="4"/>
  <c r="F12" i="4" a="1"/>
  <c r="F12" i="4" s="1"/>
  <c r="H12" i="4" s="1"/>
  <c r="C16" i="4"/>
  <c r="H7" i="4"/>
  <c r="B6" i="4"/>
  <c r="F6" i="4"/>
  <c r="O13" i="4" l="1"/>
  <c r="P13" i="4"/>
  <c r="S12" i="4"/>
  <c r="S18" i="4" s="1"/>
  <c r="T12" i="4"/>
  <c r="T18" i="4" s="1"/>
  <c r="T22" i="4"/>
  <c r="T28" i="4" s="1"/>
  <c r="S22" i="4"/>
  <c r="S28" i="4" s="1"/>
  <c r="K14" i="4"/>
  <c r="K15" i="4"/>
  <c r="L14" i="4"/>
  <c r="L15" i="4"/>
  <c r="G16" i="4"/>
  <c r="H16" i="4"/>
  <c r="H15" i="4"/>
  <c r="G15" i="4"/>
  <c r="O12" i="4"/>
  <c r="P12" i="4"/>
  <c r="J12" i="4"/>
  <c r="K13" i="4"/>
  <c r="L13" i="4"/>
  <c r="H8" i="4"/>
  <c r="H14" i="4"/>
  <c r="G14" i="4"/>
  <c r="H13" i="4"/>
  <c r="C13" i="4"/>
  <c r="G12" i="4"/>
  <c r="D13" i="4"/>
  <c r="D17" i="4" s="1"/>
  <c r="G13" i="4"/>
  <c r="C12" i="4"/>
  <c r="D8" i="4"/>
  <c r="H3" i="4"/>
  <c r="P28" i="4" l="1"/>
  <c r="O28" i="4"/>
  <c r="K12" i="4"/>
  <c r="K28" i="4" s="1"/>
  <c r="L12" i="4"/>
  <c r="L28" i="4" s="1"/>
  <c r="H17" i="4"/>
  <c r="G17" i="4"/>
  <c r="C1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<sst xmlns="http://schemas.openxmlformats.org/spreadsheetml/2006/main" count="113" uniqueCount="50">
  <si>
    <t>Presupuesto</t>
  </si>
  <si>
    <t>Ingresos</t>
  </si>
  <si>
    <t>Sueldo</t>
  </si>
  <si>
    <t>Gastos</t>
  </si>
  <si>
    <t>Mes</t>
  </si>
  <si>
    <t>Ahorro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</si>
  <si>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</si>
  <si>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</si>
  <si>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</si>
  <si>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</si>
  <si>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</si>
  <si>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</si>
  <si>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</si>
  <si>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</si>
  <si>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</si>
  <si>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</si>
  <si>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</si>
  <si>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</si>
  <si>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Fecha </t>
  </si>
  <si>
    <t>Tipo</t>
  </si>
  <si>
    <t>Categoria</t>
  </si>
  <si>
    <t xml:space="preserve">Descripcion </t>
  </si>
  <si>
    <t>Monto</t>
  </si>
  <si>
    <t>Egreso</t>
  </si>
  <si>
    <t>Cat. Ingreso</t>
  </si>
  <si>
    <t>Cat. Egreso</t>
  </si>
  <si>
    <t>Negocios</t>
  </si>
  <si>
    <t>Otros</t>
  </si>
  <si>
    <t>Prestamos</t>
  </si>
  <si>
    <t>Ahorros</t>
  </si>
  <si>
    <t>Ingreso</t>
  </si>
  <si>
    <t xml:space="preserve">Manejo del dinero de Jefferson </t>
  </si>
  <si>
    <t>Selecciona el Mes</t>
  </si>
  <si>
    <t>INGRESOS TOTALES</t>
  </si>
  <si>
    <t>EGRESOS TOTALES</t>
  </si>
  <si>
    <t>Ppto</t>
  </si>
  <si>
    <t>Dif</t>
  </si>
  <si>
    <t>Saldo</t>
  </si>
  <si>
    <t>Resumen Ingresos</t>
  </si>
  <si>
    <t>Resumen Egresos</t>
  </si>
  <si>
    <t>Total</t>
  </si>
  <si>
    <t>Servicios</t>
  </si>
  <si>
    <t xml:space="preserve">Sueldo del mes </t>
  </si>
  <si>
    <t>Recibo de internet</t>
  </si>
  <si>
    <t>Recibo de youtube</t>
  </si>
  <si>
    <t>Alimentacion</t>
  </si>
  <si>
    <t>Concepto</t>
  </si>
  <si>
    <t>Servico de Coris del Ecuador S.A</t>
  </si>
  <si>
    <t>Comida del perro</t>
  </si>
  <si>
    <t>Cobro 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</si>
</sst>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20"/>
      <color theme="6"/>
      <name val="Amasis MT Pro Black"/>
      <family val="1"/>
    </font>
    <font>
      <sz val="18"/>
      <color theme="6" tint="-0.249977111117893"/>
      <name val="Cambria"/>
      <family val="2"/>
      <scheme val="major"/>
    </font>
    <font>
      <sz val="14"/>
      <color theme="3" tint="0.39997558519241921"/>
      <name val="Amasis MT Pro Black"/>
      <family val="1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theme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27">
    <xf numFmtId="0" fontId="0" fillId="0" borderId="0" xfId="0"/>
    <xf numFmtId="0" fontId="4" fillId="3" borderId="1" xfId="0" applyFont="1" applyFill="1" applyBorder="1"/>
    <xf numFmtId="14" fontId="0" fillId="0" borderId="0" xfId="0" applyNumberFormat="1"/>
    <xf numFmtId="0" fontId="3" fillId="2" borderId="0" xfId="3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9" fillId="0" borderId="0" xfId="2" applyFont="1"/>
    <xf numFmtId="0" fontId="7" fillId="4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164" fontId="11" fillId="0" borderId="0" xfId="1" applyFont="1"/>
    <xf numFmtId="164" fontId="11" fillId="0" borderId="0" xfId="0" applyNumberFormat="1" applyFont="1"/>
    <xf numFmtId="0" fontId="9" fillId="0" borderId="0" xfId="2" applyFont="1" applyAlignment="1">
      <alignment horizontal="centerContinuous" vertical="center"/>
    </xf>
    <xf numFmtId="0" fontId="8" fillId="0" borderId="0" xfId="0" applyFont="1" applyAlignment="1">
      <alignment vertical="center"/>
    </xf>
    <xf numFmtId="0" fontId="0" fillId="5" borderId="0" xfId="0" applyFill="1"/>
    <xf numFmtId="164" fontId="0" fillId="5" borderId="0" xfId="0" applyNumberFormat="1" applyFill="1"/>
    <xf numFmtId="164" fontId="12" fillId="0" borderId="0" xfId="1" applyFont="1"/>
    <xf numFmtId="0" fontId="13" fillId="0" borderId="0" xfId="0" applyFont="1"/>
    <xf numFmtId="0" fontId="14" fillId="0" borderId="0" xfId="0" applyFont="1"/>
    <xf numFmtId="164" fontId="15" fillId="0" borderId="0" xfId="1" applyFont="1"/>
    <xf numFmtId="164" fontId="16" fillId="0" borderId="0" xfId="1" applyFont="1"/>
    <xf numFmtId="164" fontId="17" fillId="0" borderId="0" xfId="1" applyFont="1" applyAlignment="1">
      <alignment vertical="center"/>
    </xf>
    <xf numFmtId="164" fontId="18" fillId="0" borderId="0" xfId="1" applyFont="1"/>
    <xf numFmtId="0" fontId="0" fillId="0" borderId="2" xfId="0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164" fontId="10" fillId="0" borderId="0" xfId="1" applyFont="1" applyAlignment="1">
      <alignment horizontal="center" vertical="center"/>
    </xf>
  </cellXfs>
  <cellStyles count="4">
    <cellStyle name="Bueno" xfId="3" builtinId="26"/>
    <cellStyle name="Moneda" xfId="1" builtinId="4"/>
    <cellStyle name="Normal" xfId="0" builtinId="0"/>
    <cellStyle name="Título" xfId="2" builtinId="15"/>
  </cellStyles>
  <dxfs count="2"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Black" panose="020F0502020204030204" pitchFamily="34" charset="0"/>
                <a:ea typeface="+mn-ea"/>
                <a:cs typeface="+mn-cs"/>
              </a:defRPr>
            </a:pPr>
            <a:r>
              <a:rPr lang="es-EC" sz="1000" b="1">
                <a:latin typeface="Aptos Black" panose="020F0502020204030204" pitchFamily="34" charset="0"/>
              </a:rPr>
              <a:t>Presupuesto</a:t>
            </a:r>
            <a:r>
              <a:rPr lang="es-EC" sz="1000" b="1" baseline="0">
                <a:latin typeface="Aptos Black" panose="020F0502020204030204" pitchFamily="34" charset="0"/>
              </a:rPr>
              <a:t> </a:t>
            </a:r>
          </a:p>
          <a:p>
            <a:pPr>
              <a:defRPr sz="1000" b="1">
                <a:latin typeface="Aptos Black" panose="020F0502020204030204" pitchFamily="34" charset="0"/>
              </a:defRPr>
            </a:pPr>
            <a:r>
              <a:rPr lang="es-EC" sz="1000" b="1" baseline="0">
                <a:latin typeface="Aptos Black" panose="020F0502020204030204" pitchFamily="34" charset="0"/>
              </a:rPr>
              <a:t>vs Ingresos</a:t>
            </a:r>
            <a:endParaRPr lang="es-EC" sz="1000" b="1">
              <a:latin typeface="Aptos Black" panose="020F0502020204030204" pitchFamily="34" charset="0"/>
            </a:endParaRPr>
          </a:p>
        </c:rich>
      </c:tx>
      <c:layout>
        <c:manualLayout>
          <c:xMode val="edge"/>
          <c:yMode val="edge"/>
          <c:x val="4.3485477178423243E-2"/>
          <c:y val="3.5555545601247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Black" panose="020F050202020403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9.7091079382712026E-2"/>
          <c:y val="0.26375103727005078"/>
          <c:w val="0.84205138258132683"/>
          <c:h val="0.57928270746240906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Informe!$D$12:$D$16</c:f>
              <c:numCache>
                <c:formatCode>_ "$"* #,##0.00_ ;_ "$"* \-#,##0.00_ ;_ "$"* "-"??_ ;_ @_ </c:formatCode>
                <c:ptCount val="5"/>
                <c:pt idx="0">
                  <c:v>545.6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CFA-42F2-B344-AE5F7D44FD2B}"/>
            </c:ext>
          </c:extLst>
        </c:ser>
        <c:ser>
          <c:idx val="2"/>
          <c:order val="1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Informe!$C$12:$C$16</c:f>
              <c:numCache>
                <c:formatCode>_ "$"* #,##0.00_ ;_ "$"* \-#,##0.00_ ;_ "$"* "-"??_ ;_ @_ </c:formatCode>
                <c:ptCount val="5"/>
                <c:pt idx="0">
                  <c:v>550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CFA-42F2-B344-AE5F7D44FD2B}"/>
            </c:ext>
          </c:extLst>
        </c:ser>
        <c:ser>
          <c:idx val="0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1CFA-42F2-B344-AE5F7D44F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65247"/>
        <c:axId val="754566207"/>
      </c:barChart>
      <c:catAx>
        <c:axId val="75456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54566207"/>
        <c:crosses val="autoZero"/>
        <c:auto val="1"/>
        <c:lblAlgn val="ctr"/>
        <c:lblOffset val="100"/>
        <c:noMultiLvlLbl val="0"/>
      </c:catAx>
      <c:valAx>
        <c:axId val="754566207"/>
        <c:scaling>
          <c:orientation val="minMax"/>
        </c:scaling>
        <c:delete val="1"/>
        <c:axPos val="l"/>
        <c:numFmt formatCode="_ &quot;$&quot;* #,##0.00_ ;_ &quot;$&quot;* \-#,##0.00_ ;_ &quot;$&quot;* &quot;-&quot;??_ ;_ @_ " sourceLinked="1"/>
        <c:majorTickMark val="none"/>
        <c:minorTickMark val="none"/>
        <c:tickLblPos val="nextTo"/>
        <c:crossAx val="75456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886627242134148"/>
          <c:y val="7.1751091023316602E-2"/>
          <c:w val="0.35678984110388684"/>
          <c:h val="0.1342230245394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02-4DE2-81D7-59D97F462A74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87-4C90-B405-A6F5078C71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87-4C90-B405-A6F5078C7165}"/>
              </c:ext>
            </c:extLst>
          </c:dPt>
          <c:dPt>
            <c:idx val="3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87-4C90-B405-A6F5078C7165}"/>
              </c:ext>
            </c:extLst>
          </c:dPt>
          <c:dPt>
            <c:idx val="4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702-4DE2-81D7-59D97F462A74}"/>
              </c:ext>
            </c:extLst>
          </c:dPt>
          <c:dLbls>
            <c:dLbl>
              <c:idx val="0"/>
              <c:layout>
                <c:manualLayout>
                  <c:x val="5.1700680272108841E-2"/>
                  <c:y val="-5.089030450460366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38775510204083"/>
                      <c:h val="0.196471800746181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702-4DE2-81D7-59D97F462A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02-4DE2-81D7-59D97F462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Informe!$F$12:$F$16</c:f>
              <c:strCache>
                <c:ptCount val="2"/>
                <c:pt idx="0">
                  <c:v>Servicios</c:v>
                </c:pt>
                <c:pt idx="1">
                  <c:v>Gastos</c:v>
                </c:pt>
              </c:strCache>
            </c:strRef>
          </c:cat>
          <c:val>
            <c:numRef>
              <c:f>Informe!$H$12:$H$16</c:f>
              <c:numCache>
                <c:formatCode>_ "$"* #,##0.00_ ;_ "$"* \-#,##0.00_ ;_ "$"* "-"??_ ;_ @_ </c:formatCode>
                <c:ptCount val="5"/>
                <c:pt idx="0">
                  <c:v>7.5</c:v>
                </c:pt>
                <c:pt idx="1">
                  <c:v>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2-4DE2-81D7-59D97F462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_xlchart.v5.7</cx:f>
      </cx:numDim>
    </cx:data>
  </cx:chartData>
  <cx:chart>
    <cx:plotArea>
      <cx:plotAreaRegion>
        <cx:series layoutId="waterfall" uniqueId="{36A78E4A-B843-48FC-B12F-3E4ECF61D4F6}">
          <cx:dataPt idx="7">
            <cx:spPr>
              <a:solidFill>
                <a:sysClr val="window" lastClr="FFFFFF">
                  <a:lumMod val="85000"/>
                </a:sys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MX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fmtOvrs>
    <cx:fmtOvr idx="0">
      <cx:spPr>
        <a:solidFill>
          <a:schemeClr val="accent3">
            <a:lumMod val="40000"/>
            <a:lumOff val="60000"/>
          </a:schemeClr>
        </a:solidFill>
      </cx:spPr>
    </cx:fmtOvr>
    <cx:fmtOvr idx="1">
      <cx:spPr>
        <a:solidFill>
          <a:schemeClr val="accent3">
            <a:lumMod val="20000"/>
            <a:lumOff val="80000"/>
          </a:schemeClr>
        </a:solidFill>
      </cx:spPr>
    </cx:fmtOvr>
    <cx:fmtOvr idx="2">
      <cx:spPr>
        <a:solidFill>
          <a:schemeClr val="bg1">
            <a:lumMod val="85000"/>
          </a:schemeClr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19050</xdr:rowOff>
    </xdr:from>
    <xdr:to>
      <xdr:col>3</xdr:col>
      <xdr:colOff>742950</xdr:colOff>
      <xdr:row>27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6746F3-553E-9CE1-98AE-F58344C3F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28574</xdr:colOff>
      <xdr:row>18</xdr:row>
      <xdr:rowOff>23811</xdr:rowOff>
    </xdr:from>
    <xdr:to>
      <xdr:col>7</xdr:col>
      <xdr:colOff>790574</xdr:colOff>
      <xdr:row>27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CEAD05-5E99-6A21-32C2-176C7B899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19051</xdr:colOff>
      <xdr:row>22</xdr:row>
      <xdr:rowOff>9524</xdr:rowOff>
    </xdr:from>
    <xdr:to>
      <xdr:col>7</xdr:col>
      <xdr:colOff>9526</xdr:colOff>
      <xdr:row>23</xdr:row>
      <xdr:rowOff>171449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AB056EE-259F-24C0-9727-B5EDFB82F00F}"/>
            </a:ext>
          </a:extLst>
        </xdr:cNvPr>
        <xdr:cNvSpPr txBox="1"/>
      </xdr:nvSpPr>
      <xdr:spPr>
        <a:xfrm>
          <a:off x="3743326" y="4591049"/>
          <a:ext cx="8001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800" b="1">
              <a:latin typeface="Abadi" panose="020F0502020204030204" pitchFamily="34" charset="0"/>
            </a:rPr>
            <a:t>Distribucion de Egresos</a:t>
          </a:r>
        </a:p>
      </xdr:txBody>
    </xdr:sp>
    <xdr:clientData/>
  </xdr:twoCellAnchor>
  <xdr:twoCellAnchor>
    <xdr:from>
      <xdr:col>9</xdr:col>
      <xdr:colOff>0</xdr:colOff>
      <xdr:row>1</xdr:row>
      <xdr:rowOff>25400</xdr:rowOff>
    </xdr:from>
    <xdr:to>
      <xdr:col>19</xdr:col>
      <xdr:colOff>770466</xdr:colOff>
      <xdr:row>7</xdr:row>
      <xdr:rowOff>169333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E64DCEF-1C56-4F1C-85C4-20A54459E1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8133" y="211667"/>
              <a:ext cx="9550400" cy="1659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06C6F5-D891-4B24-BA89-6F9A8CE4917B}" name="ingresos" displayName="ingresos" ref="D2:D5" totalsRowShown="0" headerRowCellStyle="Bueno">
  <autoFilter ref="D2:D5" xr:uid="{CA06C6F5-D891-4B24-BA89-6F9A8CE4917B}"/>
  <tableColumns count="1">
    <tableColumn id="1" xr3:uid="{446AADBF-483A-4051-855B-ECC5A8680421}" name="Cat. Ingres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FA75F1-1BE3-43C5-9568-FCB837101871}" name="gastos" displayName="gastos" ref="F2:F6" totalsRowShown="0" headerRowCellStyle="Bueno">
  <autoFilter ref="F2:F6" xr:uid="{81FA75F1-1BE3-43C5-9568-FCB837101871}"/>
  <tableColumns count="1">
    <tableColumn id="1" xr3:uid="{995FF7EB-7BC0-42EB-95C7-906891031AFD}" name="Cat. Egres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F9C4B-C7C5-4648-872B-979DE1968F36}" name="DINEROJEFF" displayName="DINEROJEFF" ref="A2:G9" totalsRowShown="0">
  <autoFilter ref="A2:G9" xr:uid="{031F9C4B-C7C5-4648-872B-979DE1968F36}"/>
  <tableColumns count="7">
    <tableColumn id="1" xr3:uid="{A7BDAA7F-FD1C-4256-8F02-EC4B47D9CB92}" name="Fecha "/>
    <tableColumn id="2" xr3:uid="{EA3948B4-F32F-4FEE-AA92-4286BF5742EB}" name="Mes">
      <calculatedColumnFormula>IF(DINEROJEFF[[#This Row],[Fecha ]]&lt;&gt;"",TEXT(DINEROJEFF[[#This Row],[Fecha ]],"MMMM"),"")</calculatedColumnFormula>
    </tableColumn>
    <tableColumn id="3" xr3:uid="{1428485C-8354-46A7-BB0B-50454D39368F}" name="Tipo"/>
    <tableColumn id="4" xr3:uid="{CD5DBD48-912C-44CD-A2A2-CC488A96CE2A}" name="Categoria"/>
    <tableColumn id="5" xr3:uid="{2DAB87D8-AA35-4FB9-9E19-935859FAFE4D}" name="Descripcion "/>
    <tableColumn id="6" xr3:uid="{CF1A8CC3-D1EC-460E-9856-24E7B7425CD3}" name="Presupuesto"/>
    <tableColumn id="7" xr3:uid="{18915A84-FBC2-48D3-B14A-7BF40ED572E5}" name="Mon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2638-AD66-48EE-AEAF-C567B4D4C337}">
  <dimension ref="B2:H14"/>
  <sheetViews>
    <sheetView workbookViewId="0">
      <selection activeCell="C29" sqref="C29"/>
    </sheetView>
  </sheetViews>
  <sheetFormatPr baseColWidth="10" defaultRowHeight="14.4" x14ac:dyDescent="0.3"/>
  <cols>
    <col min="4" max="4" width="13.5546875" customWidth="1"/>
    <col min="6" max="6" width="12.88671875" customWidth="1"/>
  </cols>
  <sheetData>
    <row r="2" spans="2:8" x14ac:dyDescent="0.3">
      <c r="B2" s="3" t="s">
        <v>19</v>
      </c>
      <c r="D2" s="3" t="s">
        <v>24</v>
      </c>
      <c r="F2" s="3" t="s">
        <v>25</v>
      </c>
      <c r="H2" s="3" t="s">
        <v>4</v>
      </c>
    </row>
    <row r="3" spans="2:8" x14ac:dyDescent="0.3">
      <c r="B3" t="s">
        <v>30</v>
      </c>
      <c r="D3" t="s">
        <v>2</v>
      </c>
      <c r="F3" t="s">
        <v>41</v>
      </c>
      <c r="H3" t="s">
        <v>6</v>
      </c>
    </row>
    <row r="4" spans="2:8" x14ac:dyDescent="0.3">
      <c r="B4" t="s">
        <v>23</v>
      </c>
      <c r="D4" t="s">
        <v>26</v>
      </c>
      <c r="F4" t="s">
        <v>3</v>
      </c>
      <c r="H4" t="s">
        <v>7</v>
      </c>
    </row>
    <row r="5" spans="2:8" x14ac:dyDescent="0.3">
      <c r="D5" t="s">
        <v>27</v>
      </c>
      <c r="F5" t="s">
        <v>28</v>
      </c>
      <c r="H5" t="s">
        <v>8</v>
      </c>
    </row>
    <row r="6" spans="2:8" x14ac:dyDescent="0.3">
      <c r="F6" t="s">
        <v>29</v>
      </c>
      <c r="H6" t="s">
        <v>9</v>
      </c>
    </row>
    <row r="7" spans="2:8" x14ac:dyDescent="0.3">
      <c r="H7" t="s">
        <v>10</v>
      </c>
    </row>
    <row r="8" spans="2:8" x14ac:dyDescent="0.3">
      <c r="H8" t="s">
        <v>11</v>
      </c>
    </row>
    <row r="9" spans="2:8" x14ac:dyDescent="0.3">
      <c r="H9" t="s">
        <v>12</v>
      </c>
    </row>
    <row r="10" spans="2:8" x14ac:dyDescent="0.3">
      <c r="H10" t="s">
        <v>13</v>
      </c>
    </row>
    <row r="11" spans="2:8" x14ac:dyDescent="0.3">
      <c r="H11" t="s">
        <v>14</v>
      </c>
    </row>
    <row r="12" spans="2:8" x14ac:dyDescent="0.3">
      <c r="H12" t="s">
        <v>15</v>
      </c>
    </row>
    <row r="13" spans="2:8" x14ac:dyDescent="0.3">
      <c r="H13" t="s">
        <v>16</v>
      </c>
    </row>
    <row r="14" spans="2:8" x14ac:dyDescent="0.3">
      <c r="H14" t="s">
        <v>17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G10" sqref="G10"/>
    </sheetView>
  </sheetViews>
  <sheetFormatPr baseColWidth="10" defaultColWidth="9.109375" defaultRowHeight="14.4" x14ac:dyDescent="0.3"/>
  <cols>
    <col min="1" max="1" width="10.5546875" bestFit="1" customWidth="1"/>
    <col min="2" max="2" width="7.6640625" bestFit="1" customWidth="1"/>
    <col min="3" max="3" width="7.5546875" bestFit="1" customWidth="1"/>
    <col min="4" max="4" width="11.6640625" bestFit="1" customWidth="1"/>
    <col min="5" max="5" width="46.88671875" customWidth="1"/>
    <col min="6" max="6" width="14.44140625" bestFit="1" customWidth="1"/>
    <col min="7" max="7" width="9.33203125" bestFit="1" customWidth="1"/>
    <col min="9" max="9" width="11.6640625" bestFit="1" customWidth="1"/>
    <col min="10" max="10" width="9.33203125" bestFit="1" customWidth="1"/>
    <col min="11" max="11" width="7.5546875" bestFit="1" customWidth="1"/>
  </cols>
  <sheetData>
    <row r="1" spans="1:11" x14ac:dyDescent="0.3">
      <c r="A1" s="5" t="s">
        <v>31</v>
      </c>
      <c r="B1" s="4"/>
      <c r="C1" s="4"/>
      <c r="D1" s="4"/>
      <c r="E1" s="4"/>
      <c r="F1" s="4"/>
      <c r="G1" s="4"/>
    </row>
    <row r="2" spans="1:11" x14ac:dyDescent="0.3">
      <c r="A2" t="s">
        <v>18</v>
      </c>
      <c r="B2" t="s">
        <v>4</v>
      </c>
      <c r="C2" t="s">
        <v>19</v>
      </c>
      <c r="D2" t="s">
        <v>20</v>
      </c>
      <c r="E2" t="s">
        <v>21</v>
      </c>
      <c r="F2" t="s">
        <v>0</v>
      </c>
      <c r="G2" t="s">
        <v>22</v>
      </c>
      <c r="I2" s="1" t="s">
        <v>20</v>
      </c>
      <c r="J2" s="1" t="s">
        <v>22</v>
      </c>
      <c r="K2" s="1" t="s">
        <v>19</v>
      </c>
    </row>
    <row r="3" spans="1:11" x14ac:dyDescent="0.3">
      <c r="A3" s="2">
        <v>46025</v>
      </c>
      <c r="B3" t="str">
        <f>IF(DINEROJEFF[[#This Row],[Fecha ]]&lt;&gt;"",TEXT(DINEROJEFF[[#This Row],[Fecha ]],"MMMM"),"")</f>
        <v>enero</v>
      </c>
      <c r="C3" t="s">
        <v>30</v>
      </c>
      <c r="D3" t="s">
        <v>2</v>
      </c>
      <c r="E3" t="s">
        <v>42</v>
      </c>
      <c r="F3">
        <v>550</v>
      </c>
      <c r="G3">
        <v>545.6</v>
      </c>
      <c r="I3" s="22" t="str" cm="1">
        <f t="array" ref="I3:I6">IFERROR(_xlfn.UNIQUE(_xlfn._xlws.FILTER(DINEROJEFF[Categoria],(DINEROJEFF[Mes]=$B$3))),"")</f>
        <v>Sueldo</v>
      </c>
      <c r="J3" s="22">
        <f>SUMIFS(DINEROJEFF[Monto],DINEROJEFF[Mes],Informe!$B$3,DINEROJEFF[Categoria],I3)
*IF(K3="Ingreso",1,-1)</f>
        <v>545.6</v>
      </c>
      <c r="K3" s="22" t="str">
        <f>IFERROR(_xlfn.XLOOKUP(I3,DINEROJEFF[Categoria],DINEROJEFF[Tipo]),"")</f>
        <v>Ingreso</v>
      </c>
    </row>
    <row r="4" spans="1:11" x14ac:dyDescent="0.3">
      <c r="A4" s="2">
        <v>46027</v>
      </c>
      <c r="B4" t="str">
        <f>IF(DINEROJEFF[[#This Row],[Fecha ]]&lt;&gt;"",TEXT(DINEROJEFF[[#This Row],[Fecha ]],"MMMM"),"")</f>
        <v>enero</v>
      </c>
      <c r="C4" t="s">
        <v>23</v>
      </c>
      <c r="D4" t="s">
        <v>41</v>
      </c>
      <c r="E4" t="s">
        <v>45</v>
      </c>
      <c r="F4">
        <v>150</v>
      </c>
      <c r="G4">
        <v>0</v>
      </c>
      <c r="I4" s="22" t="str">
        <v>Servicios</v>
      </c>
      <c r="J4" s="22">
        <f>SUMIFS(DINEROJEFF[Monto],DINEROJEFF[Mes],Informe!$B$3,DINEROJEFF[Categoria],I4)
*IF(K4="Ingreso",1,-1)</f>
        <v>-7.5</v>
      </c>
      <c r="K4" s="22" t="str">
        <f>IFERROR(_xlfn.XLOOKUP(I4,DINEROJEFF[Categoria],DINEROJEFF[Tipo]),"")</f>
        <v>Egreso</v>
      </c>
    </row>
    <row r="5" spans="1:11" x14ac:dyDescent="0.3">
      <c r="A5" s="2">
        <v>45664</v>
      </c>
      <c r="B5" t="str">
        <f>IF(DINEROJEFF[[#This Row],[Fecha ]]&lt;&gt;"",TEXT(DINEROJEFF[[#This Row],[Fecha ]],"MMMM"),"")</f>
        <v>enero</v>
      </c>
      <c r="C5" t="s">
        <v>23</v>
      </c>
      <c r="D5" t="s">
        <v>3</v>
      </c>
      <c r="E5" t="s">
        <v>47</v>
      </c>
      <c r="F5">
        <v>0</v>
      </c>
      <c r="G5">
        <v>37</v>
      </c>
      <c r="I5" s="22" t="str">
        <v>Gastos</v>
      </c>
      <c r="J5" s="22">
        <f>SUMIFS(DINEROJEFF[Monto],DINEROJEFF[Mes],Informe!$B$3,DINEROJEFF[Categoria],I5)
*IF(K5="Ingreso",1,-1)</f>
        <v>-47</v>
      </c>
      <c r="K5" s="22" t="str">
        <f>IFERROR(_xlfn.XLOOKUP(I5,DINEROJEFF[Categoria],DINEROJEFF[Tipo]),"")</f>
        <v>Egreso</v>
      </c>
    </row>
    <row r="6" spans="1:11" x14ac:dyDescent="0.3">
      <c r="A6" s="2">
        <v>45667</v>
      </c>
      <c r="B6" t="str">
        <f>IF(DINEROJEFF[[#This Row],[Fecha ]]&lt;&gt;"",TEXT(DINEROJEFF[[#This Row],[Fecha ]],"MMMM"),"")</f>
        <v>enero</v>
      </c>
      <c r="C6" t="s">
        <v>30</v>
      </c>
      <c r="D6" t="s">
        <v>27</v>
      </c>
      <c r="E6" t="s">
        <v>49</v>
      </c>
      <c r="F6">
        <v>50</v>
      </c>
      <c r="G6">
        <v>50</v>
      </c>
      <c r="I6" s="22" t="str">
        <v>Otros</v>
      </c>
      <c r="J6" s="22">
        <f>SUMIFS(DINEROJEFF[Monto],DINEROJEFF[Mes],Informe!$B$3,DINEROJEFF[Categoria],I6)
*IF(K6="Ingreso",1,-1)</f>
        <v>50</v>
      </c>
      <c r="K6" s="22" t="str">
        <f>IFERROR(_xlfn.XLOOKUP(I6,DINEROJEFF[Categoria],DINEROJEFF[Tipo]),"")</f>
        <v>Ingreso</v>
      </c>
    </row>
    <row r="7" spans="1:11" x14ac:dyDescent="0.3">
      <c r="A7" s="2">
        <v>45676</v>
      </c>
      <c r="B7" t="str">
        <f>IF(DINEROJEFF[[#This Row],[Fecha ]]&lt;&gt;"",TEXT(DINEROJEFF[[#This Row],[Fecha ]],"MMMM"),"")</f>
        <v>enero</v>
      </c>
      <c r="C7" t="s">
        <v>23</v>
      </c>
      <c r="D7" t="s">
        <v>3</v>
      </c>
      <c r="E7" t="s">
        <v>48</v>
      </c>
      <c r="F7">
        <v>15</v>
      </c>
      <c r="G7">
        <v>10</v>
      </c>
      <c r="I7" s="22"/>
      <c r="J7" s="22">
        <f>SUMIFS(DINEROJEFF[Monto],DINEROJEFF[Mes],Informe!$B$3,DINEROJEFF[Categoria],I7)
*IF(K7="Ingreso",1,-1)</f>
        <v>0</v>
      </c>
      <c r="K7" s="22" t="str">
        <f>IFERROR(_xlfn.XLOOKUP(I7,DINEROJEFF[Categoria],DINEROJEFF[Tipo]),"")</f>
        <v/>
      </c>
    </row>
    <row r="8" spans="1:11" x14ac:dyDescent="0.3">
      <c r="A8" s="2">
        <v>46047</v>
      </c>
      <c r="B8" t="str">
        <f>IF(DINEROJEFF[[#This Row],[Fecha ]]&lt;&gt;"",TEXT(DINEROJEFF[[#This Row],[Fecha ]],"MMMM"),"")</f>
        <v>enero</v>
      </c>
      <c r="C8" t="s">
        <v>23</v>
      </c>
      <c r="D8" t="s">
        <v>41</v>
      </c>
      <c r="E8" t="s">
        <v>43</v>
      </c>
      <c r="F8">
        <v>20</v>
      </c>
      <c r="G8">
        <v>0</v>
      </c>
      <c r="I8" s="22"/>
      <c r="J8" s="22">
        <f>SUMIFS(DINEROJEFF[Monto],DINEROJEFF[Mes],Informe!$B$3,DINEROJEFF[Categoria],I8)
*IF(K8="Ingreso",1,-1)</f>
        <v>0</v>
      </c>
      <c r="K8" s="22" t="str">
        <f>IFERROR(_xlfn.XLOOKUP(I8,DINEROJEFF[Categoria],DINEROJEFF[Tipo]),"")</f>
        <v/>
      </c>
    </row>
    <row r="9" spans="1:11" x14ac:dyDescent="0.3">
      <c r="A9" s="2">
        <v>38742</v>
      </c>
      <c r="B9" t="str">
        <f>IF(DINEROJEFF[[#This Row],[Fecha ]]&lt;&gt;"",TEXT(DINEROJEFF[[#This Row],[Fecha ]],"MMMM"),"")</f>
        <v>enero</v>
      </c>
      <c r="C9" t="s">
        <v>23</v>
      </c>
      <c r="D9" t="s">
        <v>41</v>
      </c>
      <c r="E9" t="s">
        <v>44</v>
      </c>
      <c r="F9">
        <v>7.5</v>
      </c>
      <c r="G9">
        <v>7.5</v>
      </c>
      <c r="I9" s="22"/>
      <c r="J9" s="22">
        <f>SUMIFS(DINEROJEFF[Monto],DINEROJEFF[Mes],Informe!$B$3,DINEROJEFF[Categoria],I9)
*IF(K9="Ingreso",1,-1)</f>
        <v>0</v>
      </c>
      <c r="K9" s="22" t="str">
        <f>IFERROR(_xlfn.XLOOKUP(I9,DINEROJEFF[Categoria],DINEROJEFF[Tipo]),"")</f>
        <v/>
      </c>
    </row>
    <row r="10" spans="1:11" x14ac:dyDescent="0.3">
      <c r="I10" s="1" t="s">
        <v>40</v>
      </c>
      <c r="J10" s="22">
        <f>+SUM(J3:J9)</f>
        <v>541.1</v>
      </c>
      <c r="K10" s="22">
        <f>+SUM(K3:K9)</f>
        <v>0</v>
      </c>
    </row>
  </sheetData>
  <autoFilter ref="I2:K6" xr:uid="{00000000-0001-0000-0000-000000000000}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845955-2543-4B1F-A114-64AD393A194C}">
          <x14:formula1>
            <xm:f>'Listas Validadas'!$B$3:$B$4</xm:f>
          </x14:formula1>
          <xm:sqref>C3:C9</xm:sqref>
        </x14:dataValidation>
        <x14:dataValidation type="list" allowBlank="1" showInputMessage="1" showErrorMessage="1" xr:uid="{2D7E4A08-44C5-4EED-A679-B8FEFB51849E}">
          <x14:formula1>
            <xm:f>IF(C3="Ingreso",'Listas Validadas'!$D$3:$D$5,'Listas Validadas'!$F$3:$F$6)</xm:f>
          </x14:formula1>
          <xm:sqref>D3:D9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6E11-1DBD-454C-A1B9-AAE314F22CB2}">
  <dimension ref="B2:T28"/>
  <sheetViews>
    <sheetView tabSelected="1" zoomScale="90" zoomScaleNormal="90" workbookViewId="0">
      <selection activeCell="U6" sqref="U6"/>
    </sheetView>
  </sheetViews>
  <sheetFormatPr baseColWidth="10" defaultRowHeight="14.4" x14ac:dyDescent="0.3"/>
  <cols>
    <col min="1" max="1" width="3.88671875" customWidth="1"/>
    <col min="3" max="3" width="12.109375" bestFit="1" customWidth="1"/>
    <col min="5" max="5" width="5.5546875" customWidth="1"/>
    <col min="7" max="8" width="12.109375" bestFit="1" customWidth="1"/>
    <col min="9" max="9" width="4.109375" customWidth="1"/>
    <col min="10" max="10" width="20.6640625" customWidth="1"/>
    <col min="13" max="13" width="4.109375" customWidth="1"/>
    <col min="14" max="14" width="20.6640625" customWidth="1"/>
    <col min="17" max="17" width="4.109375" customWidth="1"/>
    <col min="18" max="18" width="20.6640625" customWidth="1"/>
  </cols>
  <sheetData>
    <row r="2" spans="2:20" ht="22.8" x14ac:dyDescent="0.4">
      <c r="B2" s="6" t="s">
        <v>32</v>
      </c>
      <c r="C2" s="6"/>
    </row>
    <row r="3" spans="2:20" ht="30" customHeight="1" x14ac:dyDescent="0.3">
      <c r="B3" s="24" t="s">
        <v>6</v>
      </c>
      <c r="C3" s="24"/>
      <c r="D3" s="24"/>
      <c r="E3" s="12"/>
      <c r="F3" s="11" t="s">
        <v>37</v>
      </c>
      <c r="G3" s="11"/>
      <c r="H3" s="20">
        <f>+B6-F6</f>
        <v>541.1</v>
      </c>
    </row>
    <row r="5" spans="2:20" x14ac:dyDescent="0.3">
      <c r="B5" s="25" t="s">
        <v>33</v>
      </c>
      <c r="C5" s="25"/>
      <c r="D5" s="25"/>
      <c r="F5" s="25" t="s">
        <v>34</v>
      </c>
      <c r="G5" s="25"/>
      <c r="H5" s="25"/>
    </row>
    <row r="6" spans="2:20" ht="23.25" customHeight="1" x14ac:dyDescent="0.3">
      <c r="B6" s="26">
        <f>+SUMIFS(DINEROJEFF[Monto],DINEROJEFF[Tipo],"Ingreso",DINEROJEFF[Mes],B3)</f>
        <v>595.6</v>
      </c>
      <c r="C6" s="26"/>
      <c r="D6" s="26"/>
      <c r="F6" s="26">
        <f>+SUMIFS(DINEROJEFF[Monto],DINEROJEFF[Tipo],"Egreso",DINEROJEFF[Mes],B3)</f>
        <v>54.5</v>
      </c>
      <c r="G6" s="26"/>
      <c r="H6" s="26"/>
    </row>
    <row r="7" spans="2:20" x14ac:dyDescent="0.3">
      <c r="B7" s="8"/>
      <c r="C7" s="8" t="s">
        <v>35</v>
      </c>
      <c r="D7" s="9">
        <f>+SUMIFS(DINEROJEFF[Presupuesto],DINEROJEFF[Tipo],"Ingreso",DINEROJEFF[Mes],B3)</f>
        <v>600</v>
      </c>
      <c r="F7" s="8"/>
      <c r="G7" s="8" t="s">
        <v>35</v>
      </c>
      <c r="H7" s="9">
        <f>+SUMIFS(DINEROJEFF[Presupuesto],DINEROJEFF[Tipo],"Egreso",DINEROJEFF[Mes],B3)</f>
        <v>192.5</v>
      </c>
    </row>
    <row r="8" spans="2:20" x14ac:dyDescent="0.3">
      <c r="B8" s="8"/>
      <c r="C8" s="8" t="s">
        <v>36</v>
      </c>
      <c r="D8" s="10">
        <f>+B6-D7</f>
        <v>-4.3999999999999773</v>
      </c>
      <c r="F8" s="8"/>
      <c r="G8" s="8" t="s">
        <v>36</v>
      </c>
      <c r="H8" s="10">
        <f>+F6-H7</f>
        <v>-138</v>
      </c>
    </row>
    <row r="10" spans="2:20" x14ac:dyDescent="0.3">
      <c r="B10" s="23" t="s">
        <v>38</v>
      </c>
      <c r="C10" s="23"/>
      <c r="D10" s="23"/>
      <c r="F10" s="23" t="s">
        <v>39</v>
      </c>
      <c r="G10" s="23"/>
      <c r="H10" s="23"/>
      <c r="J10" s="16" t="s">
        <v>41</v>
      </c>
      <c r="N10" s="16" t="s">
        <v>3</v>
      </c>
      <c r="R10" s="16" t="s">
        <v>28</v>
      </c>
    </row>
    <row r="11" spans="2:20" x14ac:dyDescent="0.3">
      <c r="B11" s="7" t="s">
        <v>20</v>
      </c>
      <c r="C11" s="7" t="s">
        <v>0</v>
      </c>
      <c r="D11" s="7" t="s">
        <v>22</v>
      </c>
      <c r="F11" s="7" t="s">
        <v>20</v>
      </c>
      <c r="G11" s="7" t="s">
        <v>0</v>
      </c>
      <c r="H11" s="7" t="s">
        <v>22</v>
      </c>
      <c r="J11" s="7" t="s">
        <v>46</v>
      </c>
      <c r="K11" s="7" t="s">
        <v>0</v>
      </c>
      <c r="L11" s="7" t="s">
        <v>22</v>
      </c>
      <c r="N11" s="7" t="s">
        <v>46</v>
      </c>
      <c r="O11" s="7" t="s">
        <v>0</v>
      </c>
      <c r="P11" s="7" t="s">
        <v>22</v>
      </c>
      <c r="R11" s="7" t="s">
        <v>46</v>
      </c>
      <c r="S11" s="7" t="s">
        <v>0</v>
      </c>
      <c r="T11" s="7" t="s">
        <v>22</v>
      </c>
    </row>
    <row r="12" spans="2:20" x14ac:dyDescent="0.3">
      <c r="B12" t="str" cm="1">
        <f t="array" ref="B12:B13">IFERROR(_xlfn.UNIQUE(_xlfn._xlws.FILTER(DINEROJEFF[Categoria],(DINEROJEFF[Mes]=$B$3)*(DINEROJEFF[Tipo]="Ingreso"))),"")</f>
        <v>Sueldo</v>
      </c>
      <c r="C12" s="9">
        <f>+SUMIFS(DINEROJEFF[Presupuesto],DINEROJEFF[Mes],$B$3,DINEROJEFF[Categoria],B12)</f>
        <v>550</v>
      </c>
      <c r="D12" s="15">
        <f>+SUMIFS(DINEROJEFF[Monto],DINEROJEFF[Mes],$B$3,DINEROJEFF[Categoria],B12)</f>
        <v>545.6</v>
      </c>
      <c r="F12" t="str" cm="1">
        <f t="array" ref="F12:F13">IFERROR(_xlfn.UNIQUE(_xlfn._xlws.FILTER(DINEROJEFF[Categoria],(DINEROJEFF[Mes]=$B$3)*(DINEROJEFF[Tipo]="Egreso"))),"")</f>
        <v>Servicios</v>
      </c>
      <c r="G12" s="9">
        <f>+SUMIFS(DINEROJEFF[Presupuesto],DINEROJEFF[Mes],$B$3,DINEROJEFF[Categoria],F12)</f>
        <v>177.5</v>
      </c>
      <c r="H12" s="15">
        <f>+SUMIFS(DINEROJEFF[Monto],DINEROJEFF[Mes],$B$3,DINEROJEFF[Categoria],F12)</f>
        <v>7.5</v>
      </c>
      <c r="J12" s="17" t="str" cm="1">
        <f t="array" ref="J12:J14">IFERROR(_xlfn.UNIQUE(_xlfn._xlws.FILTER(DINEROJEFF[[Descripcion ]],(DINEROJEFF[Mes]=$B$3)*(DINEROJEFF[Categoria]=J10))),"")</f>
        <v>Alimentacion</v>
      </c>
      <c r="K12" s="18">
        <f>+SUMIFS(DINEROJEFF[Presupuesto],DINEROJEFF[Mes],$B$3,DINEROJEFF[[Descripcion ]],J12)</f>
        <v>150</v>
      </c>
      <c r="L12" s="19">
        <f>+SUMIFS(DINEROJEFF[Monto],DINEROJEFF[Mes],$B$3,DINEROJEFF[[Descripcion ]],J12)</f>
        <v>0</v>
      </c>
      <c r="N12" s="17" t="str" cm="1">
        <f t="array" ref="N12:N13">IFERROR(_xlfn.UNIQUE(_xlfn._xlws.FILTER(DINEROJEFF[[Descripcion ]],(DINEROJEFF[Mes]=$B$3)*(DINEROJEFF[Categoria]=N10))),"")</f>
        <v>Servico de Coris del Ecuador S.A</v>
      </c>
      <c r="O12" s="18">
        <f>+SUMIFS(DINEROJEFF[Presupuesto],DINEROJEFF[Mes],$B$3,DINEROJEFF[[Descripcion ]],N12)</f>
        <v>0</v>
      </c>
      <c r="P12" s="21">
        <f>+SUMIFS(DINEROJEFF[Monto],DINEROJEFF[Mes],$B$3,DINEROJEFF[[Descripcion ]],N12)</f>
        <v>37</v>
      </c>
      <c r="R12" s="17" t="str" cm="1">
        <f t="array" ref="R12">IFERROR(_xlfn.UNIQUE(_xlfn._xlws.FILTER(DINEROJEFF[[Descripcion ]],(DINEROJEFF[Mes]=$B$3)*(DINEROJEFF[Categoria]=R10))),"")</f>
        <v/>
      </c>
      <c r="S12" s="18">
        <f>+SUMIFS(DINEROJEFF[Presupuesto],DINEROJEFF[Mes],$B$3,DINEROJEFF[[Descripcion ]],R12)</f>
        <v>0</v>
      </c>
      <c r="T12" s="19">
        <f>+SUMIFS(DINEROJEFF[Monto],DINEROJEFF[Mes],$B$3,DINEROJEFF[[Descripcion ]],R12)</f>
        <v>0</v>
      </c>
    </row>
    <row r="13" spans="2:20" x14ac:dyDescent="0.3">
      <c r="B13" t="str">
        <v>Otros</v>
      </c>
      <c r="C13" s="9">
        <f>+SUMIFS(DINEROJEFF[Presupuesto],DINEROJEFF[Mes],$B$3,DINEROJEFF[Categoria],B13)</f>
        <v>50</v>
      </c>
      <c r="D13" s="15">
        <f>+SUMIFS(DINEROJEFF[Monto],DINEROJEFF[Mes],$B$3,DINEROJEFF[Categoria],B13)</f>
        <v>50</v>
      </c>
      <c r="F13" t="str">
        <v>Gastos</v>
      </c>
      <c r="G13" s="9">
        <f>+SUMIFS(DINEROJEFF[Presupuesto],DINEROJEFF[Mes],$B$3,DINEROJEFF[Categoria],F13)</f>
        <v>15</v>
      </c>
      <c r="H13" s="15">
        <f>+SUMIFS(DINEROJEFF[Monto],DINEROJEFF[Mes],$B$3,DINEROJEFF[Categoria],F13)</f>
        <v>47</v>
      </c>
      <c r="J13" s="17" t="str">
        <v>Recibo de internet</v>
      </c>
      <c r="K13" s="18">
        <f>+SUMIFS(DINEROJEFF[Presupuesto],DINEROJEFF[Mes],$B$3,DINEROJEFF[[Descripcion ]],J13)</f>
        <v>20</v>
      </c>
      <c r="L13" s="19">
        <f>+SUMIFS(DINEROJEFF[Monto],DINEROJEFF[Mes],$B$3,DINEROJEFF[[Descripcion ]],J13)</f>
        <v>0</v>
      </c>
      <c r="N13" s="17" t="str">
        <v>Comida del perro</v>
      </c>
      <c r="O13" s="18">
        <f>+SUMIFS(DINEROJEFF[Presupuesto],DINEROJEFF[Mes],$B$3,DINEROJEFF[[Descripcion ]],N13)</f>
        <v>15</v>
      </c>
      <c r="P13" s="21">
        <f>+SUMIFS(DINEROJEFF[Monto],DINEROJEFF[Mes],$B$3,DINEROJEFF[[Descripcion ]],N13)</f>
        <v>10</v>
      </c>
      <c r="R13" s="17"/>
      <c r="S13" s="18">
        <f>+SUMIFS(DINEROJEFF[Presupuesto],DINEROJEFF[Mes],$B$3,DINEROJEFF[[Descripcion ]],R13)</f>
        <v>0</v>
      </c>
      <c r="T13" s="19">
        <f>+SUMIFS(DINEROJEFF[Monto],DINEROJEFF[Mes],$B$3,DINEROJEFF[[Descripcion ]],R13)</f>
        <v>0</v>
      </c>
    </row>
    <row r="14" spans="2:20" x14ac:dyDescent="0.3">
      <c r="C14" s="9">
        <f>+SUMIFS(DINEROJEFF[Presupuesto],DINEROJEFF[Mes],$B$3,DINEROJEFF[Categoria],B14)</f>
        <v>0</v>
      </c>
      <c r="D14" s="15">
        <f>+SUMIFS(DINEROJEFF[Monto],DINEROJEFF[Mes],$B$3,DINEROJEFF[Categoria],B14)</f>
        <v>0</v>
      </c>
      <c r="G14" s="9">
        <f>+SUMIFS(DINEROJEFF[Presupuesto],DINEROJEFF[Mes],$B$3,DINEROJEFF[Categoria],F14)</f>
        <v>0</v>
      </c>
      <c r="H14" s="15">
        <f>+SUMIFS(DINEROJEFF[Monto],DINEROJEFF[Mes],$B$3,DINEROJEFF[Categoria],F14)</f>
        <v>0</v>
      </c>
      <c r="J14" s="17" t="str">
        <v>Recibo de youtube</v>
      </c>
      <c r="K14" s="18">
        <f>+SUMIFS(DINEROJEFF[Presupuesto],DINEROJEFF[Mes],$B$3,DINEROJEFF[[Descripcion ]],J14)</f>
        <v>7.5</v>
      </c>
      <c r="L14" s="19">
        <f>+SUMIFS(DINEROJEFF[Monto],DINEROJEFF[Mes],$B$3,DINEROJEFF[[Descripcion ]],J14)</f>
        <v>7.5</v>
      </c>
      <c r="N14" s="17"/>
      <c r="O14" s="18">
        <f>+SUMIFS(DINEROJEFF[Presupuesto],DINEROJEFF[Mes],$B$3,DINEROJEFF[[Descripcion ]],N14)</f>
        <v>0</v>
      </c>
      <c r="P14" s="21">
        <f>+SUMIFS(DINEROJEFF[Monto],DINEROJEFF[Mes],$B$3,DINEROJEFF[[Descripcion ]],N14)</f>
        <v>0</v>
      </c>
      <c r="R14" s="17"/>
      <c r="S14" s="18">
        <f>+SUMIFS(DINEROJEFF[Presupuesto],DINEROJEFF[Mes],$B$3,DINEROJEFF[[Descripcion ]],R14)</f>
        <v>0</v>
      </c>
      <c r="T14" s="19">
        <f>+SUMIFS(DINEROJEFF[Monto],DINEROJEFF[Mes],$B$3,DINEROJEFF[[Descripcion ]],R14)</f>
        <v>0</v>
      </c>
    </row>
    <row r="15" spans="2:20" x14ac:dyDescent="0.3">
      <c r="C15" s="9">
        <f>+SUMIFS(DINEROJEFF[Presupuesto],DINEROJEFF[Mes],$B$3,DINEROJEFF[Categoria],B15)</f>
        <v>0</v>
      </c>
      <c r="D15" s="15">
        <f>+SUMIFS(DINEROJEFF[Monto],DINEROJEFF[Mes],$B$3,DINEROJEFF[Categoria],B15)</f>
        <v>0</v>
      </c>
      <c r="G15" s="9">
        <f>+SUMIFS(DINEROJEFF[Presupuesto],DINEROJEFF[Mes],$B$3,DINEROJEFF[Categoria],F15)</f>
        <v>0</v>
      </c>
      <c r="H15" s="15">
        <f>+SUMIFS(DINEROJEFF[Monto],DINEROJEFF[Mes],$B$3,DINEROJEFF[Categoria],F15)</f>
        <v>0</v>
      </c>
      <c r="J15" s="17"/>
      <c r="K15" s="18">
        <f>+SUMIFS(DINEROJEFF[Presupuesto],DINEROJEFF[Mes],$B$3,DINEROJEFF[[Descripcion ]],J15)</f>
        <v>0</v>
      </c>
      <c r="L15" s="19">
        <f>+SUMIFS(DINEROJEFF[Monto],DINEROJEFF[Mes],$B$3,DINEROJEFF[[Descripcion ]],J15)</f>
        <v>0</v>
      </c>
      <c r="N15" s="17"/>
      <c r="O15" s="18">
        <f>+SUMIFS(DINEROJEFF[Presupuesto],DINEROJEFF[Mes],$B$3,DINEROJEFF[[Descripcion ]],N15)</f>
        <v>0</v>
      </c>
      <c r="P15" s="21">
        <f>+SUMIFS(DINEROJEFF[Monto],DINEROJEFF[Mes],$B$3,DINEROJEFF[[Descripcion ]],N15)</f>
        <v>0</v>
      </c>
      <c r="R15" s="17"/>
      <c r="S15" s="18">
        <f>+SUMIFS(DINEROJEFF[Presupuesto],DINEROJEFF[Mes],$B$3,DINEROJEFF[[Descripcion ]],R15)</f>
        <v>0</v>
      </c>
      <c r="T15" s="19">
        <f>+SUMIFS(DINEROJEFF[Monto],DINEROJEFF[Mes],$B$3,DINEROJEFF[[Descripcion ]],R15)</f>
        <v>0</v>
      </c>
    </row>
    <row r="16" spans="2:20" x14ac:dyDescent="0.3">
      <c r="C16" s="9">
        <f>+SUMIFS(DINEROJEFF[Presupuesto],DINEROJEFF[Mes],$B$3,DINEROJEFF[Categoria],B16)</f>
        <v>0</v>
      </c>
      <c r="D16" s="15">
        <f>+SUMIFS(DINEROJEFF[Monto],DINEROJEFF[Mes],$B$3,DINEROJEFF[Categoria],B16)</f>
        <v>0</v>
      </c>
      <c r="G16" s="9">
        <f>+SUMIFS(DINEROJEFF[Presupuesto],DINEROJEFF[Mes],$B$3,DINEROJEFF[Categoria],F16)</f>
        <v>0</v>
      </c>
      <c r="H16" s="15">
        <f>+SUMIFS(DINEROJEFF[Monto],DINEROJEFF[Mes],$B$3,DINEROJEFF[Categoria],F16)</f>
        <v>0</v>
      </c>
      <c r="J16" s="17"/>
      <c r="K16" s="18">
        <f>+SUMIFS(DINEROJEFF[Presupuesto],DINEROJEFF[Mes],$B$3,DINEROJEFF[[Descripcion ]],J16)</f>
        <v>0</v>
      </c>
      <c r="L16" s="19">
        <f>+SUMIFS(DINEROJEFF[Monto],DINEROJEFF[Mes],$B$3,DINEROJEFF[[Descripcion ]],J16)</f>
        <v>0</v>
      </c>
      <c r="N16" s="17"/>
      <c r="O16" s="18">
        <f>+SUMIFS(DINEROJEFF[Presupuesto],DINEROJEFF[Mes],$B$3,DINEROJEFF[[Descripcion ]],N16)</f>
        <v>0</v>
      </c>
      <c r="P16" s="21">
        <f>+SUMIFS(DINEROJEFF[Monto],DINEROJEFF[Mes],$B$3,DINEROJEFF[[Descripcion ]],N16)</f>
        <v>0</v>
      </c>
      <c r="R16" s="17"/>
      <c r="S16" s="18">
        <f>+SUMIFS(DINEROJEFF[Presupuesto],DINEROJEFF[Mes],$B$3,DINEROJEFF[[Descripcion ]],R16)</f>
        <v>0</v>
      </c>
      <c r="T16" s="19">
        <f>+SUMIFS(DINEROJEFF[Monto],DINEROJEFF[Mes],$B$3,DINEROJEFF[[Descripcion ]],R16)</f>
        <v>0</v>
      </c>
    </row>
    <row r="17" spans="2:20" x14ac:dyDescent="0.3">
      <c r="B17" s="13" t="s">
        <v>40</v>
      </c>
      <c r="C17" s="14">
        <f>+SUM(C12:C16)</f>
        <v>600</v>
      </c>
      <c r="D17" s="14">
        <f>+SUM(D12:D16)</f>
        <v>595.6</v>
      </c>
      <c r="F17" s="13" t="s">
        <v>40</v>
      </c>
      <c r="G17" s="14">
        <f>+SUM(G12:G16)</f>
        <v>192.5</v>
      </c>
      <c r="H17" s="14">
        <f>+SUM(H12:H16)</f>
        <v>54.5</v>
      </c>
      <c r="J17" s="17"/>
      <c r="K17" s="18">
        <f>+SUMIFS(DINEROJEFF[Presupuesto],DINEROJEFF[Mes],$B$3,DINEROJEFF[[Descripcion ]],J17)</f>
        <v>0</v>
      </c>
      <c r="L17" s="19">
        <f>+SUMIFS(DINEROJEFF[Monto],DINEROJEFF[Mes],$B$3,DINEROJEFF[[Descripcion ]],J17)</f>
        <v>0</v>
      </c>
      <c r="N17" s="17"/>
      <c r="O17" s="18">
        <f>+SUMIFS(DINEROJEFF[Presupuesto],DINEROJEFF[Mes],$B$3,DINEROJEFF[[Descripcion ]],N17)</f>
        <v>0</v>
      </c>
      <c r="P17" s="21">
        <f>+SUMIFS(DINEROJEFF[Monto],DINEROJEFF[Mes],$B$3,DINEROJEFF[[Descripcion ]],N17)</f>
        <v>0</v>
      </c>
      <c r="R17" s="17"/>
      <c r="S17" s="18">
        <f>+SUMIFS(DINEROJEFF[Presupuesto],DINEROJEFF[Mes],$B$3,DINEROJEFF[[Descripcion ]],R17)</f>
        <v>0</v>
      </c>
      <c r="T17" s="19">
        <f>+SUMIFS(DINEROJEFF[Monto],DINEROJEFF[Mes],$B$3,DINEROJEFF[[Descripcion ]],R17)</f>
        <v>0</v>
      </c>
    </row>
    <row r="18" spans="2:20" x14ac:dyDescent="0.3">
      <c r="J18" s="17"/>
      <c r="K18" s="18">
        <f>+SUMIFS(DINEROJEFF[Presupuesto],DINEROJEFF[Mes],$B$3,DINEROJEFF[[Descripcion ]],J18)</f>
        <v>0</v>
      </c>
      <c r="L18" s="19">
        <f>+SUMIFS(DINEROJEFF[Monto],DINEROJEFF[Mes],$B$3,DINEROJEFF[[Descripcion ]],J18)</f>
        <v>0</v>
      </c>
      <c r="N18" s="17"/>
      <c r="O18" s="18">
        <f>+SUMIFS(DINEROJEFF[Presupuesto],DINEROJEFF[Mes],$B$3,DINEROJEFF[[Descripcion ]],N18)</f>
        <v>0</v>
      </c>
      <c r="P18" s="21">
        <f>+SUMIFS(DINEROJEFF[Monto],DINEROJEFF[Mes],$B$3,DINEROJEFF[[Descripcion ]],N18)</f>
        <v>0</v>
      </c>
      <c r="R18" s="13" t="s">
        <v>40</v>
      </c>
      <c r="S18" s="14">
        <f>+SUM(S12:S17)</f>
        <v>0</v>
      </c>
      <c r="T18" s="14">
        <f>+SUM(T12:T17)</f>
        <v>0</v>
      </c>
    </row>
    <row r="19" spans="2:20" x14ac:dyDescent="0.3">
      <c r="J19" s="17"/>
      <c r="K19" s="18">
        <f>+SUMIFS(DINEROJEFF[Presupuesto],DINEROJEFF[Mes],$B$3,DINEROJEFF[[Descripcion ]],J19)</f>
        <v>0</v>
      </c>
      <c r="L19" s="19">
        <f>+SUMIFS(DINEROJEFF[Monto],DINEROJEFF[Mes],$B$3,DINEROJEFF[[Descripcion ]],J19)</f>
        <v>0</v>
      </c>
      <c r="N19" s="17"/>
      <c r="O19" s="18">
        <f>+SUMIFS(DINEROJEFF[Presupuesto],DINEROJEFF[Mes],$B$3,DINEROJEFF[[Descripcion ]],N19)</f>
        <v>0</v>
      </c>
      <c r="P19" s="21">
        <f>+SUMIFS(DINEROJEFF[Monto],DINEROJEFF[Mes],$B$3,DINEROJEFF[[Descripcion ]],N19)</f>
        <v>0</v>
      </c>
    </row>
    <row r="20" spans="2:20" x14ac:dyDescent="0.3">
      <c r="J20" s="17"/>
      <c r="K20" s="18">
        <f>+SUMIFS(DINEROJEFF[Presupuesto],DINEROJEFF[Mes],$B$3,DINEROJEFF[[Descripcion ]],J20)</f>
        <v>0</v>
      </c>
      <c r="L20" s="19">
        <f>+SUMIFS(DINEROJEFF[Monto],DINEROJEFF[Mes],$B$3,DINEROJEFF[[Descripcion ]],J20)</f>
        <v>0</v>
      </c>
      <c r="N20" s="17"/>
      <c r="O20" s="18">
        <f>+SUMIFS(DINEROJEFF[Presupuesto],DINEROJEFF[Mes],$B$3,DINEROJEFF[[Descripcion ]],N20)</f>
        <v>0</v>
      </c>
      <c r="P20" s="21">
        <f>+SUMIFS(DINEROJEFF[Monto],DINEROJEFF[Mes],$B$3,DINEROJEFF[[Descripcion ]],N20)</f>
        <v>0</v>
      </c>
      <c r="R20" s="16" t="s">
        <v>29</v>
      </c>
    </row>
    <row r="21" spans="2:20" x14ac:dyDescent="0.3">
      <c r="J21" s="17"/>
      <c r="K21" s="18">
        <f>+SUMIFS(DINEROJEFF[Presupuesto],DINEROJEFF[Mes],$B$3,DINEROJEFF[[Descripcion ]],J21)</f>
        <v>0</v>
      </c>
      <c r="L21" s="19">
        <f>+SUMIFS(DINEROJEFF[Monto],DINEROJEFF[Mes],$B$3,DINEROJEFF[[Descripcion ]],J21)</f>
        <v>0</v>
      </c>
      <c r="N21" s="17"/>
      <c r="O21" s="18">
        <f>+SUMIFS(DINEROJEFF[Presupuesto],DINEROJEFF[Mes],$B$3,DINEROJEFF[[Descripcion ]],N21)</f>
        <v>0</v>
      </c>
      <c r="P21" s="21">
        <f>+SUMIFS(DINEROJEFF[Monto],DINEROJEFF[Mes],$B$3,DINEROJEFF[[Descripcion ]],N21)</f>
        <v>0</v>
      </c>
      <c r="R21" s="7" t="s">
        <v>46</v>
      </c>
      <c r="S21" s="7" t="s">
        <v>0</v>
      </c>
      <c r="T21" s="7" t="s">
        <v>22</v>
      </c>
    </row>
    <row r="22" spans="2:20" x14ac:dyDescent="0.3">
      <c r="J22" s="17"/>
      <c r="K22" s="18">
        <f>+SUMIFS(DINEROJEFF[Presupuesto],DINEROJEFF[Mes],$B$3,DINEROJEFF[[Descripcion ]],J22)</f>
        <v>0</v>
      </c>
      <c r="L22" s="19">
        <f>+SUMIFS(DINEROJEFF[Monto],DINEROJEFF[Mes],$B$3,DINEROJEFF[[Descripcion ]],J22)</f>
        <v>0</v>
      </c>
      <c r="N22" s="17"/>
      <c r="O22" s="18">
        <f>+SUMIFS(DINEROJEFF[Presupuesto],DINEROJEFF[Mes],$B$3,DINEROJEFF[[Descripcion ]],N22)</f>
        <v>0</v>
      </c>
      <c r="P22" s="21">
        <f>+SUMIFS(DINEROJEFF[Monto],DINEROJEFF[Mes],$B$3,DINEROJEFF[[Descripcion ]],N22)</f>
        <v>0</v>
      </c>
      <c r="R22" s="17" t="str" cm="1">
        <f t="array" ref="R22">IFERROR(_xlfn.UNIQUE(_xlfn._xlws.FILTER(DINEROJEFF[[Descripcion ]],(DINEROJEFF[Mes]=$B$3)*(DINEROJEFF[Categoria]=R20))),"")</f>
        <v/>
      </c>
      <c r="S22" s="18">
        <f>+SUMIFS(DINEROJEFF[Presupuesto],DINEROJEFF[Mes],$B$3,DINEROJEFF[[Descripcion ]],R22)</f>
        <v>0</v>
      </c>
      <c r="T22" s="19">
        <f>+SUMIFS(DINEROJEFF[Monto],DINEROJEFF[Mes],$B$3,DINEROJEFF[[Descripcion ]],R22)</f>
        <v>0</v>
      </c>
    </row>
    <row r="23" spans="2:20" x14ac:dyDescent="0.3">
      <c r="J23" s="17"/>
      <c r="K23" s="18">
        <f>+SUMIFS(DINEROJEFF[Presupuesto],DINEROJEFF[Mes],$B$3,DINEROJEFF[[Descripcion ]],J23)</f>
        <v>0</v>
      </c>
      <c r="L23" s="19">
        <f>+SUMIFS(DINEROJEFF[Monto],DINEROJEFF[Mes],$B$3,DINEROJEFF[[Descripcion ]],J23)</f>
        <v>0</v>
      </c>
      <c r="N23" s="17"/>
      <c r="O23" s="18">
        <f>+SUMIFS(DINEROJEFF[Presupuesto],DINEROJEFF[Mes],$B$3,DINEROJEFF[[Descripcion ]],N23)</f>
        <v>0</v>
      </c>
      <c r="P23" s="21">
        <f>+SUMIFS(DINEROJEFF[Monto],DINEROJEFF[Mes],$B$3,DINEROJEFF[[Descripcion ]],N23)</f>
        <v>0</v>
      </c>
      <c r="R23" s="17"/>
      <c r="S23" s="18">
        <f>+SUMIFS(DINEROJEFF[Presupuesto],DINEROJEFF[Mes],$B$3,DINEROJEFF[[Descripcion ]],R23)</f>
        <v>0</v>
      </c>
      <c r="T23" s="19">
        <f>+SUMIFS(DINEROJEFF[Monto],DINEROJEFF[Mes],$B$3,DINEROJEFF[[Descripcion ]],R23)</f>
        <v>0</v>
      </c>
    </row>
    <row r="24" spans="2:20" x14ac:dyDescent="0.3">
      <c r="J24" s="17"/>
      <c r="K24" s="18">
        <f>+SUMIFS(DINEROJEFF[Presupuesto],DINEROJEFF[Mes],$B$3,DINEROJEFF[[Descripcion ]],J24)</f>
        <v>0</v>
      </c>
      <c r="L24" s="19">
        <f>+SUMIFS(DINEROJEFF[Monto],DINEROJEFF[Mes],$B$3,DINEROJEFF[[Descripcion ]],J24)</f>
        <v>0</v>
      </c>
      <c r="N24" s="17"/>
      <c r="O24" s="18">
        <f>+SUMIFS(DINEROJEFF[Presupuesto],DINEROJEFF[Mes],$B$3,DINEROJEFF[[Descripcion ]],N24)</f>
        <v>0</v>
      </c>
      <c r="P24" s="21">
        <f>+SUMIFS(DINEROJEFF[Monto],DINEROJEFF[Mes],$B$3,DINEROJEFF[[Descripcion ]],N24)</f>
        <v>0</v>
      </c>
      <c r="R24" s="17"/>
      <c r="S24" s="18">
        <f>+SUMIFS(DINEROJEFF[Presupuesto],DINEROJEFF[Mes],$B$3,DINEROJEFF[[Descripcion ]],R24)</f>
        <v>0</v>
      </c>
      <c r="T24" s="19">
        <f>+SUMIFS(DINEROJEFF[Monto],DINEROJEFF[Mes],$B$3,DINEROJEFF[[Descripcion ]],R24)</f>
        <v>0</v>
      </c>
    </row>
    <row r="25" spans="2:20" x14ac:dyDescent="0.3">
      <c r="J25" s="17"/>
      <c r="K25" s="18">
        <f>+SUMIFS(DINEROJEFF[Presupuesto],DINEROJEFF[Mes],$B$3,DINEROJEFF[[Descripcion ]],J25)</f>
        <v>0</v>
      </c>
      <c r="L25" s="19">
        <f>+SUMIFS(DINEROJEFF[Monto],DINEROJEFF[Mes],$B$3,DINEROJEFF[[Descripcion ]],J25)</f>
        <v>0</v>
      </c>
      <c r="N25" s="17"/>
      <c r="O25" s="18">
        <f>+SUMIFS(DINEROJEFF[Presupuesto],DINEROJEFF[Mes],$B$3,DINEROJEFF[[Descripcion ]],N25)</f>
        <v>0</v>
      </c>
      <c r="P25" s="21">
        <f>+SUMIFS(DINEROJEFF[Monto],DINEROJEFF[Mes],$B$3,DINEROJEFF[[Descripcion ]],N25)</f>
        <v>0</v>
      </c>
      <c r="R25" s="17"/>
      <c r="S25" s="18">
        <f>+SUMIFS(DINEROJEFF[Presupuesto],DINEROJEFF[Mes],$B$3,DINEROJEFF[[Descripcion ]],R25)</f>
        <v>0</v>
      </c>
      <c r="T25" s="19">
        <f>+SUMIFS(DINEROJEFF[Monto],DINEROJEFF[Mes],$B$3,DINEROJEFF[[Descripcion ]],R25)</f>
        <v>0</v>
      </c>
    </row>
    <row r="26" spans="2:20" x14ac:dyDescent="0.3">
      <c r="J26" s="17"/>
      <c r="K26" s="18">
        <f>+SUMIFS(DINEROJEFF[Presupuesto],DINEROJEFF[Mes],$B$3,DINEROJEFF[[Descripcion ]],J26)</f>
        <v>0</v>
      </c>
      <c r="L26" s="19">
        <f>+SUMIFS(DINEROJEFF[Monto],DINEROJEFF[Mes],$B$3,DINEROJEFF[[Descripcion ]],J26)</f>
        <v>0</v>
      </c>
      <c r="N26" s="17"/>
      <c r="O26" s="18">
        <f>+SUMIFS(DINEROJEFF[Presupuesto],DINEROJEFF[Mes],$B$3,DINEROJEFF[[Descripcion ]],N26)</f>
        <v>0</v>
      </c>
      <c r="P26" s="21">
        <f>+SUMIFS(DINEROJEFF[Monto],DINEROJEFF[Mes],$B$3,DINEROJEFF[[Descripcion ]],N26)</f>
        <v>0</v>
      </c>
      <c r="R26" s="17"/>
      <c r="S26" s="18">
        <f>+SUMIFS(DINEROJEFF[Presupuesto],DINEROJEFF[Mes],$B$3,DINEROJEFF[[Descripcion ]],R26)</f>
        <v>0</v>
      </c>
      <c r="T26" s="19">
        <f>+SUMIFS(DINEROJEFF[Monto],DINEROJEFF[Mes],$B$3,DINEROJEFF[[Descripcion ]],R26)</f>
        <v>0</v>
      </c>
    </row>
    <row r="27" spans="2:20" x14ac:dyDescent="0.3">
      <c r="J27" s="17"/>
      <c r="K27" s="18">
        <f>+SUMIFS(DINEROJEFF[Presupuesto],DINEROJEFF[Mes],$B$3,DINEROJEFF[[Descripcion ]],J27)</f>
        <v>0</v>
      </c>
      <c r="L27" s="19">
        <f>+SUMIFS(DINEROJEFF[Monto],DINEROJEFF[Mes],$B$3,DINEROJEFF[[Descripcion ]],J27)</f>
        <v>0</v>
      </c>
      <c r="N27" s="17"/>
      <c r="O27" s="18">
        <f>+SUMIFS(DINEROJEFF[Presupuesto],DINEROJEFF[Mes],$B$3,DINEROJEFF[[Descripcion ]],N27)</f>
        <v>0</v>
      </c>
      <c r="P27" s="21">
        <f>+SUMIFS(DINEROJEFF[Monto],DINEROJEFF[Mes],$B$3,DINEROJEFF[[Descripcion ]],N27)</f>
        <v>0</v>
      </c>
      <c r="R27" s="17"/>
      <c r="S27" s="18">
        <f>+SUMIFS(DINEROJEFF[Presupuesto],DINEROJEFF[Mes],$B$3,DINEROJEFF[[Descripcion ]],R27)</f>
        <v>0</v>
      </c>
      <c r="T27" s="19">
        <f>+SUMIFS(DINEROJEFF[Monto],DINEROJEFF[Mes],$B$3,DINEROJEFF[[Descripcion ]],R27)</f>
        <v>0</v>
      </c>
    </row>
    <row r="28" spans="2:20" x14ac:dyDescent="0.3">
      <c r="J28" s="13" t="s">
        <v>40</v>
      </c>
      <c r="K28" s="14">
        <f>+SUM(K12:K27)</f>
        <v>177.5</v>
      </c>
      <c r="L28" s="14">
        <f>+SUM(L12:L27)</f>
        <v>7.5</v>
      </c>
      <c r="N28" s="13" t="s">
        <v>40</v>
      </c>
      <c r="O28" s="14">
        <f>+SUM(O12:O27)</f>
        <v>15</v>
      </c>
      <c r="P28" s="14">
        <f>+SUM(P12:P27)</f>
        <v>47</v>
      </c>
      <c r="R28" s="13" t="s">
        <v>40</v>
      </c>
      <c r="S28" s="14">
        <f>+SUM(S22:S27)</f>
        <v>0</v>
      </c>
      <c r="T28" s="14">
        <f>+SUM(T22:T27)</f>
        <v>0</v>
      </c>
    </row>
  </sheetData>
  <mergeCells count="7">
    <mergeCell ref="B10:D10"/>
    <mergeCell ref="F10:H10"/>
    <mergeCell ref="B3:D3"/>
    <mergeCell ref="B5:D5"/>
    <mergeCell ref="F5:H5"/>
    <mergeCell ref="B6:D6"/>
    <mergeCell ref="F6:H6"/>
  </mergeCells>
  <conditionalFormatting sqref="H12:H17 T12:T18 L12:L28 P12:P28 T22:T28">
    <cfRule type="expression" dxfId="1" priority="1">
      <formula>G12&lt;H12</formula>
    </cfRule>
    <cfRule type="expression" dxfId="0" priority="2">
      <formula>G12&gt;H12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75840F-2E33-41A7-A4A9-25B79F45F772}">
          <x14:formula1>
            <xm:f>'Listas Validadas'!$H$3:$H$14</xm:f>
          </x14:formula1>
          <xm:sqref>B3 E3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opLeftCell="A2" workbookViewId="0">
      <selection activeCell="G37" sqref="G37"/>
    </sheetView>
  </sheetViews>
  <sheetFormatPr baseColWidth="10" defaultColWidth="9.109375" defaultRowHeight="14.4" x14ac:dyDescent="0.3"/>
  <sheetData>
    <row r="1" spans="1:4" x14ac:dyDescent="0.3">
      <c r="A1" t="s">
        <v>4</v>
      </c>
      <c r="B1" t="s">
        <v>1</v>
      </c>
      <c r="C1" t="s">
        <v>3</v>
      </c>
      <c r="D1" t="s">
        <v>5</v>
      </c>
    </row>
    <row r="2" spans="1:4" x14ac:dyDescent="0.3">
      <c r="A2" t="s">
        <v>6</v>
      </c>
    </row>
    <row r="3" spans="1:4" x14ac:dyDescent="0.3">
      <c r="A3" t="s">
        <v>7</v>
      </c>
    </row>
    <row r="4" spans="1:4" x14ac:dyDescent="0.3">
      <c r="A4" t="s">
        <v>8</v>
      </c>
    </row>
    <row r="5" spans="1:4" x14ac:dyDescent="0.3">
      <c r="A5" t="s">
        <v>9</v>
      </c>
    </row>
    <row r="6" spans="1:4" x14ac:dyDescent="0.3">
      <c r="A6" t="s">
        <v>10</v>
      </c>
    </row>
    <row r="7" spans="1:4" x14ac:dyDescent="0.3">
      <c r="A7" t="s">
        <v>11</v>
      </c>
    </row>
    <row r="8" spans="1:4" x14ac:dyDescent="0.3">
      <c r="A8" t="s">
        <v>12</v>
      </c>
    </row>
    <row r="9" spans="1:4" x14ac:dyDescent="0.3">
      <c r="A9" t="s">
        <v>13</v>
      </c>
    </row>
    <row r="10" spans="1:4" x14ac:dyDescent="0.3">
      <c r="A10" t="s">
        <v>14</v>
      </c>
    </row>
    <row r="11" spans="1:4" x14ac:dyDescent="0.3">
      <c r="A11" t="s">
        <v>15</v>
      </c>
    </row>
    <row r="12" spans="1:4" x14ac:dyDescent="0.3">
      <c r="A12" t="s">
        <v>16</v>
      </c>
    </row>
    <row r="13" spans="1:4" x14ac:dyDescent="0.3">
      <c r="A1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Listas Validadas</vt:lpstr>
      <vt:lpstr>Registro Ingreso Egreso</vt:lpstr>
      <vt:lpstr>Informe</vt:lpstr>
      <vt:lpstr>Presupuesto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Toaquiza</cp:lastModifiedBy>
  <dcterms:created xsi:type="dcterms:W3CDTF">2026-01-29T12:34:23Z</dcterms:created>
  <dcterms:modified xsi:type="dcterms:W3CDTF">2026-01-30T01:27:13Z</dcterms:modified>
</cp:coreProperties>
</file>