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84EB3C09-D252-4270-BE17-33B6D2D29CAC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C5" i="1"/>
  <c r="C6" i="1"/>
  <c r="C9" i="1"/>
  <c r="C8" i="1"/>
  <c r="L8" i="1"/>
  <c r="L9" i="1"/>
  <c r="J3" i="1" l="1" a="1"/>
  <c r="J3" i="1" s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L7" i="1" l="1"/>
  <c r="K7" i="1" s="1"/>
  <c r="O19" i="4"/>
  <c r="P19" i="4"/>
  <c r="P18" i="4"/>
  <c r="O18" i="4"/>
  <c r="P17" i="4"/>
  <c r="O17" i="4"/>
  <c r="P16" i="4"/>
  <c r="O16" i="4"/>
  <c r="O15" i="4"/>
  <c r="N12" i="4"/>
  <c r="O12" i="4" s="1"/>
  <c r="O14" i="4"/>
  <c r="P14" i="4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<sst xmlns="http://schemas.openxmlformats.org/spreadsheetml/2006/main" count="249" uniqueCount="107">
  <si>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</si>
  <si>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</si>
  <si>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</si>
  <si>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</si>
  <si>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</si>
  <si>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</si>
  <si>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</si>
  <si>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</si>
  <si>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</si>
  <si>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</si>
  <si>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</si>
  <si>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</si>
  <si>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</si>
  <si>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</si>
  <si>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</si>
  <si>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</si>
  <si>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</si>
  <si>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</si>
  <si>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</si>
  <si>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</si>
  <si>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</si>
  <si>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</si>
  <si>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</si>
  <si>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</si>
  <si>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</si>
  <si>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</si>
  <si>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</si>
  <si>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</si>
  <si>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</si>
  <si>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</si>
  <si>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</si>
  <si>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</si>
  <si>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</si>
  <si>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</si>
  <si>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</si>
  <si>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</si>
  <si>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</si>
  <si>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</si>
  <si>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</si>
  <si>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</si>
  <si>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</si>
  <si>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</si>
  <si>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</si>
  <si>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</si>
  <si>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</si>
  <si>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</si>
  <si>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</si>
  <si>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</si>
  <si>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</si>
  <si>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</si>
  <si>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</si>
  <si>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</si>
  <si>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</si>
  <si>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</si>
  <si>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</si>
  <si>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</si>
  <si>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</si>
  <si>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</si>
  <si>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</si>
  <si>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</si>
  <si>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</si>
  <si>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</si>
  <si>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</si>
  <si>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</si>
  <si>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</si>
  <si>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</si>
  <si>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</si>
  <si>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</si>
  <si>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</si>
  <si>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</si>
  <si>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</si>
  <si>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</si>
  <si>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</si>
  <si>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</si>
  <si>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</si>
  <si>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</si>
  <si>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</si>
  <si>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</si>
  <si>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</si>
  <si>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</si>
  <si>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</si>
  <si>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</si>
  <si>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</si>
  <si>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</si>
  <si>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</si>
  <si>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</si>
  <si>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</si>
  <si>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</si>
  <si>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</si>
  <si>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EGR17</t>
  </si>
  <si>
    <t>Apertura cuenta CoopMego</t>
  </si>
  <si>
    <t>EGR18</t>
  </si>
  <si>
    <t xml:space="preserve">Prestamo a Joss </t>
  </si>
  <si>
    <t>SLD4</t>
  </si>
  <si>
    <t>marzo</t>
  </si>
  <si>
    <t>Saldo acumulado mes anterior (febrero)</t>
  </si>
  <si>
    <t>EGR19</t>
  </si>
  <si>
    <t>Transferencia a W.P</t>
  </si>
  <si>
    <t>Salario de Trabajo</t>
  </si>
  <si>
    <t>EGR20</t>
  </si>
  <si>
    <t>EGR21</t>
  </si>
  <si>
    <t>EGR22</t>
  </si>
  <si>
    <t>Pago letra #1 del prestamo</t>
  </si>
  <si>
    <t>EGR23</t>
  </si>
  <si>
    <t>EGR24</t>
  </si>
  <si>
    <t>IGR4</t>
  </si>
  <si>
    <t>Devolucion de Lupe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</si>
</sst>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1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  <xf numFmtId="0" fontId="0" fillId="0" borderId="0" xfId="0" applyNumberFormat="1"/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f>Informe!$D$12:$D$16</c:f>
              <c:numCache>
                <c:formatCode>_ "$"* #.##000_ ;_ "$"* \-#.##000_ ;_ "$"* "-"??_ ;_ @_ </c:formatCode>
                <c:ptCount val="5"/>
                <c:pt idx="0">
                  <c:v>628.11</c:v>
                </c:pt>
                <c:pt idx="1">
                  <c:v>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f>Informe!$C$12:$C$16</c:f>
              <c:numCache>
                <c:formatCode>_ "$"* #.##000_ ;_ "$"* \-#.##000_ ;_ "$"* "-"??_ ;_ @_ </c:formatCode>
                <c:ptCount val="5"/>
                <c:pt idx="0">
                  <c:v>550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.##000_ ;_ &quot;$&quot;* \-#.##0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  <c:strCache>
                <c:ptCount val="3"/>
                <c:pt idx="0">
                  <c:v>Servicios</c:v>
                </c:pt>
                <c:pt idx="1">
                  <c:v>Prestamos</c:v>
                </c:pt>
                <c:pt idx="2">
                  <c:v>Gastos</c:v>
                </c:pt>
              </c:strCache>
            </c:strRef>
          </c:cat>
          <c:val>
            <c:numRef>
              <c:f>Informe!$H$12:$H$16</c:f>
              <c:numCache>
                <c:formatCode>_ "$"* #.##000_ ;_ "$"* \-#.##000_ ;_ "$"* "-"??_ ;_ @_ </c:formatCode>
                <c:ptCount val="5"/>
                <c:pt idx="0">
                  <c:v>185</c:v>
                </c:pt>
                <c:pt idx="1">
                  <c:v>350</c:v>
                </c:pt>
                <c:pt idx="2">
                  <c:v>7.78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607695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34" totalsRowShown="0">
  <autoFilter ref="A2:H34" xr:uid="{031F9C4B-C7C5-4648-872B-979DE1968F36}"/>
  <sortState xmlns:xlrd2="http://schemas.microsoft.com/office/spreadsheetml/2017/richdata2" ref="A3:H34">
    <sortCondition ref="B3:B34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34"/>
  <sheetViews>
    <sheetView zoomScale="90" workbookViewId="0">
      <pane ySplit="2" topLeftCell="A3" activePane="bottomLeft" state="frozen"/>
      <selection pane="bottomLeft" activeCell="A2" sqref="A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:J7">IFERROR(
   _xlfn.UNIQUE(
      _xlfn._xlws.FILTER(
         DINEROJEFF[Categoria],
         (DINEROJEFF[Mes]=Informe!$B$3)*(DINEROJEFF[Categoria]&lt;&gt;"Cuenta Banco")
      )
   ),
""
)</f>
        <v>Sueldo</v>
      </c>
      <c r="K3" s="6">
        <f>SUMIFS(DINEROJEFF[Monto],DINEROJEFF[Mes],Informe!$B$3,DINEROJEFF[Categoria],J3)
*IF(L3="Ingreso",1,-1)</f>
        <v>628.11</v>
      </c>
      <c r="L3" s="6" t="str">
        <f>IFERROR(_xlfn.XLOOKUP(J3,DINEROJEFF[Categoria],DINEROJEFF[Tipo]),"")</f>
        <v>Ingreso</v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 t="str">
        <v>Servicios</v>
      </c>
      <c r="K4" s="6">
        <f>SUMIFS(DINEROJEFF[Monto],DINEROJEFF[Mes],Informe!$B$3,DINEROJEFF[Categoria],J4)
*IF(L4="Ingreso",1,-1)</f>
        <v>-185</v>
      </c>
      <c r="L4" s="6" t="str">
        <f>IFERROR(_xlfn.XLOOKUP(J4,DINEROJEFF[Categoria],DINEROJEFF[Tipo]),"")</f>
        <v>Egreso</v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 t="str">
        <v>Prestamos</v>
      </c>
      <c r="K5" s="6">
        <f>SUMIFS(DINEROJEFF[Monto],DINEROJEFF[Mes],Informe!$B$3,DINEROJEFF[Categoria],J5)
*IF(L5="Ingreso",1,-1)</f>
        <v>-350</v>
      </c>
      <c r="L5" s="6" t="str">
        <f>IFERROR(_xlfn.XLOOKUP(J5,DINEROJEFF[Categoria],DINEROJEFF[Tipo]),"")</f>
        <v>Egreso</v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 t="str">
        <v>Otros</v>
      </c>
      <c r="K6" s="6">
        <f>SUMIFS(DINEROJEFF[Monto],DINEROJEFF[Mes],Informe!$B$3,DINEROJEFF[Categoria],J6)
*IF(L6="Ingreso",1,-1)</f>
        <v>600</v>
      </c>
      <c r="L6" s="6" t="str">
        <f>IFERROR(_xlfn.XLOOKUP(J6,DINEROJEFF[Categoria],DINEROJEFF[Tipo]),"")</f>
        <v>Ingreso</v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 t="str">
        <v>Gastos</v>
      </c>
      <c r="K7" s="6">
        <f>SUMIFS(DINEROJEFF[Monto],DINEROJEFF[Mes],Informe!$B$3,DINEROJEFF[Categoria],J7)
*IF(L7="Ingreso",1,-1)</f>
        <v>-7.78</v>
      </c>
      <c r="L7" s="6" t="str">
        <f>IFERROR(_xlfn.XLOOKUP(J7,DINEROJEFF[Categoria],DINEROJEFF[Tipo]),"")</f>
        <v>Egreso</v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685.33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19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79</v>
      </c>
      <c r="B21" s="2">
        <v>46063</v>
      </c>
      <c r="C21" t="s">
        <v>71</v>
      </c>
      <c r="D21" t="s">
        <v>22</v>
      </c>
      <c r="E21" t="s">
        <v>3</v>
      </c>
      <c r="F21" t="s">
        <v>90</v>
      </c>
      <c r="G21">
        <v>0</v>
      </c>
      <c r="H21">
        <v>2</v>
      </c>
    </row>
    <row r="22" spans="1:8" x14ac:dyDescent="0.3">
      <c r="A22" s="2" t="s">
        <v>80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84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  <c r="H23">
        <v>10</v>
      </c>
    </row>
    <row r="24" spans="1:8" x14ac:dyDescent="0.3">
      <c r="A24" s="2" t="s">
        <v>89</v>
      </c>
      <c r="B24" s="2">
        <v>46071</v>
      </c>
      <c r="C24" t="s">
        <v>71</v>
      </c>
      <c r="D24" t="s">
        <v>22</v>
      </c>
      <c r="E24" t="s">
        <v>3</v>
      </c>
      <c r="F24" t="s">
        <v>92</v>
      </c>
      <c r="G24">
        <v>0</v>
      </c>
      <c r="H24">
        <v>100</v>
      </c>
    </row>
    <row r="25" spans="1:8" x14ac:dyDescent="0.3">
      <c r="A25" s="2" t="s">
        <v>91</v>
      </c>
      <c r="B25" s="2">
        <v>46071</v>
      </c>
      <c r="C25" t="s">
        <v>71</v>
      </c>
      <c r="D25" t="s">
        <v>22</v>
      </c>
      <c r="E25" t="s">
        <v>3</v>
      </c>
      <c r="F25" t="s">
        <v>97</v>
      </c>
      <c r="G25">
        <v>0</v>
      </c>
      <c r="H25">
        <v>95</v>
      </c>
    </row>
    <row r="26" spans="1:8" x14ac:dyDescent="0.3">
      <c r="A26" s="2" t="s">
        <v>96</v>
      </c>
      <c r="B26" s="2">
        <v>46074</v>
      </c>
      <c r="C26" t="s">
        <v>71</v>
      </c>
      <c r="D26" t="s">
        <v>22</v>
      </c>
      <c r="E26" t="s">
        <v>40</v>
      </c>
      <c r="F26" t="s">
        <v>78</v>
      </c>
      <c r="G26">
        <v>7.78</v>
      </c>
      <c r="H26">
        <v>7.78</v>
      </c>
    </row>
    <row r="27" spans="1:8" x14ac:dyDescent="0.3">
      <c r="A27" s="2" t="s">
        <v>93</v>
      </c>
      <c r="B27" s="2">
        <v>46082</v>
      </c>
      <c r="C27" t="s">
        <v>94</v>
      </c>
      <c r="D27" t="s">
        <v>36</v>
      </c>
      <c r="E27" t="s">
        <v>65</v>
      </c>
      <c r="F27" t="s">
        <v>95</v>
      </c>
      <c r="G27">
        <v>0</v>
      </c>
      <c r="H27">
        <v>9502.31</v>
      </c>
    </row>
    <row r="28" spans="1:8" x14ac:dyDescent="0.3">
      <c r="A28" s="2" t="s">
        <v>88</v>
      </c>
      <c r="B28" s="2">
        <v>46083</v>
      </c>
      <c r="C28" t="s">
        <v>94</v>
      </c>
      <c r="D28" t="s">
        <v>29</v>
      </c>
      <c r="E28" t="s">
        <v>2</v>
      </c>
      <c r="F28" t="s">
        <v>98</v>
      </c>
      <c r="G28">
        <v>550</v>
      </c>
      <c r="H28">
        <v>628.11</v>
      </c>
    </row>
    <row r="29" spans="1:8" x14ac:dyDescent="0.3">
      <c r="A29" s="2" t="s">
        <v>99</v>
      </c>
      <c r="B29" s="2">
        <v>46083</v>
      </c>
      <c r="C29" t="s">
        <v>94</v>
      </c>
      <c r="D29" t="s">
        <v>22</v>
      </c>
      <c r="E29" t="s">
        <v>40</v>
      </c>
      <c r="F29" t="s">
        <v>69</v>
      </c>
      <c r="G29">
        <v>20</v>
      </c>
      <c r="H29">
        <v>25</v>
      </c>
    </row>
    <row r="30" spans="1:8" x14ac:dyDescent="0.3">
      <c r="A30" s="2" t="s">
        <v>100</v>
      </c>
      <c r="B30" s="2">
        <v>46083</v>
      </c>
      <c r="C30" t="s">
        <v>94</v>
      </c>
      <c r="D30" t="s">
        <v>22</v>
      </c>
      <c r="E30" t="s">
        <v>40</v>
      </c>
      <c r="F30" t="s">
        <v>81</v>
      </c>
      <c r="G30">
        <v>20</v>
      </c>
      <c r="H30">
        <v>10</v>
      </c>
    </row>
    <row r="31" spans="1:8" x14ac:dyDescent="0.3">
      <c r="A31" s="2" t="s">
        <v>101</v>
      </c>
      <c r="B31" s="2">
        <v>46086</v>
      </c>
      <c r="C31" t="s">
        <v>94</v>
      </c>
      <c r="D31" t="s">
        <v>22</v>
      </c>
      <c r="E31" t="s">
        <v>27</v>
      </c>
      <c r="F31" t="s">
        <v>102</v>
      </c>
      <c r="G31">
        <v>350</v>
      </c>
      <c r="H31">
        <v>350</v>
      </c>
    </row>
    <row r="32" spans="1:8" x14ac:dyDescent="0.3">
      <c r="A32" s="2" t="s">
        <v>103</v>
      </c>
      <c r="B32" s="2">
        <v>46091</v>
      </c>
      <c r="C32" t="s">
        <v>94</v>
      </c>
      <c r="D32" t="s">
        <v>22</v>
      </c>
      <c r="E32" t="s">
        <v>40</v>
      </c>
      <c r="F32" t="s">
        <v>44</v>
      </c>
      <c r="G32">
        <v>150</v>
      </c>
      <c r="H32">
        <v>150</v>
      </c>
    </row>
    <row r="33" spans="1:8" x14ac:dyDescent="0.3">
      <c r="A33" s="2" t="s">
        <v>105</v>
      </c>
      <c r="B33" s="2">
        <v>46096</v>
      </c>
      <c r="C33" s="30" t="s">
        <v>94</v>
      </c>
      <c r="D33" t="s">
        <v>29</v>
      </c>
      <c r="E33" t="s">
        <v>26</v>
      </c>
      <c r="F33" t="s">
        <v>106</v>
      </c>
      <c r="G33">
        <v>0</v>
      </c>
      <c r="H33">
        <v>600</v>
      </c>
    </row>
    <row r="34" spans="1:8" x14ac:dyDescent="0.3">
      <c r="A34" s="2" t="s">
        <v>104</v>
      </c>
      <c r="B34" s="2">
        <v>46102</v>
      </c>
      <c r="C34" t="s">
        <v>94</v>
      </c>
      <c r="D34" t="s">
        <v>22</v>
      </c>
      <c r="E34" t="s">
        <v>3</v>
      </c>
      <c r="F34" t="s">
        <v>78</v>
      </c>
      <c r="G34">
        <v>7.78</v>
      </c>
      <c r="H34">
        <v>7.78</v>
      </c>
    </row>
  </sheetData>
  <sheetProtection algorithmName="SHA-512" hashValue="uAj76Ce6X0FkFEXg5/vnvJFVvBsl+Of49flsfa2tAeQBwc+Bp9dS1t2wvkZLAl3NjJmQ4QvgQq0/ZZvHMTX+dA==" saltValue="OlY5+v/i/Xc8DMF3xznF9Q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D3:D34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Normal="10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10187.64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 t="s">
        <v>8</v>
      </c>
      <c r="C3" s="27"/>
      <c r="D3" s="27"/>
      <c r="E3" s="23"/>
      <c r="F3" s="8" t="s">
        <v>36</v>
      </c>
      <c r="G3" s="8"/>
      <c r="H3" s="9">
        <f>+B6-F6</f>
        <v>685.33000000000015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1228.1100000000001</v>
      </c>
      <c r="C6" s="29"/>
      <c r="D6" s="29"/>
      <c r="E6"/>
      <c r="F6" s="29">
        <f>+SUMIFS(DINEROJEFF[Monto],DINEROJEFF[Tipo],"Egreso",DINEROJEFF[Mes],B3)</f>
        <v>542.78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550</v>
      </c>
      <c r="E7"/>
      <c r="F7" s="11"/>
      <c r="G7" s="11" t="s">
        <v>34</v>
      </c>
      <c r="H7" s="12">
        <f>+SUMIFS(DINEROJEFF[Presupuesto],DINEROJEFF[Tipo],"Egreso",DINEROJEFF[Mes],B3)</f>
        <v>547.78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678.11000000000013</v>
      </c>
      <c r="E8"/>
      <c r="F8" s="11"/>
      <c r="G8" s="11" t="s">
        <v>35</v>
      </c>
      <c r="H8" s="13">
        <f>+F6-H7</f>
        <v>-5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:B13">IFERROR(_xlfn.UNIQUE(_xlfn._xlws.FILTER(DINEROJEFF[Categoria],(DINEROJEFF[Mes]=$B$3)*(DINEROJEFF[Tipo]="Ingreso"))),"")</f>
        <v>Sueldo</v>
      </c>
      <c r="C12" s="12">
        <f>+SUMIFS(DINEROJEFF[Presupuesto],DINEROJEFF[Mes],$B$3,DINEROJEFF[Categoria],B12)</f>
        <v>550</v>
      </c>
      <c r="D12" s="14">
        <f>+SUMIFS(DINEROJEFF[Monto],DINEROJEFF[Mes],$B$3,DINEROJEFF[Categoria],B12)</f>
        <v>628.11</v>
      </c>
      <c r="E12"/>
      <c r="F12" t="str" cm="1">
        <f t="array" ref="F12:F14">IFERROR(_xlfn.UNIQUE(_xlfn._xlws.FILTER(DINEROJEFF[Categoria],(DINEROJEFF[Mes]=$B$3)*(DINEROJEFF[Tipo]="Egreso"))),"")</f>
        <v>Servicios</v>
      </c>
      <c r="G12" s="12">
        <f>+SUMIFS(DINEROJEFF[Presupuesto],DINEROJEFF[Mes],$B$3,DINEROJEFF[Categoria],F12)</f>
        <v>190</v>
      </c>
      <c r="H12" s="14">
        <f>+SUMIFS(DINEROJEFF[Monto],DINEROJEFF[Mes],$B$3,DINEROJEFF[Categoria],F12)</f>
        <v>185</v>
      </c>
      <c r="I12"/>
      <c r="J12" s="18" t="str" cm="1">
        <f t="array" ref="J12:J14">IFERROR(_xlfn.UNIQUE(_xlfn._xlws.FILTER(DINEROJEFF[[Descripcion ]],(DINEROJEFF[Mes]=$B$3)*(DINEROJEFF[Categoria]=J10))),"")</f>
        <v>Pasajes</v>
      </c>
      <c r="K12" s="19">
        <f>+SUMIFS(DINEROJEFF[Presupuesto],DINEROJEFF[Mes],$B$3,DINEROJEFF[[Descripcion ]],J12)</f>
        <v>20</v>
      </c>
      <c r="L12" s="20">
        <f>+SUMIFS(DINEROJEFF[Monto],DINEROJEFF[Mes],$B$3,DINEROJEFF[[Descripcion ]],J12)</f>
        <v>25</v>
      </c>
      <c r="M12"/>
      <c r="N12" s="18" t="str" cm="1">
        <f t="array" ref="N12">IFERROR(_xlfn.UNIQUE(_xlfn._xlws.FILTER(DINEROJEFF[[Descripcion ]],(DINEROJEFF[Mes]=$B$3)*(DINEROJEFF[Categoria]=N10))),"")</f>
        <v>Youtube</v>
      </c>
      <c r="O12" s="19">
        <f>+SUMIFS(DINEROJEFF[Presupuesto],DINEROJEFF[Mes],$B$3,DINEROJEFF[[Descripcion ]],N12)</f>
        <v>7.78</v>
      </c>
      <c r="P12" s="21">
        <f>+SUMIFS(DINEROJEFF[Monto],DINEROJEFF[Mes],$B$3,DINEROJEFF[[Descripcion ]],N12)</f>
        <v>7.78</v>
      </c>
      <c r="Q12"/>
      <c r="R12" s="18" t="str" cm="1">
        <f t="array" ref="R12">IFERROR(_xlfn.UNIQUE(_xlfn._xlws.FILTER(DINEROJEFF[[Descripcion ]],(DINEROJEFF[Mes]=$B$3)*(DINEROJEFF[Categoria]=R10))),"")</f>
        <v>Pago letra #1 del prestamo</v>
      </c>
      <c r="S12" s="19">
        <f>+SUMIFS(DINEROJEFF[Presupuesto],DINEROJEFF[Mes],$B$3,DINEROJEFF[[Descripcion ]],R12)</f>
        <v>350</v>
      </c>
      <c r="T12" s="20">
        <f>+SUMIFS(DINEROJEFF[Monto],DINEROJEFF[Mes],$B$3,DINEROJEFF[[Descripcion ]],R12)</f>
        <v>350</v>
      </c>
      <c r="U12"/>
    </row>
    <row r="13" spans="1:21" x14ac:dyDescent="0.3">
      <c r="A13"/>
      <c r="B13" t="str">
        <v>Otros</v>
      </c>
      <c r="C13" s="12">
        <f>+SUMIFS(DINEROJEFF[Presupuesto],DINEROJEFF[Mes],$B$3,DINEROJEFF[Categoria],B13)</f>
        <v>0</v>
      </c>
      <c r="D13" s="14">
        <f>+SUMIFS(DINEROJEFF[Monto],DINEROJEFF[Mes],$B$3,DINEROJEFF[Categoria],B13)</f>
        <v>600</v>
      </c>
      <c r="E13"/>
      <c r="F13" t="str">
        <v>Prestamos</v>
      </c>
      <c r="G13" s="12">
        <f>+SUMIFS(DINEROJEFF[Presupuesto],DINEROJEFF[Mes],$B$3,DINEROJEFF[Categoria],F13)</f>
        <v>350</v>
      </c>
      <c r="H13" s="14">
        <f>+SUMIFS(DINEROJEFF[Monto],DINEROJEFF[Mes],$B$3,DINEROJEFF[Categoria],F13)</f>
        <v>350</v>
      </c>
      <c r="I13"/>
      <c r="J13" s="18" t="str">
        <v>Comida para Aleu</v>
      </c>
      <c r="K13" s="19">
        <f>+SUMIFS(DINEROJEFF[Presupuesto],DINEROJEFF[Mes],$B$3,DINEROJEFF[[Descripcion ]],J13)</f>
        <v>20</v>
      </c>
      <c r="L13" s="20">
        <f>+SUMIFS(DINEROJEFF[Monto],DINEROJEFF[Mes],$B$3,DINEROJEFF[[Descripcion ]],J13)</f>
        <v>10</v>
      </c>
      <c r="M13"/>
      <c r="N13" s="18"/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 t="str">
        <v>Gastos</v>
      </c>
      <c r="G14" s="12">
        <f>+SUMIFS(DINEROJEFF[Presupuesto],DINEROJEFF[Mes],$B$3,DINEROJEFF[Categoria],F14)</f>
        <v>7.78</v>
      </c>
      <c r="H14" s="14">
        <f>+SUMIFS(DINEROJEFF[Monto],DINEROJEFF[Mes],$B$3,DINEROJEFF[Categoria],F14)</f>
        <v>7.78</v>
      </c>
      <c r="I14"/>
      <c r="J14" s="18" t="str">
        <v>Alimentacion</v>
      </c>
      <c r="K14" s="19">
        <f>+SUMIFS(DINEROJEFF[Presupuesto],DINEROJEFF[Mes],$B$3,DINEROJEFF[[Descripcion ]],J14)</f>
        <v>150</v>
      </c>
      <c r="L14" s="20">
        <f>+SUMIFS(DINEROJEFF[Monto],DINEROJEFF[Mes],$B$3,DINEROJEFF[[Descripcion ]],J14)</f>
        <v>150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550</v>
      </c>
      <c r="D17" s="16">
        <f>+SUM(D12:D16)</f>
        <v>1228.1100000000001</v>
      </c>
      <c r="E17"/>
      <c r="F17" s="15" t="s">
        <v>39</v>
      </c>
      <c r="G17" s="16">
        <f>+SUM(G12:G16)</f>
        <v>547.78</v>
      </c>
      <c r="H17" s="16">
        <f>+SUM(H12:H16)</f>
        <v>542.78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350</v>
      </c>
      <c r="T18" s="16">
        <f>+SUM(T12:T17)</f>
        <v>350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190</v>
      </c>
      <c r="L28" s="16">
        <f>+SUM(L12:L27)</f>
        <v>185</v>
      </c>
      <c r="M28"/>
      <c r="N28" s="15" t="s">
        <v>39</v>
      </c>
      <c r="O28" s="16">
        <f>+SUM(O12:O27)</f>
        <v>7.78</v>
      </c>
      <c r="P28" s="16">
        <f>+SUM(P12:P27)</f>
        <v>7.78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2026-03-15T23:33:28Z</dcterms:modified>
</cp:coreProperties>
</file>