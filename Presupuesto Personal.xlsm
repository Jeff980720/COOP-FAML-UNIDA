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2968839B-D5E7-449D-B105-DB9AC7C66AB3}" xr6:coauthVersionLast="47" xr6:coauthVersionMax="47" xr10:uidLastSave="{00000000-0000-0000-0000-000000000000}"/>
  <bookViews>
    <workbookView xWindow="-108" yWindow="-108" windowWidth="23256" windowHeight="14616" firstSheet="2" activeTab="2" xr2:uid="{00000000-000D-0000-FFFF-FFFF00000000}"/>
  </bookViews>
  <sheets>
    <sheet name="Listas Validadas" sheetId="3" state="hidden" r:id="rId1"/>
    <sheet name="Registro Ingreso Egreso" sheetId="1" state="hidden" r:id="rId2"/>
    <sheet name="Informe" sheetId="4" r:id="rId3"/>
    <sheet name="Hoja1" sheetId="5" r:id="rId4"/>
    <sheet name="Presupuesto Anual" sheetId="2" state="hidden" r:id="rId5"/>
  </sheets>
  <functionGroups builtInGroupCount="19"/>
  <definedNames>
    <definedName name="_xlnm._FilterDatabase" localSheetId="1" hidden="1">'Registro Ingreso Egreso'!$J$2:$L$6</definedName>
    <definedName name="_xlchart.v5.0" hidden="1">'Registro Ingreso Egreso'!$J$3:$J$10</definedName>
    <definedName name="_xlchart.v5.1" hidden="1">'Registro Ingreso Egreso'!$K$3:$K$10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5" l="1"/>
  <c r="F10" i="5"/>
  <c r="D10" i="5"/>
  <c r="C16" i="1"/>
  <c r="C4" i="1"/>
  <c r="C3" i="1" l="1"/>
  <c r="C5" i="1"/>
  <c r="C6" i="1"/>
  <c r="C9" i="1"/>
  <c r="C8" i="1"/>
  <c r="L9" i="1"/>
  <c r="J3" i="1" l="1" a="1"/>
  <c r="H2" i="4"/>
  <c r="T14" i="4"/>
  <c r="P23" i="4"/>
  <c r="K23" i="4"/>
  <c r="T15" i="4"/>
  <c r="P24" i="4"/>
  <c r="K24" i="4"/>
  <c r="T16" i="4"/>
  <c r="P25" i="4"/>
  <c r="K25" i="4"/>
  <c r="T17" i="4"/>
  <c r="O20" i="4"/>
  <c r="S14" i="4"/>
  <c r="O21" i="4"/>
  <c r="S15" i="4"/>
  <c r="O22" i="4"/>
  <c r="K9" i="1"/>
  <c r="S16" i="4"/>
  <c r="O23" i="4"/>
  <c r="S17" i="4"/>
  <c r="O24" i="4"/>
  <c r="T24" i="4"/>
  <c r="L20" i="4"/>
  <c r="T25" i="4"/>
  <c r="L21" i="4"/>
  <c r="S24" i="4"/>
  <c r="L22" i="4"/>
  <c r="S25" i="4"/>
  <c r="L23" i="4"/>
  <c r="S26" i="4"/>
  <c r="L24" i="4"/>
  <c r="P20" i="4"/>
  <c r="K20" i="4"/>
  <c r="P21" i="4"/>
  <c r="K21" i="4"/>
  <c r="P22" i="4"/>
  <c r="K22" i="4"/>
  <c r="D7" i="4"/>
  <c r="L25" i="4"/>
  <c r="R12" i="4" a="1"/>
  <c r="R12" i="4" s="1"/>
  <c r="L27" i="4"/>
  <c r="S13" i="4"/>
  <c r="K17" i="4"/>
  <c r="K18" i="4"/>
  <c r="O27" i="4"/>
  <c r="T26" i="4"/>
  <c r="P27" i="4"/>
  <c r="S23" i="4"/>
  <c r="L18" i="4"/>
  <c r="L19" i="4"/>
  <c r="S27" i="4"/>
  <c r="T13" i="4"/>
  <c r="R22" i="4" a="1"/>
  <c r="R22" i="4" s="1"/>
  <c r="K16" i="4"/>
  <c r="O25" i="4"/>
  <c r="O26" i="4"/>
  <c r="T23" i="4"/>
  <c r="K19" i="4"/>
  <c r="P26" i="4"/>
  <c r="L16" i="4"/>
  <c r="T27" i="4"/>
  <c r="L17" i="4"/>
  <c r="K26" i="4"/>
  <c r="K27" i="4"/>
  <c r="L26" i="4"/>
  <c r="N12" i="4" a="1"/>
  <c r="P15" i="4" s="1"/>
  <c r="J12" i="4" a="1"/>
  <c r="C15" i="4"/>
  <c r="C14" i="4"/>
  <c r="D16" i="4"/>
  <c r="D15" i="4"/>
  <c r="B12" i="4" a="1"/>
  <c r="B12" i="4" s="1"/>
  <c r="D12" i="4" s="1"/>
  <c r="D14" i="4"/>
  <c r="F12" i="4" a="1"/>
  <c r="F12" i="4" s="1"/>
  <c r="H12" i="4" s="1"/>
  <c r="C16" i="4"/>
  <c r="H7" i="4"/>
  <c r="B6" i="4"/>
  <c r="F6" i="4"/>
  <c r="J3" i="1" l="1"/>
  <c r="L8" i="1"/>
  <c r="K8" i="1" s="1"/>
  <c r="L7" i="1"/>
  <c r="K7" i="1" s="1"/>
  <c r="O19" i="4"/>
  <c r="P19" i="4"/>
  <c r="P18" i="4"/>
  <c r="O18" i="4"/>
  <c r="P17" i="4"/>
  <c r="O17" i="4"/>
  <c r="P16" i="4"/>
  <c r="O16" i="4"/>
  <c r="O15" i="4"/>
  <c r="N12" i="4"/>
  <c r="O12" i="4" s="1"/>
  <c r="O14" i="4"/>
  <c r="P14" i="4"/>
  <c r="L4" i="1"/>
  <c r="K4" i="1" s="1"/>
  <c r="L5" i="1"/>
  <c r="K5" i="1" s="1"/>
  <c r="L6" i="1"/>
  <c r="K6" i="1" s="1"/>
  <c r="O13" i="4"/>
  <c r="P13" i="4"/>
  <c r="S12" i="4"/>
  <c r="S18" i="4" s="1"/>
  <c r="T12" i="4"/>
  <c r="T18" i="4" s="1"/>
  <c r="T22" i="4"/>
  <c r="T28" i="4" s="1"/>
  <c r="S22" i="4"/>
  <c r="S28" i="4" s="1"/>
  <c r="K14" i="4"/>
  <c r="K15" i="4"/>
  <c r="L14" i="4"/>
  <c r="L15" i="4"/>
  <c r="G16" i="4"/>
  <c r="H16" i="4"/>
  <c r="H15" i="4"/>
  <c r="G15" i="4"/>
  <c r="J12" i="4"/>
  <c r="K13" i="4"/>
  <c r="L13" i="4"/>
  <c r="H8" i="4"/>
  <c r="H14" i="4"/>
  <c r="G14" i="4"/>
  <c r="H13" i="4"/>
  <c r="C13" i="4"/>
  <c r="G12" i="4"/>
  <c r="D13" i="4"/>
  <c r="D17" i="4" s="1"/>
  <c r="G13" i="4"/>
  <c r="C12" i="4"/>
  <c r="D8" i="4"/>
  <c r="H3" i="4"/>
  <c r="P12" i="4" l="1"/>
  <c r="P28" i="4" s="1"/>
  <c r="L3" i="1"/>
  <c r="L10" i="1" s="1"/>
  <c r="O28" i="4"/>
  <c r="K12" i="4"/>
  <c r="K28" i="4" s="1"/>
  <c r="L12" i="4"/>
  <c r="L28" i="4" s="1"/>
  <c r="H17" i="4"/>
  <c r="G17" i="4"/>
  <c r="C17" i="4"/>
  <c r="K3" i="1" l="1"/>
  <c r="K1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<sst xmlns="http://schemas.openxmlformats.org/spreadsheetml/2006/main" count="296" uniqueCount="125">
  <si>
    <t>Presupuesto</t>
  </si>
  <si>
    <t>Ingresos</t>
  </si>
  <si>
    <t>Sueldo</t>
  </si>
  <si>
    <t>Gastos</t>
  </si>
  <si>
    <t>Mes</t>
  </si>
  <si>
    <t>Ahorro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</si>
  <si>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</si>
  <si>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</si>
  <si>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</si>
  <si>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</si>
  <si>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</si>
  <si>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</si>
  <si>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</si>
  <si>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</si>
  <si>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</si>
  <si>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</si>
  <si>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</si>
  <si>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</si>
  <si>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Tipo</t>
  </si>
  <si>
    <t>Categoria</t>
  </si>
  <si>
    <t xml:space="preserve">Descripcion </t>
  </si>
  <si>
    <t>Monto</t>
  </si>
  <si>
    <t>Egreso</t>
  </si>
  <si>
    <t>Cat. Ingreso</t>
  </si>
  <si>
    <t>Cat. Egreso</t>
  </si>
  <si>
    <t>Negocios</t>
  </si>
  <si>
    <t>Otros</t>
  </si>
  <si>
    <t>Prestamos</t>
  </si>
  <si>
    <t>Ahorros</t>
  </si>
  <si>
    <t>Ingreso</t>
  </si>
  <si>
    <t xml:space="preserve">Manejo del dinero de Jefferson </t>
  </si>
  <si>
    <t>Selecciona el Mes</t>
  </si>
  <si>
    <t>INGRESOS TOTALES</t>
  </si>
  <si>
    <t>EGRESOS TOTALES</t>
  </si>
  <si>
    <t>Ppto</t>
  </si>
  <si>
    <t>Dif</t>
  </si>
  <si>
    <t>Saldo</t>
  </si>
  <si>
    <t>Resumen Ingresos</t>
  </si>
  <si>
    <t>Resumen Egresos</t>
  </si>
  <si>
    <t>Total</t>
  </si>
  <si>
    <t>Servicios</t>
  </si>
  <si>
    <t xml:space="preserve">Sueldo del mes </t>
  </si>
  <si>
    <t>Recibo de internet</t>
  </si>
  <si>
    <t>Recibo de youtube</t>
  </si>
  <si>
    <t>Alimentacion</t>
  </si>
  <si>
    <t>Concepto</t>
  </si>
  <si>
    <t>Servico de Coris del Ecuador S.A</t>
  </si>
  <si>
    <t>Comida del perro</t>
  </si>
  <si>
    <t>Secuencia</t>
  </si>
  <si>
    <t>Fecha</t>
  </si>
  <si>
    <t>IGR1</t>
  </si>
  <si>
    <t>EGR1</t>
  </si>
  <si>
    <t>EGR2</t>
  </si>
  <si>
    <t>EGR3</t>
  </si>
  <si>
    <t>EGR4</t>
  </si>
  <si>
    <t>EGR5</t>
  </si>
  <si>
    <t>enero</t>
  </si>
  <si>
    <t>EGR6</t>
  </si>
  <si>
    <t xml:space="preserve">Salida con amigos </t>
  </si>
  <si>
    <t>EGR7</t>
  </si>
  <si>
    <t>Corte de pelo</t>
  </si>
  <si>
    <t>EGR8</t>
  </si>
  <si>
    <t>EGR9</t>
  </si>
  <si>
    <t>Datos para el celular</t>
  </si>
  <si>
    <t>Dinero en el banco</t>
  </si>
  <si>
    <t>Cuenta Banco</t>
  </si>
  <si>
    <t>Cta. de Banco</t>
  </si>
  <si>
    <t>SLD1</t>
  </si>
  <si>
    <t>EGR10</t>
  </si>
  <si>
    <t>Pasajes</t>
  </si>
  <si>
    <t>EGR11</t>
  </si>
  <si>
    <t>febrero</t>
  </si>
  <si>
    <t>Varios por cuadre de cuenta de banco</t>
  </si>
  <si>
    <t>SLD2</t>
  </si>
  <si>
    <t>IGR2</t>
  </si>
  <si>
    <t>Salario de trabajo</t>
  </si>
  <si>
    <t>EGR12</t>
  </si>
  <si>
    <t>EGR13</t>
  </si>
  <si>
    <t>Youtube</t>
  </si>
  <si>
    <t>EGR14</t>
  </si>
  <si>
    <t>EGR15</t>
  </si>
  <si>
    <t>Comida para Aleu</t>
  </si>
  <si>
    <t>Salidas</t>
  </si>
  <si>
    <t>Reposicion de caja</t>
  </si>
  <si>
    <t>EGR16</t>
  </si>
  <si>
    <t>SLD3</t>
  </si>
  <si>
    <t>Dinero en el banco Pichincha</t>
  </si>
  <si>
    <t>Dinero en el banco VisionFund</t>
  </si>
  <si>
    <t>IGR3</t>
  </si>
  <si>
    <t>EGR17</t>
  </si>
  <si>
    <t>Apertura cuenta CoopMego</t>
  </si>
  <si>
    <t>EGR18</t>
  </si>
  <si>
    <t xml:space="preserve">Prestamo a Joss </t>
  </si>
  <si>
    <t>SLD4</t>
  </si>
  <si>
    <t>marzo</t>
  </si>
  <si>
    <t>Saldo acumulado mes anterior (febrero)</t>
  </si>
  <si>
    <t>EGR19</t>
  </si>
  <si>
    <t>Transferencia a W.P</t>
  </si>
  <si>
    <t>Salario de Trabajo</t>
  </si>
  <si>
    <t>EGR20</t>
  </si>
  <si>
    <t>EGR21</t>
  </si>
  <si>
    <t>EGR22</t>
  </si>
  <si>
    <t>Pago letra #1 del prestamo</t>
  </si>
  <si>
    <t>EGR23</t>
  </si>
  <si>
    <t>EGR24</t>
  </si>
  <si>
    <t>IGR4</t>
  </si>
  <si>
    <t>Devolucion de Lupe</t>
  </si>
  <si>
    <t>BANCO</t>
  </si>
  <si>
    <t>SUELDO</t>
  </si>
  <si>
    <t>EGR25</t>
  </si>
  <si>
    <t>EGR26</t>
  </si>
  <si>
    <t>abril</t>
  </si>
  <si>
    <t>Datos moviles</t>
  </si>
  <si>
    <t>EGR27</t>
  </si>
  <si>
    <t>Entrevista de trabajo</t>
  </si>
  <si>
    <t>SLD5</t>
  </si>
  <si>
    <t>Saldo acumulado mes anterior (marzo)</t>
  </si>
  <si>
    <t>Reunion</t>
  </si>
  <si>
    <t>IGR5</t>
  </si>
  <si>
    <t>EGR28</t>
  </si>
  <si>
    <t>Comida</t>
  </si>
  <si>
    <t>EGR29</t>
  </si>
  <si>
    <t>EGR30</t>
  </si>
  <si>
    <t>EGR31</t>
  </si>
  <si>
    <t>Pago letra #2 del prestamo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</si>
</sst>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* #,##0.00_ ;_ &quot;$&quot;* \-#,##0.00_ ;_ &quot;$&quot;* &quot;-&quot;??_ ;_ @_ 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20"/>
      <color theme="6"/>
      <name val="Amasis MT Pro Black"/>
      <family val="1"/>
    </font>
    <font>
      <sz val="18"/>
      <color theme="6" tint="-0.249977111117893"/>
      <name val="Cambria"/>
      <family val="2"/>
      <scheme val="major"/>
    </font>
    <font>
      <sz val="14"/>
      <color theme="3" tint="0.39997558519241921"/>
      <name val="Amasis MT Pro Black"/>
      <family val="1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b/>
      <sz val="8"/>
      <name val="Calibri"/>
      <family val="2"/>
      <scheme val="minor"/>
    </font>
    <font>
      <b/>
      <sz val="14"/>
      <color theme="0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theme="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</cellStyleXfs>
  <cellXfs count="31">
    <xf numFmtId="0" fontId="0" fillId="0" borderId="0" xfId="0"/>
    <xf numFmtId="0" fontId="4" fillId="3" borderId="1" xfId="0" applyFont="1" applyFill="1" applyBorder="1"/>
    <xf numFmtId="14" fontId="0" fillId="0" borderId="0" xfId="0" applyNumberFormat="1"/>
    <xf numFmtId="0" fontId="3" fillId="2" borderId="0" xfId="3"/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0" fontId="0" fillId="0" borderId="2" xfId="0" applyBorder="1"/>
    <xf numFmtId="0" fontId="9" fillId="0" borderId="0" xfId="2" applyFont="1" applyProtection="1"/>
    <xf numFmtId="0" fontId="9" fillId="0" borderId="0" xfId="2" applyFont="1" applyAlignment="1" applyProtection="1">
      <alignment horizontal="centerContinuous" vertical="center"/>
    </xf>
    <xf numFmtId="164" fontId="17" fillId="0" borderId="0" xfId="1" applyFont="1" applyAlignment="1" applyProtection="1">
      <alignment vertical="center"/>
    </xf>
    <xf numFmtId="0" fontId="7" fillId="4" borderId="0" xfId="0" applyFont="1" applyFill="1" applyAlignment="1">
      <alignment horizontal="center"/>
    </xf>
    <xf numFmtId="0" fontId="11" fillId="0" borderId="0" xfId="0" applyFont="1" applyAlignment="1">
      <alignment horizontal="right"/>
    </xf>
    <xf numFmtId="164" fontId="11" fillId="0" borderId="0" xfId="1" applyFont="1" applyProtection="1"/>
    <xf numFmtId="164" fontId="11" fillId="0" borderId="0" xfId="0" applyNumberFormat="1" applyFont="1"/>
    <xf numFmtId="164" fontId="12" fillId="0" borderId="0" xfId="1" applyFont="1" applyProtection="1"/>
    <xf numFmtId="0" fontId="0" fillId="5" borderId="0" xfId="0" applyFill="1"/>
    <xf numFmtId="164" fontId="0" fillId="5" borderId="0" xfId="0" applyNumberFormat="1" applyFill="1"/>
    <xf numFmtId="0" fontId="13" fillId="0" borderId="0" xfId="0" applyFont="1"/>
    <xf numFmtId="0" fontId="14" fillId="0" borderId="0" xfId="0" applyFont="1"/>
    <xf numFmtId="164" fontId="15" fillId="0" borderId="0" xfId="1" applyFont="1" applyProtection="1"/>
    <xf numFmtId="164" fontId="16" fillId="0" borderId="0" xfId="1" applyFont="1" applyProtection="1"/>
    <xf numFmtId="164" fontId="18" fillId="0" borderId="0" xfId="1" applyFont="1" applyProtection="1"/>
    <xf numFmtId="0" fontId="0" fillId="6" borderId="0" xfId="0" applyFill="1"/>
    <xf numFmtId="0" fontId="8" fillId="0" borderId="0" xfId="0" applyFont="1" applyAlignment="1">
      <alignment vertical="center"/>
    </xf>
    <xf numFmtId="164" fontId="19" fillId="0" borderId="0" xfId="1" applyFont="1" applyAlignment="1" applyProtection="1">
      <alignment vertical="center"/>
    </xf>
    <xf numFmtId="14" fontId="20" fillId="0" borderId="0" xfId="0" applyNumberFormat="1" applyFont="1"/>
    <xf numFmtId="0" fontId="6" fillId="0" borderId="0" xfId="0" applyFont="1" applyAlignment="1">
      <alignment horizontal="center"/>
    </xf>
    <xf numFmtId="0" fontId="8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>
      <alignment horizontal="center"/>
    </xf>
    <xf numFmtId="164" fontId="10" fillId="0" borderId="0" xfId="1" applyFont="1" applyAlignment="1" applyProtection="1">
      <alignment horizontal="center" vertical="center"/>
    </xf>
    <xf numFmtId="0" fontId="0" fillId="0" borderId="0" xfId="0" applyNumberFormat="1"/>
  </cellXfs>
  <cellStyles count="4">
    <cellStyle name="Bueno" xfId="3" builtinId="26"/>
    <cellStyle name="Moneda" xfId="1" builtinId="4"/>
    <cellStyle name="Normal" xfId="0" builtinId="0"/>
    <cellStyle name="Título" xfId="2" builtinId="15"/>
  </cellStyles>
  <dxfs count="4">
    <dxf>
      <font>
        <b/>
        <i val="0"/>
        <color rgb="FF00B050"/>
      </font>
    </dxf>
    <dxf>
      <font>
        <b/>
        <i val="0"/>
        <color rgb="FFFF0000"/>
      </font>
    </dxf>
    <dxf>
      <numFmt numFmtId="0" formatCode="General"/>
    </dxf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Black" panose="020F0502020204030204" pitchFamily="34" charset="0"/>
                <a:ea typeface="+mn-ea"/>
                <a:cs typeface="+mn-cs"/>
              </a:defRPr>
            </a:pPr>
            <a:r>
              <a:rPr lang="es-EC" sz="1000" b="1">
                <a:latin typeface="Aptos Black" panose="020F0502020204030204" pitchFamily="34" charset="0"/>
              </a:rPr>
              <a:t>Presupuesto</a:t>
            </a:r>
            <a:r>
              <a:rPr lang="es-EC" sz="1000" b="1" baseline="0">
                <a:latin typeface="Aptos Black" panose="020F0502020204030204" pitchFamily="34" charset="0"/>
              </a:rPr>
              <a:t> vs Ingresos</a:t>
            </a:r>
            <a:endParaRPr lang="es-EC" sz="1000" b="1">
              <a:latin typeface="Aptos Black" panose="020F0502020204030204" pitchFamily="34" charset="0"/>
            </a:endParaRPr>
          </a:p>
        </c:rich>
      </c:tx>
      <c:layout>
        <c:manualLayout>
          <c:xMode val="edge"/>
          <c:yMode val="edge"/>
          <c:x val="3.2718178060851401E-2"/>
          <c:y val="6.31895883480886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Black" panose="020F0502020204030204" pitchFamily="34" charset="0"/>
              <a:ea typeface="+mn-ea"/>
              <a:cs typeface="+mn-cs"/>
            </a:defRPr>
          </a:pPr>
          <a:endParaRPr lang="es-EC"/>
        </a:p>
      </c:txPr>
    </c:title>
    <c:autoTitleDeleted val="0"/>
    <c:plotArea>
      <c:layout>
        <c:manualLayout>
          <c:layoutTarget val="inner"/>
          <c:xMode val="edge"/>
          <c:yMode val="edge"/>
          <c:x val="9.7091079382712026E-2"/>
          <c:y val="0.17394095168155793"/>
          <c:w val="0.84205138258132683"/>
          <c:h val="0.6690927882719323"/>
        </c:manualLayout>
      </c:layout>
      <c:barChart>
        <c:barDir val="col"/>
        <c:grouping val="clustered"/>
        <c:varyColors val="0"/>
        <c:ser>
          <c:idx val="1"/>
          <c:order val="0"/>
          <c:tx>
            <c:v>Real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Informe!$B$12:$B$16</c:f>
              <c:strCache>
                <c:ptCount val="1"/>
                <c:pt idx="0">
                  <c:v>Sueldo</c:v>
                </c:pt>
              </c:strCache>
            </c:strRef>
          </c:cat>
          <c:val>
            <c:numRef>
              <c:f>Informe!$D$12:$D$16</c:f>
              <c:numCache>
                <c:formatCode>_ "$"* #,##0.00_ ;_ "$"* \-#,##0.00_ ;_ "$"* "-"??_ ;_ @_ </c:formatCode>
                <c:ptCount val="5"/>
                <c:pt idx="0">
                  <c:v>757.61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A-42F2-B344-AE5F7D44FD2B}"/>
            </c:ext>
          </c:extLst>
        </c:ser>
        <c:ser>
          <c:idx val="2"/>
          <c:order val="1"/>
          <c:tx>
            <c:v>Ppt</c:v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Informe!$B$12:$B$16</c:f>
              <c:strCache>
                <c:ptCount val="1"/>
                <c:pt idx="0">
                  <c:v>Sueldo</c:v>
                </c:pt>
              </c:strCache>
            </c:strRef>
          </c:cat>
          <c:val>
            <c:numRef>
              <c:f>Informe!$C$12:$C$16</c:f>
              <c:numCache>
                <c:formatCode>_ "$"* #,##0.00_ ;_ "$"* \-#,##0.00_ ;_ "$"* "-"??_ ;_ @_ </c:formatCode>
                <c:ptCount val="5"/>
                <c:pt idx="0">
                  <c:v>500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FA-42F2-B344-AE5F7D44F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4565247"/>
        <c:axId val="754566207"/>
      </c:barChart>
      <c:catAx>
        <c:axId val="754565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754566207"/>
        <c:crosses val="autoZero"/>
        <c:auto val="1"/>
        <c:lblAlgn val="ctr"/>
        <c:lblOffset val="100"/>
        <c:noMultiLvlLbl val="0"/>
      </c:catAx>
      <c:valAx>
        <c:axId val="754566207"/>
        <c:scaling>
          <c:orientation val="minMax"/>
        </c:scaling>
        <c:delete val="1"/>
        <c:axPos val="l"/>
        <c:numFmt formatCode="_ &quot;$&quot;* #,##0.00_ ;_ &quot;$&quot;* \-#,##0.00_ ;_ &quot;$&quot;* &quot;-&quot;??_ ;_ @_ " sourceLinked="1"/>
        <c:majorTickMark val="none"/>
        <c:minorTickMark val="none"/>
        <c:tickLblPos val="nextTo"/>
        <c:crossAx val="754565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499009124532377"/>
          <c:y val="3.0300409340024207E-2"/>
          <c:w val="0.23296743357955083"/>
          <c:h val="0.182582513973318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3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02-4DE2-81D7-59D97F462A74}"/>
              </c:ext>
            </c:extLst>
          </c:dPt>
          <c:dPt>
            <c:idx val="1"/>
            <c:bubble3D val="0"/>
            <c:spPr>
              <a:solidFill>
                <a:schemeClr val="accent3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87-4C90-B405-A6F5078C71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87-4C90-B405-A6F5078C7165}"/>
              </c:ext>
            </c:extLst>
          </c:dPt>
          <c:dPt>
            <c:idx val="3"/>
            <c:bubble3D val="0"/>
            <c:spPr>
              <a:solidFill>
                <a:schemeClr val="accent3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887-4C90-B405-A6F5078C7165}"/>
              </c:ext>
            </c:extLst>
          </c:dPt>
          <c:dPt>
            <c:idx val="4"/>
            <c:bubble3D val="0"/>
            <c:spPr>
              <a:solidFill>
                <a:schemeClr val="accent3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702-4DE2-81D7-59D97F462A74}"/>
              </c:ext>
            </c:extLst>
          </c:dPt>
          <c:dLbls>
            <c:dLbl>
              <c:idx val="0"/>
              <c:layout>
                <c:manualLayout>
                  <c:x val="5.1700680272108841E-2"/>
                  <c:y val="-5.089030450460366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C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938775510204083"/>
                      <c:h val="0.196471800746181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02-4DE2-81D7-59D97F462A7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702-4DE2-81D7-59D97F462A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Informe!$F$12:$F$16</c:f>
              <c:strCache>
                <c:ptCount val="3"/>
                <c:pt idx="0">
                  <c:v>Servicios</c:v>
                </c:pt>
                <c:pt idx="1">
                  <c:v>Gastos</c:v>
                </c:pt>
                <c:pt idx="2">
                  <c:v>Prestamos</c:v>
                </c:pt>
              </c:strCache>
            </c:strRef>
          </c:cat>
          <c:val>
            <c:numRef>
              <c:f>Informe!$H$12:$H$16</c:f>
              <c:numCache>
                <c:formatCode>_ "$"* #,##0.00_ ;_ "$"* \-#,##0.00_ ;_ "$"* "-"??_ ;_ @_ </c:formatCode>
                <c:ptCount val="5"/>
                <c:pt idx="0">
                  <c:v>10.780000000000001</c:v>
                </c:pt>
                <c:pt idx="1">
                  <c:v>17</c:v>
                </c:pt>
                <c:pt idx="2">
                  <c:v>350.1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02-4DE2-81D7-59D97F462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val">
        <cx:f>_xlchart.v5.1</cx:f>
      </cx:numDim>
    </cx:data>
  </cx:chartData>
  <cx:chart>
    <cx:plotArea>
      <cx:plotAreaRegion>
        <cx:series layoutId="waterfall" uniqueId="{36A78E4A-B843-48FC-B12F-3E4ECF61D4F6}">
          <cx:dataPt idx="7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  <cx:legend pos="r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s-MX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/>
          </a:endParaRPr>
        </a:p>
      </cx:txPr>
    </cx:legend>
  </cx:chart>
  <cx:fmtOvrs>
    <cx:fmtOvr idx="0">
      <cx:spPr>
        <a:solidFill>
          <a:schemeClr val="accent3">
            <a:lumMod val="40000"/>
            <a:lumOff val="60000"/>
          </a:schemeClr>
        </a:solidFill>
      </cx:spPr>
    </cx:fmtOvr>
    <cx:fmtOvr idx="1">
      <cx:spPr>
        <a:solidFill>
          <a:schemeClr val="accent3">
            <a:lumMod val="20000"/>
            <a:lumOff val="80000"/>
          </a:schemeClr>
        </a:solidFill>
      </cx:spPr>
    </cx:fmtOvr>
    <cx:fmtOvr idx="2">
      <cx:spPr>
        <a:solidFill>
          <a:schemeClr val="bg1">
            <a:lumMod val="85000"/>
          </a:schemeClr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7" Type="http://schemas.openxmlformats.org/officeDocument/2006/relationships/image" Target="../media/image6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91440</xdr:colOff>
      <xdr:row>0</xdr:row>
      <xdr:rowOff>0</xdr:rowOff>
    </xdr:from>
    <xdr:to>
      <xdr:col>8</xdr:col>
      <xdr:colOff>607695</xdr:colOff>
      <xdr:row>2</xdr:row>
      <xdr:rowOff>160020</xdr:rowOff>
    </xdr:to>
    <xdr:pic macro="[0]!REGRESO">
      <xdr:nvPicPr>
        <xdr:cNvPr id="3" name="Gráfico 2" descr="Share con relleno sólido">
          <a:extLst>
            <a:ext uri="{FF2B5EF4-FFF2-40B4-BE49-F238E27FC236}">
              <a16:creationId xmlns:a16="http://schemas.microsoft.com/office/drawing/2014/main" id="{47F95766-6546-027F-B6B0-167FE6B31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351520" y="0"/>
          <a:ext cx="525780" cy="5257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19050</xdr:rowOff>
    </xdr:from>
    <xdr:to>
      <xdr:col>3</xdr:col>
      <xdr:colOff>742950</xdr:colOff>
      <xdr:row>27</xdr:row>
      <xdr:rowOff>180975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6746F3-553E-9CE1-98AE-F58344C3F7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28574</xdr:colOff>
      <xdr:row>18</xdr:row>
      <xdr:rowOff>23811</xdr:rowOff>
    </xdr:from>
    <xdr:to>
      <xdr:col>7</xdr:col>
      <xdr:colOff>790574</xdr:colOff>
      <xdr:row>27</xdr:row>
      <xdr:rowOff>180974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2CEAD05-5E99-6A21-32C2-176C7B899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19051</xdr:colOff>
      <xdr:row>22</xdr:row>
      <xdr:rowOff>9524</xdr:rowOff>
    </xdr:from>
    <xdr:to>
      <xdr:col>7</xdr:col>
      <xdr:colOff>9526</xdr:colOff>
      <xdr:row>23</xdr:row>
      <xdr:rowOff>171449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3AB056EE-259F-24C0-9727-B5EDFB82F00F}"/>
            </a:ext>
          </a:extLst>
        </xdr:cNvPr>
        <xdr:cNvSpPr txBox="1"/>
      </xdr:nvSpPr>
      <xdr:spPr>
        <a:xfrm>
          <a:off x="3743326" y="4591049"/>
          <a:ext cx="800100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C" sz="800" b="1">
              <a:latin typeface="Abadi" panose="020F0502020204030204" pitchFamily="34" charset="0"/>
            </a:rPr>
            <a:t>Distribucion de Egresos</a:t>
          </a:r>
        </a:p>
      </xdr:txBody>
    </xdr:sp>
    <xdr:clientData/>
  </xdr:twoCellAnchor>
  <xdr:twoCellAnchor>
    <xdr:from>
      <xdr:col>9</xdr:col>
      <xdr:colOff>0</xdr:colOff>
      <xdr:row>1</xdr:row>
      <xdr:rowOff>25400</xdr:rowOff>
    </xdr:from>
    <xdr:to>
      <xdr:col>19</xdr:col>
      <xdr:colOff>770466</xdr:colOff>
      <xdr:row>7</xdr:row>
      <xdr:rowOff>169333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CE64DCEF-1C56-4F1C-85C4-20A54459E1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59780" y="208280"/>
              <a:ext cx="9548706" cy="16526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245532</xdr:colOff>
      <xdr:row>0</xdr:row>
      <xdr:rowOff>25400</xdr:rowOff>
    </xdr:from>
    <xdr:to>
      <xdr:col>3</xdr:col>
      <xdr:colOff>694267</xdr:colOff>
      <xdr:row>2</xdr:row>
      <xdr:rowOff>2</xdr:rowOff>
    </xdr:to>
    <xdr:pic macro="[0]!MostrarFormulario">
      <xdr:nvPicPr>
        <xdr:cNvPr id="7" name="Gráfico 6" descr="Clipboard con relleno sólido">
          <a:extLst>
            <a:ext uri="{FF2B5EF4-FFF2-40B4-BE49-F238E27FC236}">
              <a16:creationId xmlns:a16="http://schemas.microsoft.com/office/drawing/2014/main" id="{E10D1D0B-01AA-8DBF-E006-5E4531521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142065" y="25400"/>
          <a:ext cx="448735" cy="448735"/>
        </a:xfrm>
        <a:prstGeom prst="rect">
          <a:avLst/>
        </a:prstGeom>
      </xdr:spPr>
    </xdr:pic>
    <xdr:clientData/>
  </xdr:twoCellAnchor>
  <xdr:twoCellAnchor editAs="oneCell">
    <xdr:from>
      <xdr:col>3</xdr:col>
      <xdr:colOff>694267</xdr:colOff>
      <xdr:row>0</xdr:row>
      <xdr:rowOff>33867</xdr:rowOff>
    </xdr:from>
    <xdr:to>
      <xdr:col>5</xdr:col>
      <xdr:colOff>169333</xdr:colOff>
      <xdr:row>2</xdr:row>
      <xdr:rowOff>0</xdr:rowOff>
    </xdr:to>
    <xdr:pic macro="[0]!MOSTRAR">
      <xdr:nvPicPr>
        <xdr:cNvPr id="8" name="Gráfico 7" descr="List con relleno sólido">
          <a:extLst>
            <a:ext uri="{FF2B5EF4-FFF2-40B4-BE49-F238E27FC236}">
              <a16:creationId xmlns:a16="http://schemas.microsoft.com/office/drawing/2014/main" id="{011A88D9-96A1-C83B-3406-83F84FB18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590800" y="33867"/>
          <a:ext cx="440266" cy="44026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06C6F5-D891-4B24-BA89-6F9A8CE4917B}" name="ingresos" displayName="ingresos" ref="D2:D6" totalsRowShown="0" headerRowCellStyle="Bueno">
  <autoFilter ref="D2:D6" xr:uid="{CA06C6F5-D891-4B24-BA89-6F9A8CE4917B}"/>
  <tableColumns count="1">
    <tableColumn id="1" xr3:uid="{446AADBF-483A-4051-855B-ECC5A8680421}" name="Cat. Ingres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FA75F1-1BE3-43C5-9568-FCB837101871}" name="gastos" displayName="gastos" ref="F2:F6" totalsRowShown="0" headerRowCellStyle="Bueno">
  <autoFilter ref="F2:F6" xr:uid="{81FA75F1-1BE3-43C5-9568-FCB837101871}"/>
  <tableColumns count="1">
    <tableColumn id="1" xr3:uid="{995FF7EB-7BC0-42EB-95C7-906891031AFD}" name="Cat. Egreso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1F9C4B-C7C5-4648-872B-979DE1968F36}" name="DINEROJEFF" displayName="DINEROJEFF" ref="A2:H43" totalsRowShown="0">
  <autoFilter ref="A2:H43" xr:uid="{031F9C4B-C7C5-4648-872B-979DE1968F36}"/>
  <sortState xmlns:xlrd2="http://schemas.microsoft.com/office/spreadsheetml/2017/richdata2" ref="A3:H43">
    <sortCondition ref="B3:B43"/>
  </sortState>
  <tableColumns count="8">
    <tableColumn id="1" xr3:uid="{A7BDAA7F-FD1C-4256-8F02-EC4B47D9CB92}" name="Secuencia"/>
    <tableColumn id="9" xr3:uid="{275250AA-16B4-4CA9-92B8-EB71ED0BEF61}" name="Fecha" dataDxfId="3"/>
    <tableColumn id="2" xr3:uid="{EA3948B4-F32F-4FEE-AA92-4286BF5742EB}" name="Mes" dataDxfId="2">
      <calculatedColumnFormula>IF(DINEROJEFF[[#This Row],[Fecha]]&lt;&gt;"",TEXT(DINEROJEFF[[#This Row],[Fecha]],"MMMM"),"")</calculatedColumnFormula>
    </tableColumn>
    <tableColumn id="3" xr3:uid="{1428485C-8354-46A7-BB0B-50454D39368F}" name="Tipo"/>
    <tableColumn id="4" xr3:uid="{CD5DBD48-912C-44CD-A2A2-CC488A96CE2A}" name="Categoria"/>
    <tableColumn id="5" xr3:uid="{2DAB87D8-AA35-4FB9-9E19-935859FAFE4D}" name="Descripcion "/>
    <tableColumn id="6" xr3:uid="{CF1A8CC3-D1EC-460E-9856-24E7B7425CD3}" name="Presupuesto"/>
    <tableColumn id="7" xr3:uid="{18915A84-FBC2-48D3-B14A-7BF40ED572E5}" name="Mont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02638-AD66-48EE-AEAF-C567B4D4C337}">
  <sheetPr codeName="Hoja1"/>
  <dimension ref="B2:H14"/>
  <sheetViews>
    <sheetView workbookViewId="0">
      <selection activeCell="B6" sqref="B6"/>
    </sheetView>
  </sheetViews>
  <sheetFormatPr baseColWidth="10" defaultRowHeight="14.4" x14ac:dyDescent="0.3"/>
  <cols>
    <col min="4" max="4" width="13.5546875" customWidth="1"/>
    <col min="6" max="6" width="12.88671875" customWidth="1"/>
  </cols>
  <sheetData>
    <row r="2" spans="2:8" x14ac:dyDescent="0.3">
      <c r="B2" s="3" t="s">
        <v>18</v>
      </c>
      <c r="D2" s="3" t="s">
        <v>23</v>
      </c>
      <c r="F2" s="3" t="s">
        <v>24</v>
      </c>
      <c r="H2" s="3" t="s">
        <v>4</v>
      </c>
    </row>
    <row r="3" spans="2:8" x14ac:dyDescent="0.3">
      <c r="B3" t="s">
        <v>29</v>
      </c>
      <c r="D3" t="s">
        <v>2</v>
      </c>
      <c r="F3" t="s">
        <v>40</v>
      </c>
      <c r="H3" t="s">
        <v>6</v>
      </c>
    </row>
    <row r="4" spans="2:8" x14ac:dyDescent="0.3">
      <c r="B4" t="s">
        <v>22</v>
      </c>
      <c r="D4" t="s">
        <v>25</v>
      </c>
      <c r="F4" t="s">
        <v>3</v>
      </c>
      <c r="H4" t="s">
        <v>7</v>
      </c>
    </row>
    <row r="5" spans="2:8" x14ac:dyDescent="0.3">
      <c r="B5" t="s">
        <v>36</v>
      </c>
      <c r="D5" t="s">
        <v>26</v>
      </c>
      <c r="F5" t="s">
        <v>27</v>
      </c>
      <c r="H5" t="s">
        <v>8</v>
      </c>
    </row>
    <row r="6" spans="2:8" x14ac:dyDescent="0.3">
      <c r="D6" t="s">
        <v>65</v>
      </c>
      <c r="F6" t="s">
        <v>28</v>
      </c>
      <c r="H6" t="s">
        <v>9</v>
      </c>
    </row>
    <row r="7" spans="2:8" x14ac:dyDescent="0.3">
      <c r="H7" t="s">
        <v>10</v>
      </c>
    </row>
    <row r="8" spans="2:8" x14ac:dyDescent="0.3">
      <c r="H8" t="s">
        <v>11</v>
      </c>
    </row>
    <row r="9" spans="2:8" x14ac:dyDescent="0.3">
      <c r="H9" t="s">
        <v>12</v>
      </c>
    </row>
    <row r="10" spans="2:8" x14ac:dyDescent="0.3">
      <c r="H10" t="s">
        <v>13</v>
      </c>
    </row>
    <row r="11" spans="2:8" x14ac:dyDescent="0.3">
      <c r="H11" t="s">
        <v>14</v>
      </c>
    </row>
    <row r="12" spans="2:8" x14ac:dyDescent="0.3">
      <c r="H12" t="s">
        <v>15</v>
      </c>
    </row>
    <row r="13" spans="2:8" x14ac:dyDescent="0.3">
      <c r="H13" t="s">
        <v>16</v>
      </c>
    </row>
    <row r="14" spans="2:8" x14ac:dyDescent="0.3">
      <c r="H14" t="s">
        <v>17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theme="6" tint="-0.249977111117893"/>
  </sheetPr>
  <dimension ref="A1:L43"/>
  <sheetViews>
    <sheetView zoomScale="90" workbookViewId="0">
      <pane ySplit="2" topLeftCell="A3" activePane="bottomLeft" state="frozen"/>
      <selection pane="bottomLeft" activeCell="A2" sqref="A2"/>
    </sheetView>
  </sheetViews>
  <sheetFormatPr baseColWidth="10" defaultColWidth="9.109375" defaultRowHeight="14.4" x14ac:dyDescent="0.3"/>
  <cols>
    <col min="1" max="2" width="11.6640625" bestFit="1" customWidth="1"/>
    <col min="3" max="3" width="7.6640625" bestFit="1" customWidth="1"/>
    <col min="4" max="4" width="7.5546875" bestFit="1" customWidth="1"/>
    <col min="5" max="5" width="12.33203125" bestFit="1" customWidth="1"/>
    <col min="6" max="6" width="46.88671875" customWidth="1"/>
    <col min="7" max="7" width="14.44140625" bestFit="1" customWidth="1"/>
    <col min="8" max="8" width="9.33203125" bestFit="1" customWidth="1"/>
    <col min="10" max="10" width="11.6640625" bestFit="1" customWidth="1"/>
    <col min="11" max="11" width="9.33203125" bestFit="1" customWidth="1"/>
    <col min="12" max="12" width="7.5546875" bestFit="1" customWidth="1"/>
  </cols>
  <sheetData>
    <row r="1" spans="1:12" x14ac:dyDescent="0.3">
      <c r="A1" s="5" t="s">
        <v>30</v>
      </c>
      <c r="B1" s="5"/>
      <c r="C1" s="4"/>
      <c r="D1" s="4"/>
      <c r="E1" s="4"/>
      <c r="F1" s="4"/>
      <c r="G1" s="4"/>
      <c r="H1" s="4"/>
    </row>
    <row r="2" spans="1:12" x14ac:dyDescent="0.3">
      <c r="A2" t="s">
        <v>48</v>
      </c>
      <c r="B2" t="s">
        <v>49</v>
      </c>
      <c r="C2" t="s">
        <v>4</v>
      </c>
      <c r="D2" t="s">
        <v>18</v>
      </c>
      <c r="E2" t="s">
        <v>19</v>
      </c>
      <c r="F2" t="s">
        <v>20</v>
      </c>
      <c r="G2" t="s">
        <v>0</v>
      </c>
      <c r="H2" t="s">
        <v>21</v>
      </c>
      <c r="J2" s="1" t="s">
        <v>19</v>
      </c>
      <c r="K2" s="1" t="s">
        <v>21</v>
      </c>
      <c r="L2" s="1" t="s">
        <v>18</v>
      </c>
    </row>
    <row r="3" spans="1:12" x14ac:dyDescent="0.3">
      <c r="A3" s="2" t="s">
        <v>67</v>
      </c>
      <c r="B3" s="2">
        <v>46023</v>
      </c>
      <c r="C3" t="str">
        <f>IF(DINEROJEFF[[#This Row],[Fecha]]&lt;&gt;"",TEXT(DINEROJEFF[[#This Row],[Fecha]],"MMMM"),"")</f>
        <v>enero</v>
      </c>
      <c r="D3" t="s">
        <v>36</v>
      </c>
      <c r="E3" t="s">
        <v>65</v>
      </c>
      <c r="F3" t="s">
        <v>64</v>
      </c>
      <c r="G3">
        <v>0</v>
      </c>
      <c r="H3">
        <v>3531.82</v>
      </c>
      <c r="J3" s="6" t="str" cm="1">
        <f t="array" ref="J3:J6">IFERROR(
   _xlfn.UNIQUE(
      _xlfn._xlws.FILTER(
         DINEROJEFF[Categoria],
         (DINEROJEFF[Mes]=Informe!$B$3)*(DINEROJEFF[Categoria]&lt;&gt;"Cuenta Banco")
      )
   ),
""
)</f>
        <v>Sueldo</v>
      </c>
      <c r="K3" s="6">
        <f>SUMIFS(DINEROJEFF[Monto],DINEROJEFF[Mes],Informe!$B$3,DINEROJEFF[Categoria],J3)
*IF(L3="Ingreso",1,-1)</f>
        <v>757.61</v>
      </c>
      <c r="L3" s="6" t="str">
        <f>IFERROR(_xlfn.XLOOKUP(J3,DINEROJEFF[Categoria],DINEROJEFF[Tipo]),"")</f>
        <v>Ingreso</v>
      </c>
    </row>
    <row r="4" spans="1:12" x14ac:dyDescent="0.3">
      <c r="A4" s="2" t="s">
        <v>50</v>
      </c>
      <c r="B4" s="2">
        <v>46025</v>
      </c>
      <c r="C4" t="str">
        <f>IF(DINEROJEFF[[#This Row],[Fecha]]&lt;&gt;"",TEXT(DINEROJEFF[[#This Row],[Fecha]],"MMMM"),"")</f>
        <v>enero</v>
      </c>
      <c r="D4" t="s">
        <v>29</v>
      </c>
      <c r="E4" t="s">
        <v>2</v>
      </c>
      <c r="F4" t="s">
        <v>41</v>
      </c>
      <c r="G4">
        <v>550</v>
      </c>
      <c r="H4">
        <v>545.6</v>
      </c>
      <c r="J4" s="6" t="str">
        <v>Servicios</v>
      </c>
      <c r="K4" s="6">
        <f>SUMIFS(DINEROJEFF[Monto],DINEROJEFF[Mes],Informe!$B$3,DINEROJEFF[Categoria],J4)
*IF(L4="Ingreso",1,-1)</f>
        <v>-10.780000000000001</v>
      </c>
      <c r="L4" s="6" t="str">
        <f>IFERROR(_xlfn.XLOOKUP(J4,DINEROJEFF[Categoria],DINEROJEFF[Tipo]),"")</f>
        <v>Egreso</v>
      </c>
    </row>
    <row r="5" spans="1:12" x14ac:dyDescent="0.3">
      <c r="A5" s="2" t="s">
        <v>51</v>
      </c>
      <c r="B5" s="2">
        <v>46027</v>
      </c>
      <c r="C5" t="str">
        <f>IF(DINEROJEFF[[#This Row],[Fecha]]&lt;&gt;"",TEXT(DINEROJEFF[[#This Row],[Fecha]],"MMMM"),"")</f>
        <v>enero</v>
      </c>
      <c r="D5" t="s">
        <v>22</v>
      </c>
      <c r="E5" t="s">
        <v>40</v>
      </c>
      <c r="F5" t="s">
        <v>44</v>
      </c>
      <c r="G5">
        <v>150</v>
      </c>
      <c r="H5">
        <v>0</v>
      </c>
      <c r="J5" s="6" t="str">
        <v>Gastos</v>
      </c>
      <c r="K5" s="6">
        <f>SUMIFS(DINEROJEFF[Monto],DINEROJEFF[Mes],Informe!$B$3,DINEROJEFF[Categoria],J5)
*IF(L5="Ingreso",1,-1)</f>
        <v>-17</v>
      </c>
      <c r="L5" s="6" t="str">
        <f>IFERROR(_xlfn.XLOOKUP(J5,DINEROJEFF[Categoria],DINEROJEFF[Tipo]),"")</f>
        <v>Egreso</v>
      </c>
    </row>
    <row r="6" spans="1:12" x14ac:dyDescent="0.3">
      <c r="A6" s="2" t="s">
        <v>52</v>
      </c>
      <c r="B6" s="2">
        <v>46029</v>
      </c>
      <c r="C6" t="str">
        <f>IF(DINEROJEFF[[#This Row],[Fecha]]&lt;&gt;"",TEXT(DINEROJEFF[[#This Row],[Fecha]],"MMMM"),"")</f>
        <v>enero</v>
      </c>
      <c r="D6" t="s">
        <v>22</v>
      </c>
      <c r="E6" t="s">
        <v>3</v>
      </c>
      <c r="F6" t="s">
        <v>46</v>
      </c>
      <c r="G6">
        <v>0</v>
      </c>
      <c r="H6">
        <v>37</v>
      </c>
      <c r="J6" s="6" t="str">
        <v>Prestamos</v>
      </c>
      <c r="K6" s="6">
        <f>SUMIFS(DINEROJEFF[Monto],DINEROJEFF[Mes],Informe!$B$3,DINEROJEFF[Categoria],J6)
*IF(L6="Ingreso",1,-1)</f>
        <v>-350.1</v>
      </c>
      <c r="L6" s="6" t="str">
        <f>IFERROR(_xlfn.XLOOKUP(J6,DINEROJEFF[Categoria],DINEROJEFF[Tipo]),"")</f>
        <v>Egreso</v>
      </c>
    </row>
    <row r="7" spans="1:12" x14ac:dyDescent="0.3">
      <c r="A7" s="2" t="s">
        <v>53</v>
      </c>
      <c r="B7" s="2">
        <v>46032</v>
      </c>
      <c r="C7" t="s">
        <v>56</v>
      </c>
      <c r="D7" t="s">
        <v>22</v>
      </c>
      <c r="E7" t="s">
        <v>3</v>
      </c>
      <c r="F7" t="s">
        <v>47</v>
      </c>
      <c r="G7">
        <v>15</v>
      </c>
      <c r="H7">
        <v>15</v>
      </c>
      <c r="J7" s="6"/>
      <c r="K7" s="6">
        <f>SUMIFS(DINEROJEFF[Monto],DINEROJEFF[Mes],Informe!$B$3,DINEROJEFF[Categoria],J7)
*IF(L7="Ingreso",1,-1)</f>
        <v>0</v>
      </c>
      <c r="L7" s="6" t="str">
        <f>IFERROR(_xlfn.XLOOKUP(J7,DINEROJEFF[Categoria],DINEROJEFF[Tipo]),"")</f>
        <v/>
      </c>
    </row>
    <row r="8" spans="1:12" x14ac:dyDescent="0.3">
      <c r="A8" s="25" t="s">
        <v>54</v>
      </c>
      <c r="B8" s="2">
        <v>46047</v>
      </c>
      <c r="C8" t="str">
        <f>IF(DINEROJEFF[[#This Row],[Fecha]]&lt;&gt;"",TEXT(DINEROJEFF[[#This Row],[Fecha]],"MMMM"),"")</f>
        <v>enero</v>
      </c>
      <c r="D8" t="s">
        <v>22</v>
      </c>
      <c r="E8" t="s">
        <v>40</v>
      </c>
      <c r="F8" t="s">
        <v>43</v>
      </c>
      <c r="G8">
        <v>7.5</v>
      </c>
      <c r="H8">
        <v>7.5</v>
      </c>
      <c r="J8" s="6"/>
      <c r="K8" s="6">
        <f>SUMIFS(DINEROJEFF[Monto],DINEROJEFF[Mes],Informe!$B$3,DINEROJEFF[Categoria],J8)
*IF(L8="Ingreso",1,-1)</f>
        <v>0</v>
      </c>
      <c r="L8" s="6" t="str">
        <f>IFERROR(_xlfn.XLOOKUP(J8,DINEROJEFF[Categoria],DINEROJEFF[Tipo]),"")</f>
        <v/>
      </c>
    </row>
    <row r="9" spans="1:12" x14ac:dyDescent="0.3">
      <c r="A9" s="2" t="s">
        <v>55</v>
      </c>
      <c r="B9" s="2">
        <v>46047</v>
      </c>
      <c r="C9" t="str">
        <f>IF(DINEROJEFF[[#This Row],[Fecha]]&lt;&gt;"",TEXT(DINEROJEFF[[#This Row],[Fecha]],"MMMM"),"")</f>
        <v>enero</v>
      </c>
      <c r="D9" t="s">
        <v>22</v>
      </c>
      <c r="E9" t="s">
        <v>40</v>
      </c>
      <c r="F9" t="s">
        <v>42</v>
      </c>
      <c r="G9">
        <v>20</v>
      </c>
      <c r="H9">
        <v>0</v>
      </c>
      <c r="J9" s="6"/>
      <c r="K9" s="6">
        <f>SUMIFS(DINEROJEFF[Monto],DINEROJEFF[Mes],Informe!$B$3,DINEROJEFF[Categoria],J9)
*IF(L9="Ingreso",1,-1)</f>
        <v>0</v>
      </c>
      <c r="L9" s="6" t="str">
        <f>IFERROR(_xlfn.XLOOKUP(J9,DINEROJEFF[Categoria],DINEROJEFF[Tipo]),"")</f>
        <v/>
      </c>
    </row>
    <row r="10" spans="1:12" x14ac:dyDescent="0.3">
      <c r="A10" s="2" t="s">
        <v>57</v>
      </c>
      <c r="B10" s="2">
        <v>46053</v>
      </c>
      <c r="C10" t="s">
        <v>56</v>
      </c>
      <c r="D10" t="s">
        <v>22</v>
      </c>
      <c r="E10" t="s">
        <v>3</v>
      </c>
      <c r="F10" t="s">
        <v>72</v>
      </c>
      <c r="G10">
        <v>0</v>
      </c>
      <c r="H10">
        <v>90.75</v>
      </c>
      <c r="J10" s="1" t="s">
        <v>39</v>
      </c>
      <c r="K10" s="6">
        <f>+SUM(K3:K9)</f>
        <v>379.73</v>
      </c>
      <c r="L10" s="6">
        <f>+SUM(L3:L9)</f>
        <v>0</v>
      </c>
    </row>
    <row r="11" spans="1:12" x14ac:dyDescent="0.3">
      <c r="A11" s="2" t="s">
        <v>59</v>
      </c>
      <c r="B11" s="2">
        <v>46053</v>
      </c>
      <c r="C11" t="s">
        <v>56</v>
      </c>
      <c r="D11" t="s">
        <v>22</v>
      </c>
      <c r="E11" t="s">
        <v>3</v>
      </c>
      <c r="F11" t="s">
        <v>69</v>
      </c>
      <c r="G11">
        <v>20</v>
      </c>
      <c r="H11">
        <v>12</v>
      </c>
    </row>
    <row r="12" spans="1:12" x14ac:dyDescent="0.3">
      <c r="A12" s="2" t="s">
        <v>61</v>
      </c>
      <c r="B12" s="2">
        <v>46053</v>
      </c>
      <c r="C12" t="s">
        <v>56</v>
      </c>
      <c r="D12" t="s">
        <v>22</v>
      </c>
      <c r="E12" t="s">
        <v>3</v>
      </c>
      <c r="F12" t="s">
        <v>63</v>
      </c>
      <c r="G12">
        <v>4.0999999999999996</v>
      </c>
      <c r="H12">
        <v>3.1</v>
      </c>
    </row>
    <row r="13" spans="1:12" x14ac:dyDescent="0.3">
      <c r="A13" s="2" t="s">
        <v>62</v>
      </c>
      <c r="B13" s="2">
        <v>46053</v>
      </c>
      <c r="C13" t="s">
        <v>56</v>
      </c>
      <c r="D13" t="s">
        <v>22</v>
      </c>
      <c r="E13" t="s">
        <v>3</v>
      </c>
      <c r="F13" t="s">
        <v>58</v>
      </c>
      <c r="G13">
        <v>30</v>
      </c>
      <c r="H13">
        <v>43.9</v>
      </c>
    </row>
    <row r="14" spans="1:12" x14ac:dyDescent="0.3">
      <c r="A14" s="2" t="s">
        <v>68</v>
      </c>
      <c r="B14" s="2">
        <v>46053</v>
      </c>
      <c r="C14" t="s">
        <v>56</v>
      </c>
      <c r="D14" t="s">
        <v>22</v>
      </c>
      <c r="E14" t="s">
        <v>3</v>
      </c>
      <c r="F14" t="s">
        <v>60</v>
      </c>
      <c r="G14">
        <v>5</v>
      </c>
      <c r="H14">
        <v>6</v>
      </c>
    </row>
    <row r="15" spans="1:12" x14ac:dyDescent="0.3">
      <c r="A15" s="2" t="s">
        <v>73</v>
      </c>
      <c r="B15" s="2">
        <v>46054</v>
      </c>
      <c r="C15" t="s">
        <v>71</v>
      </c>
      <c r="D15" t="s">
        <v>36</v>
      </c>
      <c r="E15" t="s">
        <v>65</v>
      </c>
      <c r="F15" t="s">
        <v>86</v>
      </c>
      <c r="G15">
        <v>0</v>
      </c>
      <c r="H15">
        <v>3862.17</v>
      </c>
    </row>
    <row r="16" spans="1:12" x14ac:dyDescent="0.3">
      <c r="A16" s="2" t="s">
        <v>85</v>
      </c>
      <c r="B16" s="2">
        <v>46056</v>
      </c>
      <c r="C16" t="str">
        <f>IF(DINEROJEFF[[#This Row],[Fecha]]&lt;&gt;"",TEXT(DINEROJEFF[[#This Row],[Fecha]],"MMMM"),"")</f>
        <v>febrero</v>
      </c>
      <c r="D16" t="s">
        <v>36</v>
      </c>
      <c r="E16" t="s">
        <v>65</v>
      </c>
      <c r="F16" t="s">
        <v>87</v>
      </c>
      <c r="H16">
        <v>5340</v>
      </c>
    </row>
    <row r="17" spans="1:8" x14ac:dyDescent="0.3">
      <c r="A17" s="2" t="s">
        <v>74</v>
      </c>
      <c r="B17" s="2">
        <v>46056</v>
      </c>
      <c r="C17" t="s">
        <v>71</v>
      </c>
      <c r="D17" t="s">
        <v>29</v>
      </c>
      <c r="E17" t="s">
        <v>2</v>
      </c>
      <c r="F17" t="s">
        <v>75</v>
      </c>
      <c r="G17">
        <v>550</v>
      </c>
      <c r="H17">
        <v>594.91999999999996</v>
      </c>
    </row>
    <row r="18" spans="1:8" x14ac:dyDescent="0.3">
      <c r="A18" s="2" t="s">
        <v>70</v>
      </c>
      <c r="B18" s="2">
        <v>46056</v>
      </c>
      <c r="C18" t="s">
        <v>71</v>
      </c>
      <c r="D18" t="s">
        <v>22</v>
      </c>
      <c r="E18" t="s">
        <v>3</v>
      </c>
      <c r="F18" t="s">
        <v>69</v>
      </c>
      <c r="G18">
        <v>20</v>
      </c>
      <c r="H18">
        <v>19</v>
      </c>
    </row>
    <row r="19" spans="1:8" x14ac:dyDescent="0.3">
      <c r="A19" s="2" t="s">
        <v>76</v>
      </c>
      <c r="B19" s="2">
        <v>46057</v>
      </c>
      <c r="C19" t="s">
        <v>71</v>
      </c>
      <c r="D19" t="s">
        <v>22</v>
      </c>
      <c r="E19" t="s">
        <v>3</v>
      </c>
      <c r="F19" t="s">
        <v>83</v>
      </c>
      <c r="H19">
        <v>26</v>
      </c>
    </row>
    <row r="20" spans="1:8" x14ac:dyDescent="0.3">
      <c r="A20" s="2" t="s">
        <v>77</v>
      </c>
      <c r="B20" s="2">
        <v>46058</v>
      </c>
      <c r="C20" t="s">
        <v>71</v>
      </c>
      <c r="D20" t="s">
        <v>22</v>
      </c>
      <c r="E20" t="s">
        <v>40</v>
      </c>
      <c r="F20" t="s">
        <v>44</v>
      </c>
      <c r="G20">
        <v>150</v>
      </c>
      <c r="H20">
        <v>130</v>
      </c>
    </row>
    <row r="21" spans="1:8" x14ac:dyDescent="0.3">
      <c r="A21" s="2" t="s">
        <v>79</v>
      </c>
      <c r="B21" s="2">
        <v>46063</v>
      </c>
      <c r="C21" t="s">
        <v>71</v>
      </c>
      <c r="D21" t="s">
        <v>22</v>
      </c>
      <c r="E21" t="s">
        <v>3</v>
      </c>
      <c r="F21" t="s">
        <v>90</v>
      </c>
      <c r="G21">
        <v>0</v>
      </c>
      <c r="H21">
        <v>2</v>
      </c>
    </row>
    <row r="22" spans="1:8" x14ac:dyDescent="0.3">
      <c r="A22" s="2" t="s">
        <v>80</v>
      </c>
      <c r="B22" s="2">
        <v>46067</v>
      </c>
      <c r="C22" t="s">
        <v>71</v>
      </c>
      <c r="D22" t="s">
        <v>22</v>
      </c>
      <c r="E22" t="s">
        <v>3</v>
      </c>
      <c r="F22" t="s">
        <v>82</v>
      </c>
      <c r="G22">
        <v>30</v>
      </c>
    </row>
    <row r="23" spans="1:8" x14ac:dyDescent="0.3">
      <c r="A23" s="2" t="s">
        <v>84</v>
      </c>
      <c r="B23" s="2">
        <v>46068</v>
      </c>
      <c r="C23" t="s">
        <v>71</v>
      </c>
      <c r="D23" t="s">
        <v>22</v>
      </c>
      <c r="E23" t="s">
        <v>3</v>
      </c>
      <c r="F23" t="s">
        <v>81</v>
      </c>
      <c r="G23">
        <v>15</v>
      </c>
      <c r="H23">
        <v>10</v>
      </c>
    </row>
    <row r="24" spans="1:8" x14ac:dyDescent="0.3">
      <c r="A24" s="2" t="s">
        <v>89</v>
      </c>
      <c r="B24" s="2">
        <v>46071</v>
      </c>
      <c r="C24" t="s">
        <v>71</v>
      </c>
      <c r="D24" t="s">
        <v>22</v>
      </c>
      <c r="E24" t="s">
        <v>3</v>
      </c>
      <c r="F24" t="s">
        <v>92</v>
      </c>
      <c r="G24">
        <v>0</v>
      </c>
      <c r="H24">
        <v>100</v>
      </c>
    </row>
    <row r="25" spans="1:8" x14ac:dyDescent="0.3">
      <c r="A25" s="2" t="s">
        <v>91</v>
      </c>
      <c r="B25" s="2">
        <v>46071</v>
      </c>
      <c r="C25" t="s">
        <v>71</v>
      </c>
      <c r="D25" t="s">
        <v>22</v>
      </c>
      <c r="E25" t="s">
        <v>3</v>
      </c>
      <c r="F25" t="s">
        <v>97</v>
      </c>
      <c r="G25">
        <v>0</v>
      </c>
      <c r="H25">
        <v>95</v>
      </c>
    </row>
    <row r="26" spans="1:8" x14ac:dyDescent="0.3">
      <c r="A26" s="2" t="s">
        <v>96</v>
      </c>
      <c r="B26" s="2">
        <v>46074</v>
      </c>
      <c r="C26" t="s">
        <v>71</v>
      </c>
      <c r="D26" t="s">
        <v>22</v>
      </c>
      <c r="E26" t="s">
        <v>40</v>
      </c>
      <c r="F26" t="s">
        <v>78</v>
      </c>
      <c r="G26">
        <v>7.78</v>
      </c>
      <c r="H26">
        <v>7.78</v>
      </c>
    </row>
    <row r="27" spans="1:8" x14ac:dyDescent="0.3">
      <c r="A27" s="2" t="s">
        <v>93</v>
      </c>
      <c r="B27" s="2">
        <v>46082</v>
      </c>
      <c r="C27" t="s">
        <v>94</v>
      </c>
      <c r="D27" t="s">
        <v>36</v>
      </c>
      <c r="E27" t="s">
        <v>65</v>
      </c>
      <c r="F27" t="s">
        <v>95</v>
      </c>
      <c r="G27">
        <v>0</v>
      </c>
      <c r="H27">
        <v>9502.31</v>
      </c>
    </row>
    <row r="28" spans="1:8" x14ac:dyDescent="0.3">
      <c r="A28" s="2" t="s">
        <v>88</v>
      </c>
      <c r="B28" s="2">
        <v>46083</v>
      </c>
      <c r="C28" t="s">
        <v>94</v>
      </c>
      <c r="D28" t="s">
        <v>29</v>
      </c>
      <c r="E28" t="s">
        <v>2</v>
      </c>
      <c r="F28" t="s">
        <v>98</v>
      </c>
      <c r="G28">
        <v>550</v>
      </c>
      <c r="H28">
        <v>628.11</v>
      </c>
    </row>
    <row r="29" spans="1:8" x14ac:dyDescent="0.3">
      <c r="A29" s="2" t="s">
        <v>99</v>
      </c>
      <c r="B29" s="2">
        <v>46083</v>
      </c>
      <c r="C29" t="s">
        <v>94</v>
      </c>
      <c r="D29" t="s">
        <v>22</v>
      </c>
      <c r="E29" t="s">
        <v>40</v>
      </c>
      <c r="F29" t="s">
        <v>69</v>
      </c>
      <c r="G29">
        <v>20</v>
      </c>
      <c r="H29">
        <v>30</v>
      </c>
    </row>
    <row r="30" spans="1:8" x14ac:dyDescent="0.3">
      <c r="A30" s="2" t="s">
        <v>100</v>
      </c>
      <c r="B30" s="2">
        <v>46083</v>
      </c>
      <c r="C30" t="s">
        <v>94</v>
      </c>
      <c r="D30" t="s">
        <v>22</v>
      </c>
      <c r="E30" t="s">
        <v>40</v>
      </c>
      <c r="F30" t="s">
        <v>81</v>
      </c>
      <c r="G30">
        <v>20</v>
      </c>
      <c r="H30">
        <v>30</v>
      </c>
    </row>
    <row r="31" spans="1:8" x14ac:dyDescent="0.3">
      <c r="A31" s="2" t="s">
        <v>101</v>
      </c>
      <c r="B31" s="2">
        <v>46086</v>
      </c>
      <c r="C31" t="s">
        <v>94</v>
      </c>
      <c r="D31" t="s">
        <v>22</v>
      </c>
      <c r="E31" t="s">
        <v>27</v>
      </c>
      <c r="F31" t="s">
        <v>102</v>
      </c>
      <c r="G31">
        <v>350</v>
      </c>
      <c r="H31">
        <v>350</v>
      </c>
    </row>
    <row r="32" spans="1:8" x14ac:dyDescent="0.3">
      <c r="A32" s="2" t="s">
        <v>103</v>
      </c>
      <c r="B32" s="2">
        <v>46091</v>
      </c>
      <c r="C32" t="s">
        <v>94</v>
      </c>
      <c r="D32" t="s">
        <v>22</v>
      </c>
      <c r="E32" t="s">
        <v>40</v>
      </c>
      <c r="F32" t="s">
        <v>44</v>
      </c>
      <c r="G32">
        <v>150</v>
      </c>
      <c r="H32">
        <v>150</v>
      </c>
    </row>
    <row r="33" spans="1:8" x14ac:dyDescent="0.3">
      <c r="A33" s="2" t="s">
        <v>105</v>
      </c>
      <c r="B33" s="2">
        <v>46096</v>
      </c>
      <c r="C33" t="s">
        <v>94</v>
      </c>
      <c r="D33" t="s">
        <v>29</v>
      </c>
      <c r="E33" t="s">
        <v>26</v>
      </c>
      <c r="F33" t="s">
        <v>106</v>
      </c>
      <c r="G33">
        <v>0</v>
      </c>
      <c r="H33">
        <v>600</v>
      </c>
    </row>
    <row r="34" spans="1:8" x14ac:dyDescent="0.3">
      <c r="A34" s="2" t="s">
        <v>104</v>
      </c>
      <c r="B34" s="2">
        <v>46102</v>
      </c>
      <c r="C34" t="s">
        <v>94</v>
      </c>
      <c r="D34" t="s">
        <v>22</v>
      </c>
      <c r="E34" t="s">
        <v>3</v>
      </c>
      <c r="F34" t="s">
        <v>78</v>
      </c>
      <c r="G34">
        <v>7.78</v>
      </c>
      <c r="H34">
        <v>7.78</v>
      </c>
    </row>
    <row r="35" spans="1:8" x14ac:dyDescent="0.3">
      <c r="A35" s="2" t="s">
        <v>109</v>
      </c>
      <c r="B35" s="2">
        <v>46108</v>
      </c>
      <c r="C35" t="s">
        <v>94</v>
      </c>
      <c r="D35" t="s">
        <v>22</v>
      </c>
      <c r="E35" t="s">
        <v>3</v>
      </c>
      <c r="F35" t="s">
        <v>117</v>
      </c>
      <c r="G35">
        <v>0</v>
      </c>
      <c r="H35">
        <v>30</v>
      </c>
    </row>
    <row r="36" spans="1:8" x14ac:dyDescent="0.3">
      <c r="A36" s="2" t="s">
        <v>115</v>
      </c>
      <c r="B36" s="2">
        <v>46113</v>
      </c>
      <c r="C36" t="s">
        <v>111</v>
      </c>
      <c r="D36" t="s">
        <v>36</v>
      </c>
      <c r="E36" t="s">
        <v>65</v>
      </c>
      <c r="F36" t="s">
        <v>116</v>
      </c>
      <c r="G36">
        <v>0</v>
      </c>
      <c r="H36">
        <v>10132.64</v>
      </c>
    </row>
    <row r="37" spans="1:8" x14ac:dyDescent="0.3">
      <c r="A37" s="2" t="s">
        <v>118</v>
      </c>
      <c r="B37" s="2">
        <v>46113</v>
      </c>
      <c r="C37" s="30" t="s">
        <v>111</v>
      </c>
      <c r="D37" t="s">
        <v>29</v>
      </c>
      <c r="E37" t="s">
        <v>2</v>
      </c>
      <c r="F37" t="s">
        <v>2</v>
      </c>
      <c r="G37">
        <v>500</v>
      </c>
      <c r="H37">
        <v>757.61</v>
      </c>
    </row>
    <row r="38" spans="1:8" x14ac:dyDescent="0.3">
      <c r="A38" s="2" t="s">
        <v>110</v>
      </c>
      <c r="B38" s="2">
        <v>46114</v>
      </c>
      <c r="C38" t="s">
        <v>111</v>
      </c>
      <c r="D38" t="s">
        <v>22</v>
      </c>
      <c r="E38" t="s">
        <v>40</v>
      </c>
      <c r="F38" t="s">
        <v>112</v>
      </c>
      <c r="G38">
        <v>5</v>
      </c>
      <c r="H38">
        <v>3</v>
      </c>
    </row>
    <row r="39" spans="1:8" x14ac:dyDescent="0.3">
      <c r="A39" s="2" t="s">
        <v>113</v>
      </c>
      <c r="B39" s="2">
        <v>46114</v>
      </c>
      <c r="C39" t="s">
        <v>111</v>
      </c>
      <c r="D39" t="s">
        <v>22</v>
      </c>
      <c r="E39" t="s">
        <v>3</v>
      </c>
      <c r="F39" t="s">
        <v>114</v>
      </c>
      <c r="G39">
        <v>0</v>
      </c>
      <c r="H39">
        <v>17</v>
      </c>
    </row>
    <row r="40" spans="1:8" x14ac:dyDescent="0.3">
      <c r="A40" s="2" t="s">
        <v>119</v>
      </c>
      <c r="B40" s="2">
        <v>46115</v>
      </c>
      <c r="C40" s="30" t="s">
        <v>111</v>
      </c>
      <c r="D40" t="s">
        <v>22</v>
      </c>
      <c r="E40" t="s">
        <v>3</v>
      </c>
      <c r="F40" t="s">
        <v>120</v>
      </c>
      <c r="G40">
        <v>150</v>
      </c>
    </row>
    <row r="41" spans="1:8" x14ac:dyDescent="0.3">
      <c r="A41" s="2" t="s">
        <v>121</v>
      </c>
      <c r="B41" s="2">
        <v>46115</v>
      </c>
      <c r="C41" s="30" t="s">
        <v>111</v>
      </c>
      <c r="D41" t="s">
        <v>22</v>
      </c>
      <c r="E41" t="s">
        <v>40</v>
      </c>
      <c r="F41" t="s">
        <v>69</v>
      </c>
      <c r="G41">
        <v>20</v>
      </c>
    </row>
    <row r="42" spans="1:8" x14ac:dyDescent="0.3">
      <c r="A42" s="2" t="s">
        <v>122</v>
      </c>
      <c r="B42" s="2">
        <v>46118</v>
      </c>
      <c r="C42" s="30" t="s">
        <v>111</v>
      </c>
      <c r="D42" t="s">
        <v>22</v>
      </c>
      <c r="E42" t="s">
        <v>27</v>
      </c>
      <c r="F42" t="s">
        <v>124</v>
      </c>
      <c r="G42">
        <v>350.1</v>
      </c>
      <c r="H42">
        <v>350.1</v>
      </c>
    </row>
    <row r="43" spans="1:8" x14ac:dyDescent="0.3">
      <c r="A43" s="2" t="s">
        <v>123</v>
      </c>
      <c r="B43" s="2">
        <v>46133</v>
      </c>
      <c r="C43" s="30" t="s">
        <v>111</v>
      </c>
      <c r="D43" t="s">
        <v>22</v>
      </c>
      <c r="E43" t="s">
        <v>40</v>
      </c>
      <c r="F43" t="s">
        <v>78</v>
      </c>
      <c r="G43">
        <v>7.78</v>
      </c>
      <c r="H43">
        <v>7.78</v>
      </c>
    </row>
  </sheetData>
  <sheetProtection algorithmName="SHA-512" hashValue="IbcfUQcsrKDDj5sFrpiJ67N4ugzxdMP8EPtyXhHGKmODVQG0aD3z/4gp3PVSVeEzL3UH9dPq2uI24a2WQMYlTw==" saltValue="999zMJMkvRICo0SVMBDnyw==" spinCount="100000" sheet="1" objects="1" scenarios="1"/>
  <autoFilter ref="J2:L6" xr:uid="{00000000-0001-0000-0000-000000000000}"/>
  <phoneticPr fontId="16" type="noConversion"/>
  <pageMargins left="0.75" right="0.75" top="1" bottom="1" header="0.5" footer="0.5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DD5E290-276A-4E36-B6C0-CBB499A62118}">
          <x14:formula1>
            <xm:f>'Listas Validadas'!$D$3:$D$6</xm:f>
          </x14:formula1>
          <xm:sqref>E3</xm:sqref>
        </x14:dataValidation>
        <x14:dataValidation type="list" allowBlank="1" showInputMessage="1" showErrorMessage="1" xr:uid="{BE845955-2543-4B1F-A114-64AD393A194C}">
          <x14:formula1>
            <xm:f>'Listas Validadas'!$B$3:$B$5</xm:f>
          </x14:formula1>
          <xm:sqref>D3:D43</xm:sqref>
        </x14:dataValidation>
        <x14:dataValidation type="list" allowBlank="1" showInputMessage="1" showErrorMessage="1" xr:uid="{2D7E4A08-44C5-4EED-A679-B8FEFB51849E}">
          <x14:formula1>
            <xm:f>IF(D4="Ingreso",'Listas Validadas'!$D$3:$D$5,'Listas Validadas'!$F$3:$F$6)</xm:f>
          </x14:formula1>
          <xm:sqref>E4:E43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6E11-1DBD-454C-A1B9-AAE314F22CB2}">
  <sheetPr codeName="Hoja3"/>
  <dimension ref="A1:U29"/>
  <sheetViews>
    <sheetView showGridLines="0" tabSelected="1" zoomScaleNormal="100" workbookViewId="0">
      <selection activeCell="B3" sqref="B3:D3"/>
    </sheetView>
  </sheetViews>
  <sheetFormatPr baseColWidth="10" defaultColWidth="11.5546875" defaultRowHeight="14.4" x14ac:dyDescent="0.3"/>
  <cols>
    <col min="1" max="1" width="3.88671875" style="22" customWidth="1"/>
    <col min="2" max="2" width="11.5546875" style="22"/>
    <col min="3" max="3" width="12.109375" style="22" bestFit="1" customWidth="1"/>
    <col min="4" max="4" width="11.5546875" style="22"/>
    <col min="5" max="5" width="2.44140625" style="22" customWidth="1"/>
    <col min="6" max="6" width="11.5546875" style="22"/>
    <col min="7" max="7" width="12.109375" style="22" bestFit="1" customWidth="1"/>
    <col min="8" max="8" width="16.109375" style="22" bestFit="1" customWidth="1"/>
    <col min="9" max="9" width="4.109375" style="22" customWidth="1"/>
    <col min="10" max="10" width="20.6640625" style="22" customWidth="1"/>
    <col min="11" max="12" width="11.5546875" style="22"/>
    <col min="13" max="13" width="4.109375" style="22" customWidth="1"/>
    <col min="14" max="14" width="20.6640625" style="22" customWidth="1"/>
    <col min="15" max="16" width="11.5546875" style="22"/>
    <col min="17" max="17" width="4.109375" style="22" customWidth="1"/>
    <col min="18" max="18" width="20.6640625" style="22" customWidth="1"/>
    <col min="19" max="20" width="11.5546875" style="22"/>
    <col min="21" max="21" width="2.88671875" style="22" customWidth="1"/>
    <col min="22" max="16384" width="11.5546875" style="22"/>
  </cols>
  <sheetData>
    <row r="1" spans="1:2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</row>
    <row r="2" spans="1:21" ht="22.8" x14ac:dyDescent="0.4">
      <c r="A2"/>
      <c r="B2" s="7" t="s">
        <v>31</v>
      </c>
      <c r="C2" s="7"/>
      <c r="D2"/>
      <c r="E2"/>
      <c r="F2" s="8" t="s">
        <v>66</v>
      </c>
      <c r="G2" s="8"/>
      <c r="H2" s="24">
        <f>+SUMIFS(DINEROJEFF[Monto],DINEROJEFF[Tipo],"Saldo",DINEROJEFF[Mes],$B$3)+SUMIFS(DINEROJEFF[Monto],DINEROJEFF[Tipo],"Ingreso",DINEROJEFF[Mes],$B$3)-SUMIFS(DINEROJEFF[Monto],DINEROJEFF[Tipo],"Egreso",DINEROJEFF[Mes],$B$3)</f>
        <v>10512.37</v>
      </c>
      <c r="I2"/>
      <c r="J2"/>
      <c r="K2"/>
      <c r="L2"/>
      <c r="M2"/>
      <c r="N2"/>
      <c r="O2"/>
      <c r="P2"/>
      <c r="Q2"/>
      <c r="R2"/>
      <c r="S2"/>
      <c r="T2"/>
      <c r="U2"/>
    </row>
    <row r="3" spans="1:21" ht="30" customHeight="1" x14ac:dyDescent="0.3">
      <c r="A3"/>
      <c r="B3" s="27" t="s">
        <v>9</v>
      </c>
      <c r="C3" s="27"/>
      <c r="D3" s="27"/>
      <c r="E3" s="23"/>
      <c r="F3" s="8" t="s">
        <v>36</v>
      </c>
      <c r="G3" s="8"/>
      <c r="H3" s="9">
        <f>+B6-F6</f>
        <v>379.73</v>
      </c>
      <c r="I3"/>
      <c r="J3"/>
      <c r="K3"/>
      <c r="L3"/>
      <c r="M3"/>
      <c r="N3"/>
      <c r="O3"/>
      <c r="P3"/>
      <c r="Q3"/>
      <c r="R3"/>
      <c r="S3"/>
      <c r="T3"/>
      <c r="U3"/>
    </row>
    <row r="4" spans="1:21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</row>
    <row r="5" spans="1:21" x14ac:dyDescent="0.3">
      <c r="A5"/>
      <c r="B5" s="28" t="s">
        <v>32</v>
      </c>
      <c r="C5" s="28"/>
      <c r="D5" s="28"/>
      <c r="E5"/>
      <c r="F5" s="28" t="s">
        <v>33</v>
      </c>
      <c r="G5" s="28"/>
      <c r="H5" s="28"/>
      <c r="I5"/>
      <c r="J5"/>
      <c r="K5"/>
      <c r="L5"/>
      <c r="M5"/>
      <c r="N5"/>
      <c r="O5"/>
      <c r="P5"/>
      <c r="Q5"/>
      <c r="R5"/>
      <c r="S5"/>
      <c r="T5"/>
      <c r="U5"/>
    </row>
    <row r="6" spans="1:21" ht="23.25" customHeight="1" x14ac:dyDescent="0.3">
      <c r="A6"/>
      <c r="B6" s="29">
        <f>+SUMIFS(DINEROJEFF[Monto],DINEROJEFF[Tipo],"Ingreso",DINEROJEFF[Mes],B3)</f>
        <v>757.61</v>
      </c>
      <c r="C6" s="29"/>
      <c r="D6" s="29"/>
      <c r="E6"/>
      <c r="F6" s="29">
        <f>+SUMIFS(DINEROJEFF[Monto],DINEROJEFF[Tipo],"Egreso",DINEROJEFF[Mes],B3)</f>
        <v>377.88</v>
      </c>
      <c r="G6" s="29"/>
      <c r="H6" s="29"/>
      <c r="I6"/>
      <c r="J6"/>
      <c r="K6"/>
      <c r="L6"/>
      <c r="M6"/>
      <c r="N6"/>
      <c r="O6"/>
      <c r="P6"/>
      <c r="Q6"/>
      <c r="R6"/>
      <c r="S6"/>
      <c r="T6"/>
      <c r="U6"/>
    </row>
    <row r="7" spans="1:21" x14ac:dyDescent="0.3">
      <c r="A7"/>
      <c r="B7" s="11"/>
      <c r="C7" s="11" t="s">
        <v>34</v>
      </c>
      <c r="D7" s="12">
        <f>+SUMIFS(DINEROJEFF[Presupuesto],DINEROJEFF[Tipo],"Ingreso",DINEROJEFF[Mes],B3)</f>
        <v>500</v>
      </c>
      <c r="E7"/>
      <c r="F7" s="11"/>
      <c r="G7" s="11" t="s">
        <v>34</v>
      </c>
      <c r="H7" s="12">
        <f>+SUMIFS(DINEROJEFF[Presupuesto],DINEROJEFF[Tipo],"Egreso",DINEROJEFF[Mes],B3)</f>
        <v>532.88</v>
      </c>
      <c r="I7"/>
      <c r="J7"/>
      <c r="K7"/>
      <c r="L7"/>
      <c r="M7"/>
      <c r="N7"/>
      <c r="O7"/>
      <c r="P7"/>
      <c r="Q7"/>
      <c r="R7"/>
      <c r="S7"/>
      <c r="T7"/>
      <c r="U7"/>
    </row>
    <row r="8" spans="1:21" x14ac:dyDescent="0.3">
      <c r="A8"/>
      <c r="B8" s="11"/>
      <c r="C8" s="11" t="s">
        <v>35</v>
      </c>
      <c r="D8" s="13">
        <f>+B6-D7</f>
        <v>257.61</v>
      </c>
      <c r="E8"/>
      <c r="F8" s="11"/>
      <c r="G8" s="11" t="s">
        <v>35</v>
      </c>
      <c r="H8" s="13">
        <f>+F6-H7</f>
        <v>-155</v>
      </c>
      <c r="I8"/>
      <c r="J8"/>
      <c r="K8"/>
      <c r="L8"/>
      <c r="M8"/>
      <c r="N8"/>
      <c r="O8"/>
      <c r="P8"/>
      <c r="Q8"/>
      <c r="R8"/>
      <c r="S8"/>
      <c r="T8"/>
      <c r="U8"/>
    </row>
    <row r="9" spans="1:21" x14ac:dyDescent="0.3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</row>
    <row r="10" spans="1:21" x14ac:dyDescent="0.3">
      <c r="A10"/>
      <c r="B10" s="26" t="s">
        <v>37</v>
      </c>
      <c r="C10" s="26"/>
      <c r="D10" s="26"/>
      <c r="E10"/>
      <c r="F10" s="26" t="s">
        <v>38</v>
      </c>
      <c r="G10" s="26"/>
      <c r="H10" s="26"/>
      <c r="I10"/>
      <c r="J10" s="17" t="s">
        <v>40</v>
      </c>
      <c r="K10"/>
      <c r="L10"/>
      <c r="M10"/>
      <c r="N10" s="17" t="s">
        <v>3</v>
      </c>
      <c r="O10"/>
      <c r="P10"/>
      <c r="Q10"/>
      <c r="R10" s="17" t="s">
        <v>27</v>
      </c>
      <c r="S10"/>
      <c r="T10"/>
      <c r="U10"/>
    </row>
    <row r="11" spans="1:21" x14ac:dyDescent="0.3">
      <c r="A11"/>
      <c r="B11" s="10" t="s">
        <v>19</v>
      </c>
      <c r="C11" s="10" t="s">
        <v>0</v>
      </c>
      <c r="D11" s="10" t="s">
        <v>21</v>
      </c>
      <c r="E11"/>
      <c r="F11" s="10" t="s">
        <v>19</v>
      </c>
      <c r="G11" s="10" t="s">
        <v>0</v>
      </c>
      <c r="H11" s="10" t="s">
        <v>21</v>
      </c>
      <c r="I11"/>
      <c r="J11" s="10" t="s">
        <v>45</v>
      </c>
      <c r="K11" s="10" t="s">
        <v>0</v>
      </c>
      <c r="L11" s="10" t="s">
        <v>21</v>
      </c>
      <c r="M11"/>
      <c r="N11" s="10" t="s">
        <v>45</v>
      </c>
      <c r="O11" s="10" t="s">
        <v>0</v>
      </c>
      <c r="P11" s="10" t="s">
        <v>21</v>
      </c>
      <c r="Q11"/>
      <c r="R11" s="10" t="s">
        <v>45</v>
      </c>
      <c r="S11" s="10" t="s">
        <v>0</v>
      </c>
      <c r="T11" s="10" t="s">
        <v>21</v>
      </c>
      <c r="U11"/>
    </row>
    <row r="12" spans="1:21" x14ac:dyDescent="0.3">
      <c r="A12"/>
      <c r="B12" t="str" cm="1">
        <f t="array" ref="B12">IFERROR(_xlfn.UNIQUE(_xlfn._xlws.FILTER(DINEROJEFF[Categoria],(DINEROJEFF[Mes]=$B$3)*(DINEROJEFF[Tipo]="Ingreso"))),"")</f>
        <v>Sueldo</v>
      </c>
      <c r="C12" s="12">
        <f>+SUMIFS(DINEROJEFF[Presupuesto],DINEROJEFF[Mes],$B$3,DINEROJEFF[Categoria],B12)</f>
        <v>500</v>
      </c>
      <c r="D12" s="14">
        <f>+SUMIFS(DINEROJEFF[Monto],DINEROJEFF[Mes],$B$3,DINEROJEFF[Categoria],B12)</f>
        <v>757.61</v>
      </c>
      <c r="E12"/>
      <c r="F12" t="str" cm="1">
        <f t="array" ref="F12:F14">IFERROR(_xlfn.UNIQUE(_xlfn._xlws.FILTER(DINEROJEFF[Categoria],(DINEROJEFF[Mes]=$B$3)*(DINEROJEFF[Tipo]="Egreso"))),"")</f>
        <v>Servicios</v>
      </c>
      <c r="G12" s="12">
        <f>+SUMIFS(DINEROJEFF[Presupuesto],DINEROJEFF[Mes],$B$3,DINEROJEFF[Categoria],F12)</f>
        <v>32.78</v>
      </c>
      <c r="H12" s="14">
        <f>+SUMIFS(DINEROJEFF[Monto],DINEROJEFF[Mes],$B$3,DINEROJEFF[Categoria],F12)</f>
        <v>10.780000000000001</v>
      </c>
      <c r="I12"/>
      <c r="J12" s="18" t="str" cm="1">
        <f t="array" ref="J12:J14">IFERROR(_xlfn.UNIQUE(_xlfn._xlws.FILTER(DINEROJEFF[[Descripcion ]],(DINEROJEFF[Mes]=$B$3)*(DINEROJEFF[Categoria]=J10))),"")</f>
        <v>Datos moviles</v>
      </c>
      <c r="K12" s="19">
        <f>+SUMIFS(DINEROJEFF[Presupuesto],DINEROJEFF[Mes],$B$3,DINEROJEFF[[Descripcion ]],J12)</f>
        <v>5</v>
      </c>
      <c r="L12" s="20">
        <f>+SUMIFS(DINEROJEFF[Monto],DINEROJEFF[Mes],$B$3,DINEROJEFF[[Descripcion ]],J12)</f>
        <v>3</v>
      </c>
      <c r="M12"/>
      <c r="N12" s="18" t="str" cm="1">
        <f t="array" ref="N12:N13">IFERROR(_xlfn.UNIQUE(_xlfn._xlws.FILTER(DINEROJEFF[[Descripcion ]],(DINEROJEFF[Mes]=$B$3)*(DINEROJEFF[Categoria]=N10))),"")</f>
        <v>Entrevista de trabajo</v>
      </c>
      <c r="O12" s="19">
        <f>+SUMIFS(DINEROJEFF[Presupuesto],DINEROJEFF[Mes],$B$3,DINEROJEFF[[Descripcion ]],N12)</f>
        <v>0</v>
      </c>
      <c r="P12" s="21">
        <f>+SUMIFS(DINEROJEFF[Monto],DINEROJEFF[Mes],$B$3,DINEROJEFF[[Descripcion ]],N12)</f>
        <v>17</v>
      </c>
      <c r="Q12"/>
      <c r="R12" s="18" t="str" cm="1">
        <f t="array" ref="R12">IFERROR(_xlfn.UNIQUE(_xlfn._xlws.FILTER(DINEROJEFF[[Descripcion ]],(DINEROJEFF[Mes]=$B$3)*(DINEROJEFF[Categoria]=R10))),"")</f>
        <v>Pago letra #2 del prestamo</v>
      </c>
      <c r="S12" s="19">
        <f>+SUMIFS(DINEROJEFF[Presupuesto],DINEROJEFF[Mes],$B$3,DINEROJEFF[[Descripcion ]],R12)</f>
        <v>350.1</v>
      </c>
      <c r="T12" s="20">
        <f>+SUMIFS(DINEROJEFF[Monto],DINEROJEFF[Mes],$B$3,DINEROJEFF[[Descripcion ]],R12)</f>
        <v>350.1</v>
      </c>
      <c r="U12"/>
    </row>
    <row r="13" spans="1:21" x14ac:dyDescent="0.3">
      <c r="A13"/>
      <c r="B13"/>
      <c r="C13" s="12">
        <f>+SUMIFS(DINEROJEFF[Presupuesto],DINEROJEFF[Mes],$B$3,DINEROJEFF[Categoria],B13)</f>
        <v>0</v>
      </c>
      <c r="D13" s="14">
        <f>+SUMIFS(DINEROJEFF[Monto],DINEROJEFF[Mes],$B$3,DINEROJEFF[Categoria],B13)</f>
        <v>0</v>
      </c>
      <c r="E13"/>
      <c r="F13" t="str">
        <v>Gastos</v>
      </c>
      <c r="G13" s="12">
        <f>+SUMIFS(DINEROJEFF[Presupuesto],DINEROJEFF[Mes],$B$3,DINEROJEFF[Categoria],F13)</f>
        <v>150</v>
      </c>
      <c r="H13" s="14">
        <f>+SUMIFS(DINEROJEFF[Monto],DINEROJEFF[Mes],$B$3,DINEROJEFF[Categoria],F13)</f>
        <v>17</v>
      </c>
      <c r="I13"/>
      <c r="J13" s="18" t="str">
        <v>Pasajes</v>
      </c>
      <c r="K13" s="19">
        <f>+SUMIFS(DINEROJEFF[Presupuesto],DINEROJEFF[Mes],$B$3,DINEROJEFF[[Descripcion ]],J13)</f>
        <v>20</v>
      </c>
      <c r="L13" s="20">
        <f>+SUMIFS(DINEROJEFF[Monto],DINEROJEFF[Mes],$B$3,DINEROJEFF[[Descripcion ]],J13)</f>
        <v>0</v>
      </c>
      <c r="M13"/>
      <c r="N13" s="18" t="str">
        <v>Comida</v>
      </c>
      <c r="O13" s="19">
        <f>+SUMIFS(DINEROJEFF[Presupuesto],DINEROJEFF[Mes],$B$3,DINEROJEFF[[Descripcion ]],N13)</f>
        <v>150</v>
      </c>
      <c r="P13" s="21">
        <f>+SUMIFS(DINEROJEFF[Monto],DINEROJEFF[Mes],$B$3,DINEROJEFF[[Descripcion ]],N13)</f>
        <v>0</v>
      </c>
      <c r="Q13"/>
      <c r="R13" s="18"/>
      <c r="S13" s="19">
        <f>+SUMIFS(DINEROJEFF[Presupuesto],DINEROJEFF[Mes],$B$3,DINEROJEFF[[Descripcion ]],R13)</f>
        <v>0</v>
      </c>
      <c r="T13" s="20">
        <f>+SUMIFS(DINEROJEFF[Monto],DINEROJEFF[Mes],$B$3,DINEROJEFF[[Descripcion ]],R13)</f>
        <v>0</v>
      </c>
      <c r="U13"/>
    </row>
    <row r="14" spans="1:21" x14ac:dyDescent="0.3">
      <c r="A14"/>
      <c r="B14"/>
      <c r="C14" s="12">
        <f>+SUMIFS(DINEROJEFF[Presupuesto],DINEROJEFF[Mes],$B$3,DINEROJEFF[Categoria],B14)</f>
        <v>0</v>
      </c>
      <c r="D14" s="14">
        <f>+SUMIFS(DINEROJEFF[Monto],DINEROJEFF[Mes],$B$3,DINEROJEFF[Categoria],B14)</f>
        <v>0</v>
      </c>
      <c r="E14"/>
      <c r="F14" t="str">
        <v>Prestamos</v>
      </c>
      <c r="G14" s="12">
        <f>+SUMIFS(DINEROJEFF[Presupuesto],DINEROJEFF[Mes],$B$3,DINEROJEFF[Categoria],F14)</f>
        <v>350.1</v>
      </c>
      <c r="H14" s="14">
        <f>+SUMIFS(DINEROJEFF[Monto],DINEROJEFF[Mes],$B$3,DINEROJEFF[Categoria],F14)</f>
        <v>350.1</v>
      </c>
      <c r="I14"/>
      <c r="J14" s="18" t="str">
        <v>Youtube</v>
      </c>
      <c r="K14" s="19">
        <f>+SUMIFS(DINEROJEFF[Presupuesto],DINEROJEFF[Mes],$B$3,DINEROJEFF[[Descripcion ]],J14)</f>
        <v>7.78</v>
      </c>
      <c r="L14" s="20">
        <f>+SUMIFS(DINEROJEFF[Monto],DINEROJEFF[Mes],$B$3,DINEROJEFF[[Descripcion ]],J14)</f>
        <v>7.78</v>
      </c>
      <c r="M14"/>
      <c r="N14" s="18"/>
      <c r="O14" s="19">
        <f>+SUMIFS(DINEROJEFF[Presupuesto],DINEROJEFF[Mes],$B$3,DINEROJEFF[[Descripcion ]],N14)</f>
        <v>0</v>
      </c>
      <c r="P14" s="21">
        <f>+SUMIFS(DINEROJEFF[Monto],DINEROJEFF[Mes],$B$3,DINEROJEFF[[Descripcion ]],N14)</f>
        <v>0</v>
      </c>
      <c r="Q14"/>
      <c r="R14" s="18"/>
      <c r="S14" s="19">
        <f>+SUMIFS(DINEROJEFF[Presupuesto],DINEROJEFF[Mes],$B$3,DINEROJEFF[[Descripcion ]],R14)</f>
        <v>0</v>
      </c>
      <c r="T14" s="20">
        <f>+SUMIFS(DINEROJEFF[Monto],DINEROJEFF[Mes],$B$3,DINEROJEFF[[Descripcion ]],R14)</f>
        <v>0</v>
      </c>
      <c r="U14"/>
    </row>
    <row r="15" spans="1:21" x14ac:dyDescent="0.3">
      <c r="A15"/>
      <c r="B15"/>
      <c r="C15" s="12">
        <f>+SUMIFS(DINEROJEFF[Presupuesto],DINEROJEFF[Mes],$B$3,DINEROJEFF[Categoria],B15)</f>
        <v>0</v>
      </c>
      <c r="D15" s="14">
        <f>+SUMIFS(DINEROJEFF[Monto],DINEROJEFF[Mes],$B$3,DINEROJEFF[Categoria],B15)</f>
        <v>0</v>
      </c>
      <c r="E15"/>
      <c r="F15"/>
      <c r="G15" s="12">
        <f>+SUMIFS(DINEROJEFF[Presupuesto],DINEROJEFF[Mes],$B$3,DINEROJEFF[Categoria],F15)</f>
        <v>0</v>
      </c>
      <c r="H15" s="14">
        <f>+SUMIFS(DINEROJEFF[Monto],DINEROJEFF[Mes],$B$3,DINEROJEFF[Categoria],F15)</f>
        <v>0</v>
      </c>
      <c r="I15"/>
      <c r="J15" s="18"/>
      <c r="K15" s="19">
        <f>+SUMIFS(DINEROJEFF[Presupuesto],DINEROJEFF[Mes],$B$3,DINEROJEFF[[Descripcion ]],J15)</f>
        <v>0</v>
      </c>
      <c r="L15" s="20">
        <f>+SUMIFS(DINEROJEFF[Monto],DINEROJEFF[Mes],$B$3,DINEROJEFF[[Descripcion ]],J15)</f>
        <v>0</v>
      </c>
      <c r="M15"/>
      <c r="N15" s="18"/>
      <c r="O15" s="19">
        <f>+SUMIFS(DINEROJEFF[Presupuesto],DINEROJEFF[Mes],$B$3,DINEROJEFF[[Descripcion ]],N15)</f>
        <v>0</v>
      </c>
      <c r="P15" s="21">
        <f>+SUMIFS(DINEROJEFF[Monto],DINEROJEFF[Mes],$B$3,DINEROJEFF[[Descripcion ]],N15)</f>
        <v>0</v>
      </c>
      <c r="Q15"/>
      <c r="R15" s="18"/>
      <c r="S15" s="19">
        <f>+SUMIFS(DINEROJEFF[Presupuesto],DINEROJEFF[Mes],$B$3,DINEROJEFF[[Descripcion ]],R15)</f>
        <v>0</v>
      </c>
      <c r="T15" s="20">
        <f>+SUMIFS(DINEROJEFF[Monto],DINEROJEFF[Mes],$B$3,DINEROJEFF[[Descripcion ]],R15)</f>
        <v>0</v>
      </c>
      <c r="U15"/>
    </row>
    <row r="16" spans="1:21" x14ac:dyDescent="0.3">
      <c r="A16"/>
      <c r="B16"/>
      <c r="C16" s="12">
        <f>+SUMIFS(DINEROJEFF[Presupuesto],DINEROJEFF[Mes],$B$3,DINEROJEFF[Categoria],B16)</f>
        <v>0</v>
      </c>
      <c r="D16" s="14">
        <f>+SUMIFS(DINEROJEFF[Monto],DINEROJEFF[Mes],$B$3,DINEROJEFF[Categoria],B16)</f>
        <v>0</v>
      </c>
      <c r="E16"/>
      <c r="F16"/>
      <c r="G16" s="12">
        <f>+SUMIFS(DINEROJEFF[Presupuesto],DINEROJEFF[Mes],$B$3,DINEROJEFF[Categoria],F16)</f>
        <v>0</v>
      </c>
      <c r="H16" s="14">
        <f>+SUMIFS(DINEROJEFF[Monto],DINEROJEFF[Mes],$B$3,DINEROJEFF[Categoria],F16)</f>
        <v>0</v>
      </c>
      <c r="I16"/>
      <c r="J16" s="18"/>
      <c r="K16" s="19">
        <f>+SUMIFS(DINEROJEFF[Presupuesto],DINEROJEFF[Mes],$B$3,DINEROJEFF[[Descripcion ]],J16)</f>
        <v>0</v>
      </c>
      <c r="L16" s="20">
        <f>+SUMIFS(DINEROJEFF[Monto],DINEROJEFF[Mes],$B$3,DINEROJEFF[[Descripcion ]],J16)</f>
        <v>0</v>
      </c>
      <c r="M16"/>
      <c r="N16" s="18"/>
      <c r="O16" s="19">
        <f>+SUMIFS(DINEROJEFF[Presupuesto],DINEROJEFF[Mes],$B$3,DINEROJEFF[[Descripcion ]],N16)</f>
        <v>0</v>
      </c>
      <c r="P16" s="21">
        <f>+SUMIFS(DINEROJEFF[Monto],DINEROJEFF[Mes],$B$3,DINEROJEFF[[Descripcion ]],N16)</f>
        <v>0</v>
      </c>
      <c r="Q16"/>
      <c r="R16" s="18"/>
      <c r="S16" s="19">
        <f>+SUMIFS(DINEROJEFF[Presupuesto],DINEROJEFF[Mes],$B$3,DINEROJEFF[[Descripcion ]],R16)</f>
        <v>0</v>
      </c>
      <c r="T16" s="20">
        <f>+SUMIFS(DINEROJEFF[Monto],DINEROJEFF[Mes],$B$3,DINEROJEFF[[Descripcion ]],R16)</f>
        <v>0</v>
      </c>
      <c r="U16"/>
    </row>
    <row r="17" spans="1:21" x14ac:dyDescent="0.3">
      <c r="A17"/>
      <c r="B17" s="15" t="s">
        <v>39</v>
      </c>
      <c r="C17" s="16">
        <f>+SUM(C12:C16)</f>
        <v>500</v>
      </c>
      <c r="D17" s="16">
        <f>+SUM(D12:D16)</f>
        <v>757.61</v>
      </c>
      <c r="E17"/>
      <c r="F17" s="15" t="s">
        <v>39</v>
      </c>
      <c r="G17" s="16">
        <f>+SUM(G12:G16)</f>
        <v>532.88</v>
      </c>
      <c r="H17" s="16">
        <f>+SUM(H12:H16)</f>
        <v>377.88</v>
      </c>
      <c r="I17"/>
      <c r="J17" s="18"/>
      <c r="K17" s="19">
        <f>+SUMIFS(DINEROJEFF[Presupuesto],DINEROJEFF[Mes],$B$3,DINEROJEFF[[Descripcion ]],J17)</f>
        <v>0</v>
      </c>
      <c r="L17" s="20">
        <f>+SUMIFS(DINEROJEFF[Monto],DINEROJEFF[Mes],$B$3,DINEROJEFF[[Descripcion ]],J17)</f>
        <v>0</v>
      </c>
      <c r="M17"/>
      <c r="N17" s="18"/>
      <c r="O17" s="19">
        <f>+SUMIFS(DINEROJEFF[Presupuesto],DINEROJEFF[Mes],$B$3,DINEROJEFF[[Descripcion ]],N17)</f>
        <v>0</v>
      </c>
      <c r="P17" s="21">
        <f>+SUMIFS(DINEROJEFF[Monto],DINEROJEFF[Mes],$B$3,DINEROJEFF[[Descripcion ]],N17)</f>
        <v>0</v>
      </c>
      <c r="Q17"/>
      <c r="R17" s="18"/>
      <c r="S17" s="19">
        <f>+SUMIFS(DINEROJEFF[Presupuesto],DINEROJEFF[Mes],$B$3,DINEROJEFF[[Descripcion ]],R17)</f>
        <v>0</v>
      </c>
      <c r="T17" s="20">
        <f>+SUMIFS(DINEROJEFF[Monto],DINEROJEFF[Mes],$B$3,DINEROJEFF[[Descripcion ]],R17)</f>
        <v>0</v>
      </c>
      <c r="U17"/>
    </row>
    <row r="18" spans="1:21" x14ac:dyDescent="0.3">
      <c r="A18"/>
      <c r="B18"/>
      <c r="C18"/>
      <c r="D18"/>
      <c r="E18"/>
      <c r="F18"/>
      <c r="G18"/>
      <c r="H18"/>
      <c r="I18"/>
      <c r="J18" s="18"/>
      <c r="K18" s="19">
        <f>+SUMIFS(DINEROJEFF[Presupuesto],DINEROJEFF[Mes],$B$3,DINEROJEFF[[Descripcion ]],J18)</f>
        <v>0</v>
      </c>
      <c r="L18" s="20">
        <f>+SUMIFS(DINEROJEFF[Monto],DINEROJEFF[Mes],$B$3,DINEROJEFF[[Descripcion ]],J18)</f>
        <v>0</v>
      </c>
      <c r="M18"/>
      <c r="N18" s="18"/>
      <c r="O18" s="19">
        <f>+SUMIFS(DINEROJEFF[Presupuesto],DINEROJEFF[Mes],$B$3,DINEROJEFF[[Descripcion ]],N18)</f>
        <v>0</v>
      </c>
      <c r="P18" s="21">
        <f>+SUMIFS(DINEROJEFF[Monto],DINEROJEFF[Mes],$B$3,DINEROJEFF[[Descripcion ]],N18)</f>
        <v>0</v>
      </c>
      <c r="Q18"/>
      <c r="R18" s="15" t="s">
        <v>39</v>
      </c>
      <c r="S18" s="16">
        <f>+SUM(S12:S17)</f>
        <v>350.1</v>
      </c>
      <c r="T18" s="16">
        <f>+SUM(T12:T17)</f>
        <v>350.1</v>
      </c>
      <c r="U18"/>
    </row>
    <row r="19" spans="1:21" x14ac:dyDescent="0.3">
      <c r="A19"/>
      <c r="B19"/>
      <c r="C19"/>
      <c r="D19"/>
      <c r="E19"/>
      <c r="F19"/>
      <c r="G19"/>
      <c r="H19"/>
      <c r="I19"/>
      <c r="J19" s="18"/>
      <c r="K19" s="19">
        <f>+SUMIFS(DINEROJEFF[Presupuesto],DINEROJEFF[Mes],$B$3,DINEROJEFF[[Descripcion ]],J19)</f>
        <v>0</v>
      </c>
      <c r="L19" s="20">
        <f>+SUMIFS(DINEROJEFF[Monto],DINEROJEFF[Mes],$B$3,DINEROJEFF[[Descripcion ]],J19)</f>
        <v>0</v>
      </c>
      <c r="M19"/>
      <c r="N19" s="18"/>
      <c r="O19" s="19">
        <f>+SUMIFS(DINEROJEFF[Presupuesto],DINEROJEFF[Mes],$B$3,DINEROJEFF[[Descripcion ]],N19)</f>
        <v>0</v>
      </c>
      <c r="P19" s="21">
        <f>+SUMIFS(DINEROJEFF[Monto],DINEROJEFF[Mes],$B$3,DINEROJEFF[[Descripcion ]],N19)</f>
        <v>0</v>
      </c>
      <c r="Q19"/>
      <c r="R19"/>
      <c r="S19"/>
      <c r="T19"/>
      <c r="U19"/>
    </row>
    <row r="20" spans="1:21" x14ac:dyDescent="0.3">
      <c r="A20"/>
      <c r="B20"/>
      <c r="C20"/>
      <c r="D20"/>
      <c r="E20"/>
      <c r="F20"/>
      <c r="G20"/>
      <c r="H20"/>
      <c r="I20"/>
      <c r="J20" s="18"/>
      <c r="K20" s="19">
        <f>+SUMIFS(DINEROJEFF[Presupuesto],DINEROJEFF[Mes],$B$3,DINEROJEFF[[Descripcion ]],J20)</f>
        <v>0</v>
      </c>
      <c r="L20" s="20">
        <f>+SUMIFS(DINEROJEFF[Monto],DINEROJEFF[Mes],$B$3,DINEROJEFF[[Descripcion ]],J20)</f>
        <v>0</v>
      </c>
      <c r="M20"/>
      <c r="N20" s="18"/>
      <c r="O20" s="19">
        <f>+SUMIFS(DINEROJEFF[Presupuesto],DINEROJEFF[Mes],$B$3,DINEROJEFF[[Descripcion ]],N20)</f>
        <v>0</v>
      </c>
      <c r="P20" s="21">
        <f>+SUMIFS(DINEROJEFF[Monto],DINEROJEFF[Mes],$B$3,DINEROJEFF[[Descripcion ]],N20)</f>
        <v>0</v>
      </c>
      <c r="Q20"/>
      <c r="R20" s="17" t="s">
        <v>28</v>
      </c>
      <c r="S20"/>
      <c r="T20"/>
      <c r="U20"/>
    </row>
    <row r="21" spans="1:21" x14ac:dyDescent="0.3">
      <c r="A21"/>
      <c r="B21"/>
      <c r="C21"/>
      <c r="D21"/>
      <c r="E21"/>
      <c r="F21"/>
      <c r="G21"/>
      <c r="H21"/>
      <c r="I21"/>
      <c r="J21" s="18"/>
      <c r="K21" s="19">
        <f>+SUMIFS(DINEROJEFF[Presupuesto],DINEROJEFF[Mes],$B$3,DINEROJEFF[[Descripcion ]],J21)</f>
        <v>0</v>
      </c>
      <c r="L21" s="20">
        <f>+SUMIFS(DINEROJEFF[Monto],DINEROJEFF[Mes],$B$3,DINEROJEFF[[Descripcion ]],J21)</f>
        <v>0</v>
      </c>
      <c r="M21"/>
      <c r="N21" s="18"/>
      <c r="O21" s="19">
        <f>+SUMIFS(DINEROJEFF[Presupuesto],DINEROJEFF[Mes],$B$3,DINEROJEFF[[Descripcion ]],N21)</f>
        <v>0</v>
      </c>
      <c r="P21" s="21">
        <f>+SUMIFS(DINEROJEFF[Monto],DINEROJEFF[Mes],$B$3,DINEROJEFF[[Descripcion ]],N21)</f>
        <v>0</v>
      </c>
      <c r="Q21"/>
      <c r="R21" s="10" t="s">
        <v>45</v>
      </c>
      <c r="S21" s="10" t="s">
        <v>0</v>
      </c>
      <c r="T21" s="10" t="s">
        <v>21</v>
      </c>
      <c r="U21"/>
    </row>
    <row r="22" spans="1:21" x14ac:dyDescent="0.3">
      <c r="A22"/>
      <c r="B22"/>
      <c r="C22"/>
      <c r="D22"/>
      <c r="E22"/>
      <c r="F22"/>
      <c r="G22"/>
      <c r="H22"/>
      <c r="I22"/>
      <c r="J22" s="18"/>
      <c r="K22" s="19">
        <f>+SUMIFS(DINEROJEFF[Presupuesto],DINEROJEFF[Mes],$B$3,DINEROJEFF[[Descripcion ]],J22)</f>
        <v>0</v>
      </c>
      <c r="L22" s="20">
        <f>+SUMIFS(DINEROJEFF[Monto],DINEROJEFF[Mes],$B$3,DINEROJEFF[[Descripcion ]],J22)</f>
        <v>0</v>
      </c>
      <c r="M22"/>
      <c r="N22" s="18"/>
      <c r="O22" s="19">
        <f>+SUMIFS(DINEROJEFF[Presupuesto],DINEROJEFF[Mes],$B$3,DINEROJEFF[[Descripcion ]],N22)</f>
        <v>0</v>
      </c>
      <c r="P22" s="21">
        <f>+SUMIFS(DINEROJEFF[Monto],DINEROJEFF[Mes],$B$3,DINEROJEFF[[Descripcion ]],N22)</f>
        <v>0</v>
      </c>
      <c r="Q22"/>
      <c r="R22" s="18" t="str" cm="1">
        <f t="array" ref="R22">IFERROR(_xlfn.UNIQUE(_xlfn._xlws.FILTER(DINEROJEFF[[Descripcion ]],(DINEROJEFF[Mes]=$B$3)*(DINEROJEFF[Categoria]=R20))),"")</f>
        <v/>
      </c>
      <c r="S22" s="19">
        <f>+SUMIFS(DINEROJEFF[Presupuesto],DINEROJEFF[Mes],$B$3,DINEROJEFF[[Descripcion ]],R22)</f>
        <v>0</v>
      </c>
      <c r="T22" s="20">
        <f>+SUMIFS(DINEROJEFF[Monto],DINEROJEFF[Mes],$B$3,DINEROJEFF[[Descripcion ]],R22)</f>
        <v>0</v>
      </c>
      <c r="U22"/>
    </row>
    <row r="23" spans="1:21" x14ac:dyDescent="0.3">
      <c r="A23"/>
      <c r="B23"/>
      <c r="C23"/>
      <c r="D23"/>
      <c r="E23"/>
      <c r="F23"/>
      <c r="G23"/>
      <c r="H23"/>
      <c r="I23"/>
      <c r="J23" s="18"/>
      <c r="K23" s="19">
        <f>+SUMIFS(DINEROJEFF[Presupuesto],DINEROJEFF[Mes],$B$3,DINEROJEFF[[Descripcion ]],J23)</f>
        <v>0</v>
      </c>
      <c r="L23" s="20">
        <f>+SUMIFS(DINEROJEFF[Monto],DINEROJEFF[Mes],$B$3,DINEROJEFF[[Descripcion ]],J23)</f>
        <v>0</v>
      </c>
      <c r="M23"/>
      <c r="N23" s="18"/>
      <c r="O23" s="19">
        <f>+SUMIFS(DINEROJEFF[Presupuesto],DINEROJEFF[Mes],$B$3,DINEROJEFF[[Descripcion ]],N23)</f>
        <v>0</v>
      </c>
      <c r="P23" s="21">
        <f>+SUMIFS(DINEROJEFF[Monto],DINEROJEFF[Mes],$B$3,DINEROJEFF[[Descripcion ]],N23)</f>
        <v>0</v>
      </c>
      <c r="Q23"/>
      <c r="R23" s="18"/>
      <c r="S23" s="19">
        <f>+SUMIFS(DINEROJEFF[Presupuesto],DINEROJEFF[Mes],$B$3,DINEROJEFF[[Descripcion ]],R23)</f>
        <v>0</v>
      </c>
      <c r="T23" s="20">
        <f>+SUMIFS(DINEROJEFF[Monto],DINEROJEFF[Mes],$B$3,DINEROJEFF[[Descripcion ]],R23)</f>
        <v>0</v>
      </c>
      <c r="U23"/>
    </row>
    <row r="24" spans="1:21" x14ac:dyDescent="0.3">
      <c r="A24"/>
      <c r="B24"/>
      <c r="C24"/>
      <c r="D24"/>
      <c r="E24"/>
      <c r="F24"/>
      <c r="G24"/>
      <c r="H24"/>
      <c r="I24"/>
      <c r="J24" s="18"/>
      <c r="K24" s="19">
        <f>+SUMIFS(DINEROJEFF[Presupuesto],DINEROJEFF[Mes],$B$3,DINEROJEFF[[Descripcion ]],J24)</f>
        <v>0</v>
      </c>
      <c r="L24" s="20">
        <f>+SUMIFS(DINEROJEFF[Monto],DINEROJEFF[Mes],$B$3,DINEROJEFF[[Descripcion ]],J24)</f>
        <v>0</v>
      </c>
      <c r="M24"/>
      <c r="N24" s="18"/>
      <c r="O24" s="19">
        <f>+SUMIFS(DINEROJEFF[Presupuesto],DINEROJEFF[Mes],$B$3,DINEROJEFF[[Descripcion ]],N24)</f>
        <v>0</v>
      </c>
      <c r="P24" s="21">
        <f>+SUMIFS(DINEROJEFF[Monto],DINEROJEFF[Mes],$B$3,DINEROJEFF[[Descripcion ]],N24)</f>
        <v>0</v>
      </c>
      <c r="Q24"/>
      <c r="R24" s="18"/>
      <c r="S24" s="19">
        <f>+SUMIFS(DINEROJEFF[Presupuesto],DINEROJEFF[Mes],$B$3,DINEROJEFF[[Descripcion ]],R24)</f>
        <v>0</v>
      </c>
      <c r="T24" s="20">
        <f>+SUMIFS(DINEROJEFF[Monto],DINEROJEFF[Mes],$B$3,DINEROJEFF[[Descripcion ]],R24)</f>
        <v>0</v>
      </c>
      <c r="U24"/>
    </row>
    <row r="25" spans="1:21" x14ac:dyDescent="0.3">
      <c r="A25"/>
      <c r="B25"/>
      <c r="C25"/>
      <c r="D25"/>
      <c r="E25"/>
      <c r="F25"/>
      <c r="G25"/>
      <c r="H25"/>
      <c r="I25"/>
      <c r="J25" s="18"/>
      <c r="K25" s="19">
        <f>+SUMIFS(DINEROJEFF[Presupuesto],DINEROJEFF[Mes],$B$3,DINEROJEFF[[Descripcion ]],J25)</f>
        <v>0</v>
      </c>
      <c r="L25" s="20">
        <f>+SUMIFS(DINEROJEFF[Monto],DINEROJEFF[Mes],$B$3,DINEROJEFF[[Descripcion ]],J25)</f>
        <v>0</v>
      </c>
      <c r="M25"/>
      <c r="N25" s="18"/>
      <c r="O25" s="19">
        <f>+SUMIFS(DINEROJEFF[Presupuesto],DINEROJEFF[Mes],$B$3,DINEROJEFF[[Descripcion ]],N25)</f>
        <v>0</v>
      </c>
      <c r="P25" s="21">
        <f>+SUMIFS(DINEROJEFF[Monto],DINEROJEFF[Mes],$B$3,DINEROJEFF[[Descripcion ]],N25)</f>
        <v>0</v>
      </c>
      <c r="Q25"/>
      <c r="R25" s="18"/>
      <c r="S25" s="19">
        <f>+SUMIFS(DINEROJEFF[Presupuesto],DINEROJEFF[Mes],$B$3,DINEROJEFF[[Descripcion ]],R25)</f>
        <v>0</v>
      </c>
      <c r="T25" s="20">
        <f>+SUMIFS(DINEROJEFF[Monto],DINEROJEFF[Mes],$B$3,DINEROJEFF[[Descripcion ]],R25)</f>
        <v>0</v>
      </c>
      <c r="U25"/>
    </row>
    <row r="26" spans="1:21" x14ac:dyDescent="0.3">
      <c r="A26"/>
      <c r="B26"/>
      <c r="C26"/>
      <c r="D26"/>
      <c r="E26"/>
      <c r="F26"/>
      <c r="G26"/>
      <c r="H26"/>
      <c r="I26"/>
      <c r="J26" s="18"/>
      <c r="K26" s="19">
        <f>+SUMIFS(DINEROJEFF[Presupuesto],DINEROJEFF[Mes],$B$3,DINEROJEFF[[Descripcion ]],J26)</f>
        <v>0</v>
      </c>
      <c r="L26" s="20">
        <f>+SUMIFS(DINEROJEFF[Monto],DINEROJEFF[Mes],$B$3,DINEROJEFF[[Descripcion ]],J26)</f>
        <v>0</v>
      </c>
      <c r="M26"/>
      <c r="N26" s="18"/>
      <c r="O26" s="19">
        <f>+SUMIFS(DINEROJEFF[Presupuesto],DINEROJEFF[Mes],$B$3,DINEROJEFF[[Descripcion ]],N26)</f>
        <v>0</v>
      </c>
      <c r="P26" s="21">
        <f>+SUMIFS(DINEROJEFF[Monto],DINEROJEFF[Mes],$B$3,DINEROJEFF[[Descripcion ]],N26)</f>
        <v>0</v>
      </c>
      <c r="Q26"/>
      <c r="R26" s="18"/>
      <c r="S26" s="19">
        <f>+SUMIFS(DINEROJEFF[Presupuesto],DINEROJEFF[Mes],$B$3,DINEROJEFF[[Descripcion ]],R26)</f>
        <v>0</v>
      </c>
      <c r="T26" s="20">
        <f>+SUMIFS(DINEROJEFF[Monto],DINEROJEFF[Mes],$B$3,DINEROJEFF[[Descripcion ]],R26)</f>
        <v>0</v>
      </c>
      <c r="U26"/>
    </row>
    <row r="27" spans="1:21" x14ac:dyDescent="0.3">
      <c r="A27"/>
      <c r="B27"/>
      <c r="C27"/>
      <c r="D27"/>
      <c r="E27"/>
      <c r="F27"/>
      <c r="G27"/>
      <c r="H27"/>
      <c r="I27"/>
      <c r="J27" s="18"/>
      <c r="K27" s="19">
        <f>+SUMIFS(DINEROJEFF[Presupuesto],DINEROJEFF[Mes],$B$3,DINEROJEFF[[Descripcion ]],J27)</f>
        <v>0</v>
      </c>
      <c r="L27" s="20">
        <f>+SUMIFS(DINEROJEFF[Monto],DINEROJEFF[Mes],$B$3,DINEROJEFF[[Descripcion ]],J27)</f>
        <v>0</v>
      </c>
      <c r="M27"/>
      <c r="N27" s="18"/>
      <c r="O27" s="19">
        <f>+SUMIFS(DINEROJEFF[Presupuesto],DINEROJEFF[Mes],$B$3,DINEROJEFF[[Descripcion ]],N27)</f>
        <v>0</v>
      </c>
      <c r="P27" s="21">
        <f>+SUMIFS(DINEROJEFF[Monto],DINEROJEFF[Mes],$B$3,DINEROJEFF[[Descripcion ]],N27)</f>
        <v>0</v>
      </c>
      <c r="Q27"/>
      <c r="R27" s="18"/>
      <c r="S27" s="19">
        <f>+SUMIFS(DINEROJEFF[Presupuesto],DINEROJEFF[Mes],$B$3,DINEROJEFF[[Descripcion ]],R27)</f>
        <v>0</v>
      </c>
      <c r="T27" s="20">
        <f>+SUMIFS(DINEROJEFF[Monto],DINEROJEFF[Mes],$B$3,DINEROJEFF[[Descripcion ]],R27)</f>
        <v>0</v>
      </c>
      <c r="U27"/>
    </row>
    <row r="28" spans="1:21" x14ac:dyDescent="0.3">
      <c r="A28"/>
      <c r="B28"/>
      <c r="C28"/>
      <c r="D28"/>
      <c r="E28"/>
      <c r="F28"/>
      <c r="G28"/>
      <c r="H28"/>
      <c r="I28"/>
      <c r="J28" s="15" t="s">
        <v>39</v>
      </c>
      <c r="K28" s="16">
        <f>+SUM(K12:K27)</f>
        <v>32.78</v>
      </c>
      <c r="L28" s="16">
        <f>+SUM(L12:L27)</f>
        <v>10.780000000000001</v>
      </c>
      <c r="M28"/>
      <c r="N28" s="15" t="s">
        <v>39</v>
      </c>
      <c r="O28" s="16">
        <f>+SUM(O12:O27)</f>
        <v>150</v>
      </c>
      <c r="P28" s="16">
        <f>+SUM(P12:P27)</f>
        <v>17</v>
      </c>
      <c r="Q28"/>
      <c r="R28" s="15" t="s">
        <v>39</v>
      </c>
      <c r="S28" s="16">
        <f>+SUM(S22:S27)</f>
        <v>0</v>
      </c>
      <c r="T28" s="16">
        <f>+SUM(T22:T27)</f>
        <v>0</v>
      </c>
      <c r="U28"/>
    </row>
    <row r="29" spans="1:2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</sheetData>
  <sheetProtection algorithmName="SHA-512" hashValue="4KC1xAEsLjGklOvMZ+4NH7LEGhPDuSBbiV/x9Hs8eOB8Nk1RRCF1/g4mIKtvkiT2t425A5tUByGn2g7kiVu9jQ==" saltValue="iP/oUHXkK4C5EGoGNkgKnw==" spinCount="100000" sheet="1" objects="1" selectLockedCells="1"/>
  <mergeCells count="7">
    <mergeCell ref="B10:D10"/>
    <mergeCell ref="F10:H10"/>
    <mergeCell ref="B3:D3"/>
    <mergeCell ref="B5:D5"/>
    <mergeCell ref="F5:H5"/>
    <mergeCell ref="B6:D6"/>
    <mergeCell ref="F6:H6"/>
  </mergeCells>
  <conditionalFormatting sqref="H12:H17 T12:T18 L12:L28 P12:P28 T22:T28">
    <cfRule type="expression" dxfId="1" priority="1">
      <formula>G12&lt;H12</formula>
    </cfRule>
    <cfRule type="expression" dxfId="0" priority="2">
      <formula>G12&gt;H12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975840F-2E33-41A7-A4A9-25B79F45F772}">
          <x14:formula1>
            <xm:f>'Listas Validadas'!$H$3:$H$14</xm:f>
          </x14:formula1>
          <xm:sqref>B3 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5962A-A335-4069-868B-63200C979F2F}">
  <dimension ref="C9:I15"/>
  <sheetViews>
    <sheetView workbookViewId="0">
      <selection activeCell="C14" sqref="C14"/>
    </sheetView>
  </sheetViews>
  <sheetFormatPr baseColWidth="10" defaultRowHeight="14.4" x14ac:dyDescent="0.3"/>
  <sheetData>
    <row r="9" spans="3:9" x14ac:dyDescent="0.3">
      <c r="C9">
        <v>4050</v>
      </c>
      <c r="H9">
        <v>4457.09</v>
      </c>
      <c r="I9" t="s">
        <v>107</v>
      </c>
    </row>
    <row r="10" spans="3:9" x14ac:dyDescent="0.3">
      <c r="C10">
        <v>1190</v>
      </c>
      <c r="D10">
        <f>20*59</f>
        <v>1180</v>
      </c>
      <c r="F10">
        <f>4950-350</f>
        <v>4600</v>
      </c>
      <c r="H10">
        <v>594.91999999999996</v>
      </c>
      <c r="I10" t="s">
        <v>108</v>
      </c>
    </row>
    <row r="11" spans="3:9" x14ac:dyDescent="0.3">
      <c r="C11">
        <v>4600</v>
      </c>
    </row>
    <row r="12" spans="3:9" x14ac:dyDescent="0.3">
      <c r="C12">
        <v>800</v>
      </c>
    </row>
    <row r="13" spans="3:9" x14ac:dyDescent="0.3">
      <c r="C13">
        <v>100</v>
      </c>
    </row>
    <row r="14" spans="3:9" x14ac:dyDescent="0.3">
      <c r="C14">
        <v>1000</v>
      </c>
    </row>
    <row r="15" spans="3:9" x14ac:dyDescent="0.3">
      <c r="C15">
        <f>+C9+C10+C11+C12+C13+C14</f>
        <v>11740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D13"/>
  <sheetViews>
    <sheetView topLeftCell="A2" workbookViewId="0">
      <selection activeCell="G37" sqref="G37"/>
    </sheetView>
  </sheetViews>
  <sheetFormatPr baseColWidth="10" defaultColWidth="9.109375" defaultRowHeight="14.4" x14ac:dyDescent="0.3"/>
  <sheetData>
    <row r="1" spans="1:4" x14ac:dyDescent="0.3">
      <c r="A1" t="s">
        <v>4</v>
      </c>
      <c r="B1" t="s">
        <v>1</v>
      </c>
      <c r="C1" t="s">
        <v>3</v>
      </c>
      <c r="D1" t="s">
        <v>5</v>
      </c>
    </row>
    <row r="2" spans="1:4" x14ac:dyDescent="0.3">
      <c r="A2" t="s">
        <v>6</v>
      </c>
    </row>
    <row r="3" spans="1:4" x14ac:dyDescent="0.3">
      <c r="A3" t="s">
        <v>7</v>
      </c>
    </row>
    <row r="4" spans="1:4" x14ac:dyDescent="0.3">
      <c r="A4" t="s">
        <v>8</v>
      </c>
    </row>
    <row r="5" spans="1:4" x14ac:dyDescent="0.3">
      <c r="A5" t="s">
        <v>9</v>
      </c>
    </row>
    <row r="6" spans="1:4" x14ac:dyDescent="0.3">
      <c r="A6" t="s">
        <v>10</v>
      </c>
    </row>
    <row r="7" spans="1:4" x14ac:dyDescent="0.3">
      <c r="A7" t="s">
        <v>11</v>
      </c>
    </row>
    <row r="8" spans="1:4" x14ac:dyDescent="0.3">
      <c r="A8" t="s">
        <v>12</v>
      </c>
    </row>
    <row r="9" spans="1:4" x14ac:dyDescent="0.3">
      <c r="A9" t="s">
        <v>13</v>
      </c>
    </row>
    <row r="10" spans="1:4" x14ac:dyDescent="0.3">
      <c r="A10" t="s">
        <v>14</v>
      </c>
    </row>
    <row r="11" spans="1:4" x14ac:dyDescent="0.3">
      <c r="A11" t="s">
        <v>15</v>
      </c>
    </row>
    <row r="12" spans="1:4" x14ac:dyDescent="0.3">
      <c r="A12" t="s">
        <v>16</v>
      </c>
    </row>
    <row r="13" spans="1:4" x14ac:dyDescent="0.3">
      <c r="A13" t="s">
        <v>17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Listas Validadas</vt:lpstr>
      <vt:lpstr>Registro Ingreso Egreso</vt:lpstr>
      <vt:lpstr>Informe</vt:lpstr>
      <vt:lpstr>Hoja1</vt:lpstr>
      <vt:lpstr>Presupuesto Anual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Jefferson Toaquiza</cp:lastModifiedBy>
  <dcterms:created xsi:type="dcterms:W3CDTF">2026-01-29T12:34:23Z</dcterms:created>
  <dcterms:modified xsi:type="dcterms:W3CDTF">2026-04-03T15:26:41Z</dcterms:modified>
</cp:coreProperties>
</file>