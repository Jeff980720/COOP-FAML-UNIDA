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0D1FEF5D-9D6E-45A0-B4EF-308AF5A31BBF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Presupuesto Anual" sheetId="2" state="hidden" r:id="rId4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3" i="1" l="1"/>
  <c r="C5" i="1"/>
  <c r="C6" i="1"/>
  <c r="C9" i="1"/>
  <c r="C8" i="1"/>
  <c r="L8" i="1"/>
  <c r="L9" i="1"/>
  <c r="H2" i="4" l="1"/>
  <c r="J3" i="1" a="1"/>
  <c r="J3" i="1" s="1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K8" i="1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L7" i="1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O19" i="4" l="1"/>
  <c r="P19" i="4"/>
  <c r="P18" i="4"/>
  <c r="O18" i="4"/>
  <c r="P17" i="4"/>
  <c r="O17" i="4"/>
  <c r="P16" i="4"/>
  <c r="O16" i="4"/>
  <c r="O15" i="4"/>
  <c r="N12" i="4"/>
  <c r="O12" i="4" s="1"/>
  <c r="O14" i="4"/>
  <c r="P14" i="4"/>
  <c r="K7" i="1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<sst xmlns="http://schemas.openxmlformats.org/spreadsheetml/2006/main" count="190" uniqueCount="85">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</sst>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.00_ ;_ &quot;$&quot;* \-#,##0.00_ ;_ &quot;$&quot;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1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16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1" fillId="0" borderId="0" xfId="1" applyFont="1" applyProtection="1"/>
    <xf numFmtId="164" fontId="11" fillId="0" borderId="0" xfId="0" applyNumberFormat="1" applyFont="1"/>
    <xf numFmtId="164" fontId="12" fillId="0" borderId="0" xfId="1" applyFont="1" applyProtection="1"/>
    <xf numFmtId="0" fontId="0" fillId="5" borderId="0" xfId="0" applyFill="1"/>
    <xf numFmtId="164" fontId="0" fillId="5" borderId="0" xfId="0" applyNumberFormat="1" applyFill="1"/>
    <xf numFmtId="0" fontId="13" fillId="0" borderId="0" xfId="0" applyFont="1"/>
    <xf numFmtId="0" fontId="14" fillId="0" borderId="0" xfId="0" applyFont="1"/>
    <xf numFmtId="164" fontId="15" fillId="0" borderId="0" xfId="1" applyFont="1" applyProtection="1"/>
    <xf numFmtId="164" fontId="16" fillId="0" borderId="0" xfId="1" applyFont="1" applyProtection="1"/>
    <xf numFmtId="16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164" fontId="19" fillId="0" borderId="0" xfId="1" applyFont="1" applyAlignment="1" applyProtection="1">
      <alignment vertical="center"/>
    </xf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164" fontId="10" fillId="0" borderId="0" xfId="1" applyFont="1" applyAlignment="1" applyProtection="1">
      <alignment horizontal="center" vertical="center"/>
    </xf>
    <xf numFmtId="0" fontId="0" fillId="0" borderId="0" xfId="0" applyNumberFormat="1"/>
    <xf numFmtId="14" fontId="20" fillId="0" borderId="0" xfId="0" applyNumberFormat="1" applyFont="1"/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1"/>
                <c:pt idx="0">
                  <c:v>Sueldo</c:v>
                </c:pt>
              </c:strCache>
            </c:strRef>
          </c:cat>
          <c:val>
            <c:numRef>
              <c:f>Informe!$D$12:$D$16</c:f>
              <c:numCache>
                <c:formatCode>_ "$"* #,##0.00_ ;_ "$"* \-#,##0.00_ ;_ "$"* "-"??_ ;_ 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1"/>
                <c:pt idx="0">
                  <c:v>Sueldo</c:v>
                </c:pt>
              </c:strCache>
            </c:strRef>
          </c:cat>
          <c:val>
            <c:numRef>
              <c:f>Informe!$C$12:$C$16</c:f>
              <c:numCache>
                <c:formatCode>_ "$"* #,##0.00_ ;_ "$"* \-#,##0.00_ ;_ "$"* "-"??_ ;_ @_ </c:formatCode>
                <c:ptCount val="5"/>
                <c:pt idx="0">
                  <c:v>550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 &quot;$&quot;* #,##0.00_ ;_ &quot;$&quot;* \-#,##0.00_ ;_ &quot;$&quot;* &quot;-&quot;??_ ;_ @_ 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  <c:strCache>
                <c:ptCount val="2"/>
                <c:pt idx="0">
                  <c:v>Gastos</c:v>
                </c:pt>
                <c:pt idx="1">
                  <c:v>Servicios</c:v>
                </c:pt>
              </c:strCache>
            </c:strRef>
          </c:cat>
          <c:val>
            <c:numRef>
              <c:f>Informe!$H$12:$H$16</c:f>
              <c:numCache>
                <c:formatCode>_ "$"* #,##0.00_ ;_ "$"* \-#,##0.00_ ;_ "$"* "-"??_ ;_ @_ </c:formatCode>
                <c:ptCount val="5"/>
                <c:pt idx="0">
                  <c:v>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617220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1220" y="208280"/>
              <a:ext cx="9548706" cy="16526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22" totalsRowShown="0">
  <autoFilter ref="A2:H22" xr:uid="{031F9C4B-C7C5-4648-872B-979DE1968F36}"/>
  <sortState xmlns:xlrd2="http://schemas.microsoft.com/office/spreadsheetml/2017/richdata2" ref="A3:H22">
    <sortCondition ref="B3:B22"/>
  </sortState>
  <tableColumns count="8">
    <tableColumn id="1" xr3:uid="{A7BDAA7F-FD1C-4256-8F02-EC4B47D9CB92}" name="Secuencia"/>
    <tableColumn id="9" xr3:uid="{275250AA-16B4-4CA9-92B8-EB71ED0BEF61}" name="Fecha" dataDxfId="3"/>
    <tableColumn id="2" xr3:uid="{EA3948B4-F32F-4FEE-AA92-4286BF5742EB}" name="Mes" dataDxfId="2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4.4" x14ac:dyDescent="0.3"/>
  <cols>
    <col min="4" max="4" width="13.5546875" customWidth="1"/>
    <col min="6" max="6" width="12.88671875" customWidth="1"/>
  </cols>
  <sheetData>
    <row r="2" spans="2:8" x14ac:dyDescent="0.3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3">
      <c r="B3" t="s">
        <v>29</v>
      </c>
      <c r="D3" t="s">
        <v>2</v>
      </c>
      <c r="F3" t="s">
        <v>40</v>
      </c>
      <c r="H3" t="s">
        <v>6</v>
      </c>
    </row>
    <row r="4" spans="2:8" x14ac:dyDescent="0.3">
      <c r="B4" t="s">
        <v>22</v>
      </c>
      <c r="D4" t="s">
        <v>25</v>
      </c>
      <c r="F4" t="s">
        <v>3</v>
      </c>
      <c r="H4" t="s">
        <v>7</v>
      </c>
    </row>
    <row r="5" spans="2:8" x14ac:dyDescent="0.3">
      <c r="B5" t="s">
        <v>36</v>
      </c>
      <c r="D5" t="s">
        <v>26</v>
      </c>
      <c r="F5" t="s">
        <v>27</v>
      </c>
      <c r="H5" t="s">
        <v>8</v>
      </c>
    </row>
    <row r="6" spans="2:8" x14ac:dyDescent="0.3">
      <c r="D6" t="s">
        <v>65</v>
      </c>
      <c r="F6" t="s">
        <v>28</v>
      </c>
      <c r="H6" t="s">
        <v>9</v>
      </c>
    </row>
    <row r="7" spans="2:8" x14ac:dyDescent="0.3">
      <c r="H7" t="s">
        <v>10</v>
      </c>
    </row>
    <row r="8" spans="2:8" x14ac:dyDescent="0.3">
      <c r="H8" t="s">
        <v>11</v>
      </c>
    </row>
    <row r="9" spans="2:8" x14ac:dyDescent="0.3">
      <c r="H9" t="s">
        <v>12</v>
      </c>
    </row>
    <row r="10" spans="2:8" x14ac:dyDescent="0.3">
      <c r="H10" t="s">
        <v>13</v>
      </c>
    </row>
    <row r="11" spans="2:8" x14ac:dyDescent="0.3">
      <c r="H11" t="s">
        <v>14</v>
      </c>
    </row>
    <row r="12" spans="2:8" x14ac:dyDescent="0.3">
      <c r="H12" t="s">
        <v>15</v>
      </c>
    </row>
    <row r="13" spans="2:8" x14ac:dyDescent="0.3">
      <c r="H13" t="s">
        <v>16</v>
      </c>
    </row>
    <row r="14" spans="2:8" x14ac:dyDescent="0.3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22"/>
  <sheetViews>
    <sheetView zoomScale="90" workbookViewId="0">
      <pane ySplit="2" topLeftCell="A3" activePane="bottomLeft" state="frozen"/>
      <selection pane="bottomLeft" activeCell="A3" sqref="A3:H22"/>
    </sheetView>
  </sheetViews>
  <sheetFormatPr baseColWidth="10" defaultColWidth="9.109375" defaultRowHeight="14.4" x14ac:dyDescent="0.3"/>
  <cols>
    <col min="1" max="2" width="11.6640625" bestFit="1" customWidth="1"/>
    <col min="3" max="3" width="7.6640625" bestFit="1" customWidth="1"/>
    <col min="4" max="4" width="7.5546875" bestFit="1" customWidth="1"/>
    <col min="5" max="5" width="12.33203125" bestFit="1" customWidth="1"/>
    <col min="6" max="6" width="46.88671875" customWidth="1"/>
    <col min="7" max="7" width="14.44140625" bestFit="1" customWidth="1"/>
    <col min="8" max="8" width="9.33203125" bestFit="1" customWidth="1"/>
    <col min="10" max="10" width="11.6640625" bestFit="1" customWidth="1"/>
    <col min="11" max="11" width="9.33203125" bestFit="1" customWidth="1"/>
    <col min="12" max="12" width="7.5546875" bestFit="1" customWidth="1"/>
  </cols>
  <sheetData>
    <row r="1" spans="1:12" x14ac:dyDescent="0.3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3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3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:J5">IFERROR(
   _xlfn.UNIQUE(
      _xlfn._xlws.FILTER(
         DINEROJEFF[Categoria],
         (DINEROJEFF[Mes]=$C$3)*(DINEROJEFF[Categoria]&lt;&gt;"Cuenta Banco")
      )
   ),
""
)</f>
        <v>Sueldo</v>
      </c>
      <c r="K3" s="6">
        <f>SUMIFS(DINEROJEFF[Monto],DINEROJEFF[Mes],Informe!$B$3,DINEROJEFF[Categoria],J3)
*IF(L3="Ingreso",1,-1)</f>
        <v>0</v>
      </c>
      <c r="L3" s="6" t="str">
        <f>IFERROR(_xlfn.XLOOKUP(J3,DINEROJEFF[Categoria],DINEROJEFF[Tipo]),"")</f>
        <v>Ingreso</v>
      </c>
    </row>
    <row r="4" spans="1:12" x14ac:dyDescent="0.3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 t="str">
        <v>Servicios</v>
      </c>
      <c r="K4" s="6">
        <f>SUMIFS(DINEROJEFF[Monto],DINEROJEFF[Mes],Informe!$B$3,DINEROJEFF[Categoria],J4)
*IF(L4="Ingreso",1,-1)</f>
        <v>0</v>
      </c>
      <c r="L4" s="6" t="str">
        <f>IFERROR(_xlfn.XLOOKUP(J4,DINEROJEFF[Categoria],DINEROJEFF[Tipo]),"")</f>
        <v>Egreso</v>
      </c>
    </row>
    <row r="5" spans="1:12" x14ac:dyDescent="0.3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 t="str">
        <v>Gastos</v>
      </c>
      <c r="K5" s="6">
        <f>SUMIFS(DINEROJEFF[Monto],DINEROJEFF[Mes],Informe!$B$3,DINEROJEFF[Categoria],J5)
*IF(L5="Ingreso",1,-1)</f>
        <v>-26</v>
      </c>
      <c r="L5" s="6" t="str">
        <f>IFERROR(_xlfn.XLOOKUP(J5,DINEROJEFF[Categoria],DINEROJEFF[Tipo]),"")</f>
        <v>Egreso</v>
      </c>
    </row>
    <row r="6" spans="1:12" x14ac:dyDescent="0.3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/>
      <c r="K6" s="6">
        <f>SUMIFS(DINEROJEFF[Monto],DINEROJEFF[Mes],Informe!$B$3,DINEROJEFF[Categoria],J6)
*IF(L6="Ingreso",1,-1)</f>
        <v>0</v>
      </c>
      <c r="L6" s="6" t="str">
        <f>IFERROR(_xlfn.XLOOKUP(J6,DINEROJEFF[Categoria],DINEROJEFF[Tipo]),"")</f>
        <v/>
      </c>
    </row>
    <row r="7" spans="1:12" x14ac:dyDescent="0.3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/>
      <c r="K7" s="6">
        <f>SUMIFS(DINEROJEFF[Monto],DINEROJEFF[Mes],Informe!$B$3,DINEROJEFF[Categoria],J7)
*IF(L7="Ingreso",1,-1)</f>
        <v>0</v>
      </c>
      <c r="L7" s="6" t="str">
        <f>IFERROR(_xlfn.XLOOKUP(J7,DINEROJEFF[Categoria],DINEROJEFF[Tipo]),"")</f>
        <v/>
      </c>
    </row>
    <row r="8" spans="1:12" x14ac:dyDescent="0.3">
      <c r="A8" s="30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3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3">
      <c r="A10" s="2" t="s">
        <v>57</v>
      </c>
      <c r="B10" s="2">
        <v>46053</v>
      </c>
      <c r="C10" s="29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-26</v>
      </c>
      <c r="L10" s="6">
        <f>+SUM(L3:L9)</f>
        <v>0</v>
      </c>
    </row>
    <row r="11" spans="1:12" x14ac:dyDescent="0.3">
      <c r="A11" s="2" t="s">
        <v>59</v>
      </c>
      <c r="B11" s="2">
        <v>46053</v>
      </c>
      <c r="C11" s="29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3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3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3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3">
      <c r="A15" s="2" t="s">
        <v>73</v>
      </c>
      <c r="B15" s="2">
        <v>46054</v>
      </c>
      <c r="C15" s="29" t="s">
        <v>71</v>
      </c>
      <c r="D15" t="s">
        <v>36</v>
      </c>
      <c r="E15" t="s">
        <v>65</v>
      </c>
      <c r="F15" t="s">
        <v>64</v>
      </c>
      <c r="G15">
        <v>0</v>
      </c>
      <c r="H15">
        <v>3862.17</v>
      </c>
    </row>
    <row r="16" spans="1:12" x14ac:dyDescent="0.3">
      <c r="A16" s="2" t="s">
        <v>74</v>
      </c>
      <c r="B16" s="2">
        <v>46055</v>
      </c>
      <c r="C16" s="29" t="s">
        <v>71</v>
      </c>
      <c r="D16" t="s">
        <v>29</v>
      </c>
      <c r="E16" t="s">
        <v>2</v>
      </c>
      <c r="F16" t="s">
        <v>75</v>
      </c>
      <c r="G16">
        <v>550</v>
      </c>
    </row>
    <row r="17" spans="1:8" x14ac:dyDescent="0.3">
      <c r="A17" s="2" t="s">
        <v>70</v>
      </c>
      <c r="B17" s="2">
        <v>46056</v>
      </c>
      <c r="C17" s="29" t="s">
        <v>71</v>
      </c>
      <c r="D17" t="s">
        <v>22</v>
      </c>
      <c r="E17" t="s">
        <v>3</v>
      </c>
      <c r="F17" t="s">
        <v>69</v>
      </c>
      <c r="G17">
        <v>20</v>
      </c>
    </row>
    <row r="18" spans="1:8" x14ac:dyDescent="0.3">
      <c r="A18" s="2" t="s">
        <v>76</v>
      </c>
      <c r="B18" s="2">
        <v>46057</v>
      </c>
      <c r="C18" s="29" t="s">
        <v>71</v>
      </c>
      <c r="D18" t="s">
        <v>22</v>
      </c>
      <c r="E18" t="s">
        <v>3</v>
      </c>
      <c r="F18" t="s">
        <v>83</v>
      </c>
      <c r="H18">
        <v>26</v>
      </c>
    </row>
    <row r="19" spans="1:8" x14ac:dyDescent="0.3">
      <c r="A19" s="2" t="s">
        <v>77</v>
      </c>
      <c r="B19" s="2">
        <v>46058</v>
      </c>
      <c r="C19" s="29" t="s">
        <v>71</v>
      </c>
      <c r="D19" t="s">
        <v>22</v>
      </c>
      <c r="E19" t="s">
        <v>40</v>
      </c>
      <c r="F19" t="s">
        <v>44</v>
      </c>
      <c r="G19">
        <v>150</v>
      </c>
    </row>
    <row r="20" spans="1:8" x14ac:dyDescent="0.3">
      <c r="A20" s="2" t="s">
        <v>79</v>
      </c>
      <c r="B20" s="2">
        <v>46067</v>
      </c>
      <c r="C20" s="29" t="s">
        <v>71</v>
      </c>
      <c r="D20" t="s">
        <v>22</v>
      </c>
      <c r="E20" t="s">
        <v>3</v>
      </c>
      <c r="F20" t="s">
        <v>82</v>
      </c>
      <c r="G20">
        <v>30</v>
      </c>
    </row>
    <row r="21" spans="1:8" x14ac:dyDescent="0.3">
      <c r="A21" s="2" t="s">
        <v>80</v>
      </c>
      <c r="B21" s="2">
        <v>46068</v>
      </c>
      <c r="C21" s="29" t="s">
        <v>71</v>
      </c>
      <c r="D21" t="s">
        <v>22</v>
      </c>
      <c r="E21" t="s">
        <v>3</v>
      </c>
      <c r="F21" t="s">
        <v>81</v>
      </c>
      <c r="G21">
        <v>15</v>
      </c>
    </row>
    <row r="22" spans="1:8" x14ac:dyDescent="0.3">
      <c r="A22" s="2" t="s">
        <v>84</v>
      </c>
      <c r="B22" s="2">
        <v>46074</v>
      </c>
      <c r="C22" s="29" t="s">
        <v>71</v>
      </c>
      <c r="D22" t="s">
        <v>22</v>
      </c>
      <c r="E22" t="s">
        <v>40</v>
      </c>
      <c r="F22" t="s">
        <v>78</v>
      </c>
      <c r="G22">
        <v>7.78</v>
      </c>
    </row>
  </sheetData>
  <sheetProtection algorithmName="SHA-512" hashValue="W7PldaB5ki4Vt8NNq1TwhVQKYZV/EJgPig8/77GEaDO759isEcyAqUZMKty0ilQ28jNTWsjO7VYBtyRbO17Lww==" saltValue="FujBeQZxKOJA9S9zXxLa3g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D3:D22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="90" zoomScaleNormal="90" workbookViewId="0">
      <selection activeCell="B3" sqref="B3:D3"/>
    </sheetView>
  </sheetViews>
  <sheetFormatPr baseColWidth="10" defaultColWidth="11.5546875" defaultRowHeight="14.4" x14ac:dyDescent="0.3"/>
  <cols>
    <col min="1" max="1" width="3.88671875" style="22" customWidth="1"/>
    <col min="2" max="2" width="11.5546875" style="22"/>
    <col min="3" max="3" width="12.109375" style="22" bestFit="1" customWidth="1"/>
    <col min="4" max="4" width="11.5546875" style="22"/>
    <col min="5" max="5" width="2.44140625" style="22" customWidth="1"/>
    <col min="6" max="6" width="11.5546875" style="22"/>
    <col min="7" max="7" width="12.109375" style="22" bestFit="1" customWidth="1"/>
    <col min="8" max="8" width="16.109375" style="22" bestFit="1" customWidth="1"/>
    <col min="9" max="9" width="4.109375" style="22" customWidth="1"/>
    <col min="10" max="10" width="20.6640625" style="22" customWidth="1"/>
    <col min="11" max="12" width="11.5546875" style="22"/>
    <col min="13" max="13" width="4.109375" style="22" customWidth="1"/>
    <col min="14" max="14" width="20.6640625" style="22" customWidth="1"/>
    <col min="15" max="16" width="11.5546875" style="22"/>
    <col min="17" max="17" width="4.109375" style="22" customWidth="1"/>
    <col min="18" max="18" width="20.6640625" style="22" customWidth="1"/>
    <col min="19" max="20" width="11.5546875" style="22"/>
    <col min="21" max="21" width="2.88671875" style="22" customWidth="1"/>
    <col min="22" max="16384" width="11.5546875" style="22"/>
  </cols>
  <sheetData>
    <row r="1" spans="1:2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8" x14ac:dyDescent="0.4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3836.17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3">
      <c r="A3"/>
      <c r="B3" s="26" t="s">
        <v>7</v>
      </c>
      <c r="C3" s="26"/>
      <c r="D3" s="26"/>
      <c r="E3" s="23"/>
      <c r="F3" s="8" t="s">
        <v>36</v>
      </c>
      <c r="G3" s="8"/>
      <c r="H3" s="9">
        <f>+B6-F6</f>
        <v>-26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3">
      <c r="A5"/>
      <c r="B5" s="27" t="s">
        <v>32</v>
      </c>
      <c r="C5" s="27"/>
      <c r="D5" s="27"/>
      <c r="E5"/>
      <c r="F5" s="27" t="s">
        <v>33</v>
      </c>
      <c r="G5" s="27"/>
      <c r="H5" s="27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3">
      <c r="A6"/>
      <c r="B6" s="28">
        <f>+SUMIFS(DINEROJEFF[Monto],DINEROJEFF[Tipo],"Ingreso",DINEROJEFF[Mes],B3)</f>
        <v>0</v>
      </c>
      <c r="C6" s="28"/>
      <c r="D6" s="28"/>
      <c r="E6"/>
      <c r="F6" s="28">
        <f>+SUMIFS(DINEROJEFF[Monto],DINEROJEFF[Tipo],"Egreso",DINEROJEFF[Mes],B3)</f>
        <v>26</v>
      </c>
      <c r="G6" s="28"/>
      <c r="H6" s="28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3">
      <c r="A7"/>
      <c r="B7" s="11"/>
      <c r="C7" s="11" t="s">
        <v>34</v>
      </c>
      <c r="D7" s="12">
        <f>+SUMIFS(DINEROJEFF[Presupuesto],DINEROJEFF[Tipo],"Ingreso",DINEROJEFF[Mes],B3)</f>
        <v>550</v>
      </c>
      <c r="E7"/>
      <c r="F7" s="11"/>
      <c r="G7" s="11" t="s">
        <v>34</v>
      </c>
      <c r="H7" s="12">
        <f>+SUMIFS(DINEROJEFF[Presupuesto],DINEROJEFF[Tipo],"Egreso",DINEROJEFF[Mes],B3)</f>
        <v>222.78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 s="11"/>
      <c r="C8" s="11" t="s">
        <v>35</v>
      </c>
      <c r="D8" s="13">
        <f>+B6-D7</f>
        <v>-550</v>
      </c>
      <c r="E8"/>
      <c r="F8" s="11"/>
      <c r="G8" s="11" t="s">
        <v>35</v>
      </c>
      <c r="H8" s="13">
        <f>+F6-H7</f>
        <v>-196.78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 s="25" t="s">
        <v>37</v>
      </c>
      <c r="C10" s="25"/>
      <c r="D10" s="25"/>
      <c r="E10"/>
      <c r="F10" s="25" t="s">
        <v>38</v>
      </c>
      <c r="G10" s="25"/>
      <c r="H10" s="25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3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3">
      <c r="A12"/>
      <c r="B12" t="str" cm="1">
        <f t="array" ref="B12">IFERROR(_xlfn.UNIQUE(_xlfn._xlws.FILTER(DINEROJEFF[Categoria],(DINEROJEFF[Mes]=$B$3)*(DINEROJEFF[Tipo]="Ingreso"))),"")</f>
        <v>Sueldo</v>
      </c>
      <c r="C12" s="12">
        <f>+SUMIFS(DINEROJEFF[Presupuesto],DINEROJEFF[Mes],$B$3,DINEROJEFF[Categoria],B12)</f>
        <v>550</v>
      </c>
      <c r="D12" s="14">
        <f>+SUMIFS(DINEROJEFF[Monto],DINEROJEFF[Mes],$B$3,DINEROJEFF[Categoria],B12)</f>
        <v>0</v>
      </c>
      <c r="E12"/>
      <c r="F12" t="str" cm="1">
        <f t="array" ref="F12:F13">IFERROR(_xlfn.UNIQUE(_xlfn._xlws.FILTER(DINEROJEFF[Categoria],(DINEROJEFF[Mes]=$B$3)*(DINEROJEFF[Tipo]="Egreso"))),"")</f>
        <v>Gastos</v>
      </c>
      <c r="G12" s="12">
        <f>+SUMIFS(DINEROJEFF[Presupuesto],DINEROJEFF[Mes],$B$3,DINEROJEFF[Categoria],F12)</f>
        <v>65</v>
      </c>
      <c r="H12" s="14">
        <f>+SUMIFS(DINEROJEFF[Monto],DINEROJEFF[Mes],$B$3,DINEROJEFF[Categoria],F12)</f>
        <v>26</v>
      </c>
      <c r="I12"/>
      <c r="J12" s="18" t="str" cm="1">
        <f t="array" ref="J12:J13">IFERROR(_xlfn.UNIQUE(_xlfn._xlws.FILTER(DINEROJEFF[[Descripcion ]],(DINEROJEFF[Mes]=$B$3)*(DINEROJEFF[Categoria]=J10))),"")</f>
        <v>Alimentacion</v>
      </c>
      <c r="K12" s="19">
        <f>+SUMIFS(DINEROJEFF[Presupuesto],DINEROJEFF[Mes],$B$3,DINEROJEFF[[Descripcion ]],J12)</f>
        <v>150</v>
      </c>
      <c r="L12" s="20">
        <f>+SUMIFS(DINEROJEFF[Monto],DINEROJEFF[Mes],$B$3,DINEROJEFF[[Descripcion ]],J12)</f>
        <v>0</v>
      </c>
      <c r="M12"/>
      <c r="N12" s="18" t="str" cm="1">
        <f t="array" ref="N12:N15">IFERROR(_xlfn.UNIQUE(_xlfn._xlws.FILTER(DINEROJEFF[[Descripcion ]],(DINEROJEFF[Mes]=$B$3)*(DINEROJEFF[Categoria]=N10))),"")</f>
        <v>Pasajes</v>
      </c>
      <c r="O12" s="19">
        <f>+SUMIFS(DINEROJEFF[Presupuesto],DINEROJEFF[Mes],$B$3,DINEROJEFF[[Descripcion ]],N12)</f>
        <v>20</v>
      </c>
      <c r="P12" s="21">
        <f>+SUMIFS(DINEROJEFF[Monto],DINEROJEFF[Mes],$B$3,DINEROJEFF[[Descripcion ]],N12)</f>
        <v>0</v>
      </c>
      <c r="Q12"/>
      <c r="R12" s="18" t="str" cm="1">
        <f t="array" ref="R12">IFERROR(_xlfn.UNIQUE(_xlfn._xlws.FILTER(DINEROJEFF[[Descripcion ]],(DINEROJEFF[Mes]=$B$3)*(DINEROJEFF[Categoria]=R10))),"")</f>
        <v/>
      </c>
      <c r="S12" s="19">
        <f>+SUMIFS(DINEROJEFF[Presupuesto],DINEROJEFF[Mes],$B$3,DINEROJEFF[[Descripcion ]],R12)</f>
        <v>0</v>
      </c>
      <c r="T12" s="20">
        <f>+SUMIFS(DINEROJEFF[Monto],DINEROJEFF[Mes],$B$3,DINEROJEFF[[Descripcion ]],R12)</f>
        <v>0</v>
      </c>
      <c r="U12"/>
    </row>
    <row r="13" spans="1:21" x14ac:dyDescent="0.3">
      <c r="A13"/>
      <c r="B13"/>
      <c r="C13" s="12">
        <f>+SUMIFS(DINEROJEFF[Presupuesto],DINEROJEFF[Mes],$B$3,DINEROJEFF[Categoria],B13)</f>
        <v>0</v>
      </c>
      <c r="D13" s="14">
        <f>+SUMIFS(DINEROJEFF[Monto],DINEROJEFF[Mes],$B$3,DINEROJEFF[Categoria],B13)</f>
        <v>0</v>
      </c>
      <c r="E13"/>
      <c r="F13" t="str">
        <v>Servicios</v>
      </c>
      <c r="G13" s="12">
        <f>+SUMIFS(DINEROJEFF[Presupuesto],DINEROJEFF[Mes],$B$3,DINEROJEFF[Categoria],F13)</f>
        <v>157.78</v>
      </c>
      <c r="H13" s="14">
        <f>+SUMIFS(DINEROJEFF[Monto],DINEROJEFF[Mes],$B$3,DINEROJEFF[Categoria],F13)</f>
        <v>0</v>
      </c>
      <c r="I13"/>
      <c r="J13" s="18" t="str">
        <v>Youtube</v>
      </c>
      <c r="K13" s="19">
        <f>+SUMIFS(DINEROJEFF[Presupuesto],DINEROJEFF[Mes],$B$3,DINEROJEFF[[Descripcion ]],J13)</f>
        <v>7.78</v>
      </c>
      <c r="L13" s="20">
        <f>+SUMIFS(DINEROJEFF[Monto],DINEROJEFF[Mes],$B$3,DINEROJEFF[[Descripcion ]],J13)</f>
        <v>0</v>
      </c>
      <c r="M13"/>
      <c r="N13" s="18" t="str">
        <v>Reposicion de caja</v>
      </c>
      <c r="O13" s="19">
        <f>+SUMIFS(DINEROJEFF[Presupuesto],DINEROJEFF[Mes],$B$3,DINEROJEFF[[Descripcion ]],N13)</f>
        <v>0</v>
      </c>
      <c r="P13" s="21">
        <f>+SUMIFS(DINEROJEFF[Monto],DINEROJEFF[Mes],$B$3,DINEROJEFF[[Descripcion ]],N13)</f>
        <v>26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3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/>
      <c r="G14" s="12">
        <f>+SUMIFS(DINEROJEFF[Presupuesto],DINEROJEFF[Mes],$B$3,DINEROJEFF[Categoria],F14)</f>
        <v>0</v>
      </c>
      <c r="H14" s="14">
        <f>+SUMIFS(DINEROJEFF[Monto],DINEROJEFF[Mes],$B$3,DINEROJEFF[Categoria],F14)</f>
        <v>0</v>
      </c>
      <c r="I14"/>
      <c r="J14" s="18"/>
      <c r="K14" s="19">
        <f>+SUMIFS(DINEROJEFF[Presupuesto],DINEROJEFF[Mes],$B$3,DINEROJEFF[[Descripcion ]],J14)</f>
        <v>0</v>
      </c>
      <c r="L14" s="20">
        <f>+SUMIFS(DINEROJEFF[Monto],DINEROJEFF[Mes],$B$3,DINEROJEFF[[Descripcion ]],J14)</f>
        <v>0</v>
      </c>
      <c r="M14"/>
      <c r="N14" s="18" t="str">
        <v>Salidas</v>
      </c>
      <c r="O14" s="19">
        <f>+SUMIFS(DINEROJEFF[Presupuesto],DINEROJEFF[Mes],$B$3,DINEROJEFF[[Descripcion ]],N14)</f>
        <v>30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3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 t="str">
        <v>Comida para Aleu</v>
      </c>
      <c r="O15" s="19">
        <f>+SUMIFS(DINEROJEFF[Presupuesto],DINEROJEFF[Mes],$B$3,DINEROJEFF[[Descripcion ]],N15)</f>
        <v>15</v>
      </c>
      <c r="P15" s="21">
        <f>+SUMIFS(DINEROJEFF[Monto],DINEROJEFF[Mes],$B$3,DINEROJEFF[[Descripcion ]],N15)</f>
        <v>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3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3">
      <c r="A17"/>
      <c r="B17" s="15" t="s">
        <v>39</v>
      </c>
      <c r="C17" s="16">
        <f>+SUM(C12:C16)</f>
        <v>550</v>
      </c>
      <c r="D17" s="16">
        <f>+SUM(D12:D16)</f>
        <v>0</v>
      </c>
      <c r="E17"/>
      <c r="F17" s="15" t="s">
        <v>39</v>
      </c>
      <c r="G17" s="16">
        <f>+SUM(G12:G16)</f>
        <v>222.78</v>
      </c>
      <c r="H17" s="16">
        <f>+SUM(H12:H16)</f>
        <v>26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3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0</v>
      </c>
      <c r="T18" s="16">
        <f>+SUM(T12:T17)</f>
        <v>0</v>
      </c>
      <c r="U18"/>
    </row>
    <row r="19" spans="1:21" x14ac:dyDescent="0.3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3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3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3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3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3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3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3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3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3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157.78</v>
      </c>
      <c r="L28" s="16">
        <f>+SUM(L12:L27)</f>
        <v>0</v>
      </c>
      <c r="M28"/>
      <c r="N28" s="15" t="s">
        <v>39</v>
      </c>
      <c r="O28" s="16">
        <f>+SUM(O12:O27)</f>
        <v>65</v>
      </c>
      <c r="P28" s="16">
        <f>+SUM(P12:P27)</f>
        <v>26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1" priority="1">
      <formula>G12&lt;H12</formula>
    </cfRule>
    <cfRule type="expression" dxfId="0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09375" defaultRowHeight="14.4" x14ac:dyDescent="0.3"/>
  <sheetData>
    <row r="1" spans="1:4" x14ac:dyDescent="0.3">
      <c r="A1" t="s">
        <v>4</v>
      </c>
      <c r="B1" t="s">
        <v>1</v>
      </c>
      <c r="C1" t="s">
        <v>3</v>
      </c>
      <c r="D1" t="s">
        <v>5</v>
      </c>
    </row>
    <row r="2" spans="1:4" x14ac:dyDescent="0.3">
      <c r="A2" t="s">
        <v>6</v>
      </c>
    </row>
    <row r="3" spans="1:4" x14ac:dyDescent="0.3">
      <c r="A3" t="s">
        <v>7</v>
      </c>
    </row>
    <row r="4" spans="1:4" x14ac:dyDescent="0.3">
      <c r="A4" t="s">
        <v>8</v>
      </c>
    </row>
    <row r="5" spans="1:4" x14ac:dyDescent="0.3">
      <c r="A5" t="s">
        <v>9</v>
      </c>
    </row>
    <row r="6" spans="1:4" x14ac:dyDescent="0.3">
      <c r="A6" t="s">
        <v>10</v>
      </c>
    </row>
    <row r="7" spans="1:4" x14ac:dyDescent="0.3">
      <c r="A7" t="s">
        <v>11</v>
      </c>
    </row>
    <row r="8" spans="1:4" x14ac:dyDescent="0.3">
      <c r="A8" t="s">
        <v>12</v>
      </c>
    </row>
    <row r="9" spans="1:4" x14ac:dyDescent="0.3">
      <c r="A9" t="s">
        <v>13</v>
      </c>
    </row>
    <row r="10" spans="1:4" x14ac:dyDescent="0.3">
      <c r="A10" t="s">
        <v>14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Listas Validadas</vt:lpstr>
      <vt:lpstr>Registro Ingreso Egreso</vt:lpstr>
      <vt:lpstr>Informe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Jefferson Toaquiza</cp:lastModifiedBy>
  <dcterms:created xsi:type="dcterms:W3CDTF">2026-01-29T12:34:23Z</dcterms:created>
  <dcterms:modified xsi:type="dcterms:W3CDTF">2026-02-02T01:34:14Z</dcterms:modified>
</cp:coreProperties>
</file>